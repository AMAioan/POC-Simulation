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oan\Desktop\"/>
    </mc:Choice>
  </mc:AlternateContent>
  <xr:revisionPtr revIDLastSave="0" documentId="8_{40E0FADC-8CE8-4BF0-B30B-9D0F1D736886}" xr6:coauthVersionLast="47" xr6:coauthVersionMax="47" xr10:uidLastSave="{00000000-0000-0000-0000-000000000000}"/>
  <bookViews>
    <workbookView xWindow="-120" yWindow="-16320" windowWidth="29040" windowHeight="15840" xr2:uid="{57C5837C-E747-4148-B01B-8DFCEF3EF3F4}"/>
  </bookViews>
  <sheets>
    <sheet name="presales_data"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591" i="1" l="1"/>
  <c r="BF591" i="1" s="1"/>
  <c r="AD591" i="1"/>
  <c r="BE590" i="1"/>
  <c r="BF590" i="1" s="1"/>
  <c r="AD590" i="1"/>
  <c r="BE589" i="1"/>
  <c r="BF589" i="1" s="1"/>
  <c r="AD589" i="1"/>
  <c r="BE588" i="1"/>
  <c r="BF588" i="1" s="1"/>
  <c r="AD588" i="1"/>
  <c r="BE587" i="1"/>
  <c r="BF587" i="1" s="1"/>
  <c r="AD587" i="1"/>
  <c r="BF586" i="1"/>
  <c r="BE586" i="1"/>
  <c r="AD586" i="1"/>
  <c r="K586" i="1"/>
  <c r="J586" i="1"/>
  <c r="I586" i="1"/>
  <c r="H586" i="1"/>
  <c r="G586" i="1"/>
  <c r="BE585" i="1"/>
  <c r="BF585" i="1" s="1"/>
  <c r="AD585" i="1"/>
  <c r="BE584" i="1"/>
  <c r="BF584" i="1" s="1"/>
  <c r="AD584" i="1"/>
  <c r="BF583" i="1"/>
  <c r="BE583" i="1"/>
  <c r="AC583" i="1"/>
  <c r="BE582" i="1"/>
  <c r="BF582" i="1" s="1"/>
  <c r="AD582" i="1"/>
  <c r="BE581" i="1"/>
  <c r="BF581" i="1" s="1"/>
  <c r="AD581" i="1"/>
  <c r="BE580" i="1"/>
  <c r="BF580" i="1" s="1"/>
  <c r="AD580" i="1"/>
  <c r="BF579" i="1"/>
  <c r="BE579" i="1"/>
  <c r="AD579" i="1"/>
  <c r="BE578" i="1"/>
  <c r="BF578" i="1" s="1"/>
  <c r="AD578" i="1"/>
  <c r="BF577" i="1"/>
  <c r="BE577" i="1"/>
  <c r="AD577" i="1"/>
  <c r="BF576" i="1"/>
  <c r="BE576" i="1"/>
  <c r="AD576" i="1"/>
  <c r="BF575" i="1"/>
  <c r="BE575" i="1"/>
  <c r="AD575" i="1"/>
  <c r="BF574" i="1"/>
  <c r="BE574" i="1"/>
  <c r="AD574" i="1"/>
  <c r="BF573" i="1"/>
  <c r="BE573" i="1"/>
  <c r="AC573" i="1"/>
  <c r="AD573" i="1" s="1"/>
  <c r="BF572" i="1"/>
  <c r="BE572" i="1"/>
  <c r="AD572" i="1"/>
  <c r="BF571" i="1"/>
  <c r="BE571" i="1"/>
  <c r="AD571" i="1"/>
  <c r="BF570" i="1"/>
  <c r="BE570" i="1"/>
  <c r="AD570" i="1"/>
  <c r="BF569" i="1"/>
  <c r="BE569" i="1"/>
  <c r="AC569" i="1"/>
  <c r="AD569" i="1" s="1"/>
  <c r="BE568" i="1"/>
  <c r="BF568" i="1" s="1"/>
  <c r="AD568" i="1"/>
  <c r="BF567" i="1"/>
  <c r="BE567" i="1"/>
  <c r="AD567" i="1"/>
  <c r="BF566" i="1"/>
  <c r="BE566" i="1"/>
  <c r="AD566" i="1"/>
  <c r="BF565" i="1"/>
  <c r="BE565" i="1"/>
  <c r="AD565" i="1"/>
  <c r="BF564" i="1"/>
  <c r="BE564" i="1"/>
  <c r="AD564" i="1"/>
  <c r="BF563" i="1"/>
  <c r="BE563" i="1"/>
  <c r="AD563" i="1"/>
  <c r="BE562" i="1"/>
  <c r="BF562" i="1" s="1"/>
  <c r="AD562" i="1"/>
  <c r="BF561" i="1"/>
  <c r="BE561" i="1"/>
  <c r="AD561" i="1"/>
  <c r="BF560" i="1"/>
  <c r="BE560" i="1"/>
  <c r="AD560" i="1"/>
  <c r="BF559" i="1"/>
  <c r="BE559" i="1"/>
  <c r="AD559" i="1"/>
  <c r="BE558" i="1"/>
  <c r="BF558" i="1" s="1"/>
  <c r="AD558" i="1"/>
  <c r="BE557" i="1"/>
  <c r="BF557" i="1" s="1"/>
  <c r="AD557" i="1"/>
  <c r="BE556" i="1"/>
  <c r="BF556" i="1" s="1"/>
  <c r="AD556" i="1"/>
  <c r="BE555" i="1"/>
  <c r="BF555" i="1" s="1"/>
  <c r="AD555" i="1"/>
  <c r="BE554" i="1"/>
  <c r="BF554" i="1" s="1"/>
  <c r="AD554" i="1"/>
  <c r="BF553" i="1"/>
  <c r="BE553" i="1"/>
  <c r="AD553" i="1"/>
  <c r="BE552" i="1"/>
  <c r="BF552" i="1" s="1"/>
  <c r="AD552" i="1"/>
  <c r="BF551" i="1"/>
  <c r="BE551" i="1"/>
  <c r="AD551" i="1"/>
  <c r="BF550" i="1"/>
  <c r="BE550" i="1"/>
  <c r="AD550" i="1"/>
  <c r="BF549" i="1"/>
  <c r="BE549" i="1"/>
  <c r="AD549" i="1"/>
  <c r="BF548" i="1"/>
  <c r="BE548" i="1"/>
  <c r="AD548" i="1"/>
  <c r="BF547" i="1"/>
  <c r="BE547" i="1"/>
  <c r="AD547" i="1"/>
  <c r="BE546" i="1"/>
  <c r="BF546" i="1" s="1"/>
  <c r="AD546" i="1"/>
  <c r="BF545" i="1"/>
  <c r="BE545" i="1"/>
  <c r="AD545" i="1"/>
  <c r="BF544" i="1"/>
  <c r="BE544" i="1"/>
  <c r="AD544" i="1"/>
  <c r="BF543" i="1"/>
  <c r="BE543" i="1"/>
  <c r="AD543" i="1"/>
  <c r="BE542" i="1"/>
  <c r="BF542" i="1" s="1"/>
  <c r="AD542" i="1"/>
  <c r="BE541" i="1"/>
  <c r="BF541" i="1" s="1"/>
  <c r="AD541" i="1"/>
  <c r="BE540" i="1"/>
  <c r="BF540" i="1" s="1"/>
  <c r="AD540" i="1"/>
  <c r="BE539" i="1"/>
  <c r="BF539" i="1" s="1"/>
  <c r="AD539" i="1"/>
  <c r="BE538" i="1"/>
  <c r="BF538" i="1" s="1"/>
  <c r="AD538" i="1"/>
  <c r="BF537" i="1"/>
  <c r="BE537" i="1"/>
  <c r="AD537" i="1"/>
  <c r="BE536" i="1"/>
  <c r="BF536" i="1" s="1"/>
  <c r="AD536" i="1"/>
  <c r="BF535" i="1"/>
  <c r="BE535" i="1"/>
  <c r="AD535" i="1"/>
  <c r="BE534" i="1"/>
  <c r="BF534" i="1" s="1"/>
  <c r="AD534" i="1"/>
  <c r="BF533" i="1"/>
  <c r="BE533" i="1"/>
  <c r="AC533" i="1"/>
  <c r="BF532" i="1"/>
  <c r="BE532" i="1"/>
  <c r="AC532" i="1"/>
  <c r="AD532" i="1" s="1"/>
  <c r="BE531" i="1"/>
  <c r="BF531" i="1" s="1"/>
  <c r="AD531" i="1"/>
  <c r="BF530" i="1"/>
  <c r="BE530" i="1"/>
  <c r="AD530" i="1"/>
  <c r="BE529" i="1"/>
  <c r="BF529" i="1" s="1"/>
  <c r="AD529" i="1"/>
  <c r="BF528" i="1"/>
  <c r="BE528" i="1"/>
  <c r="AD528" i="1"/>
  <c r="BF527" i="1"/>
  <c r="BE527" i="1"/>
  <c r="AD527" i="1"/>
  <c r="BF526" i="1"/>
  <c r="BE526" i="1"/>
  <c r="AD526" i="1"/>
  <c r="BE525" i="1"/>
  <c r="BF525" i="1" s="1"/>
  <c r="AD525" i="1"/>
  <c r="BF524" i="1"/>
  <c r="BE524" i="1"/>
  <c r="AD524" i="1"/>
  <c r="BF523" i="1"/>
  <c r="BE523" i="1"/>
  <c r="AD523" i="1"/>
  <c r="BF522" i="1"/>
  <c r="BE522" i="1"/>
  <c r="AD522" i="1"/>
  <c r="BE521" i="1"/>
  <c r="BF521" i="1" s="1"/>
  <c r="AD521" i="1"/>
  <c r="BE520" i="1"/>
  <c r="BF520" i="1" s="1"/>
  <c r="AD520" i="1"/>
  <c r="BE519" i="1"/>
  <c r="BF519" i="1" s="1"/>
  <c r="AD519" i="1"/>
  <c r="BE518" i="1"/>
  <c r="BF518" i="1" s="1"/>
  <c r="AD518" i="1"/>
  <c r="BE517" i="1"/>
  <c r="BF517" i="1" s="1"/>
  <c r="AD517" i="1"/>
  <c r="BF516" i="1"/>
  <c r="BE516" i="1"/>
  <c r="AD516" i="1"/>
  <c r="BE515" i="1"/>
  <c r="BF515" i="1" s="1"/>
  <c r="AD515" i="1"/>
  <c r="BF514" i="1"/>
  <c r="BE514" i="1"/>
  <c r="AD514" i="1"/>
  <c r="BE513" i="1"/>
  <c r="BF513" i="1" s="1"/>
  <c r="AD513" i="1"/>
  <c r="BF512" i="1"/>
  <c r="BE512" i="1"/>
  <c r="AD512" i="1"/>
  <c r="BF511" i="1"/>
  <c r="BE511" i="1"/>
  <c r="AD511" i="1"/>
  <c r="BF510" i="1"/>
  <c r="BE510" i="1"/>
  <c r="AD510" i="1"/>
  <c r="BE509" i="1"/>
  <c r="BF509" i="1" s="1"/>
  <c r="AD509" i="1"/>
  <c r="BF508" i="1"/>
  <c r="BE508" i="1"/>
  <c r="AD508" i="1"/>
  <c r="BF507" i="1"/>
  <c r="BE507" i="1"/>
  <c r="AD507" i="1"/>
  <c r="BF506" i="1"/>
  <c r="BE506" i="1"/>
  <c r="AC506" i="1"/>
  <c r="AD506" i="1" s="1"/>
  <c r="BF505" i="1"/>
  <c r="BE505" i="1"/>
  <c r="AD505" i="1"/>
  <c r="BE504" i="1"/>
  <c r="BF504" i="1" s="1"/>
  <c r="AD504" i="1"/>
  <c r="BF503" i="1"/>
  <c r="BE503" i="1"/>
  <c r="AD503" i="1"/>
  <c r="BF502" i="1"/>
  <c r="BE502" i="1"/>
  <c r="AD502" i="1"/>
  <c r="BF501" i="1"/>
  <c r="BE501" i="1"/>
  <c r="AD501" i="1"/>
  <c r="M501" i="1"/>
  <c r="K501" i="1"/>
  <c r="J501" i="1"/>
  <c r="I501" i="1"/>
  <c r="H501" i="1"/>
  <c r="G501" i="1"/>
  <c r="BE500" i="1"/>
  <c r="BF500" i="1" s="1"/>
  <c r="AD500" i="1"/>
  <c r="BE499" i="1"/>
  <c r="BF499" i="1" s="1"/>
  <c r="AD499" i="1"/>
  <c r="BE498" i="1"/>
  <c r="BF498" i="1" s="1"/>
  <c r="AD498" i="1"/>
  <c r="BE497" i="1"/>
  <c r="BF497" i="1" s="1"/>
  <c r="AC497" i="1"/>
  <c r="BE496" i="1"/>
  <c r="BF496" i="1" s="1"/>
  <c r="AD496" i="1"/>
  <c r="BF495" i="1"/>
  <c r="BE495" i="1"/>
  <c r="AD495" i="1"/>
  <c r="BE494" i="1"/>
  <c r="BF494" i="1" s="1"/>
  <c r="BF493" i="1"/>
  <c r="BE493" i="1"/>
  <c r="AD493" i="1"/>
  <c r="BF492" i="1"/>
  <c r="BE492" i="1"/>
  <c r="BE491" i="1"/>
  <c r="BF491" i="1" s="1"/>
  <c r="AD491" i="1"/>
  <c r="BE490" i="1"/>
  <c r="BF490" i="1" s="1"/>
  <c r="AD490" i="1"/>
  <c r="BF489" i="1"/>
  <c r="BE489" i="1"/>
  <c r="AD489" i="1"/>
  <c r="BE488" i="1"/>
  <c r="BF488" i="1" s="1"/>
  <c r="AD488" i="1"/>
  <c r="BE487" i="1"/>
  <c r="BF487" i="1" s="1"/>
  <c r="BF486" i="1"/>
  <c r="BE486" i="1"/>
  <c r="AD486" i="1"/>
  <c r="BE485" i="1"/>
  <c r="BF485" i="1" s="1"/>
  <c r="AD485" i="1"/>
  <c r="BE484" i="1"/>
  <c r="BF484" i="1" s="1"/>
  <c r="AD484" i="1"/>
  <c r="BE483" i="1"/>
  <c r="BF483" i="1" s="1"/>
  <c r="AD483" i="1"/>
  <c r="BE482" i="1"/>
  <c r="BF482" i="1" s="1"/>
  <c r="AD482" i="1"/>
  <c r="BE481" i="1"/>
  <c r="BF481" i="1" s="1"/>
  <c r="AD481" i="1"/>
  <c r="BE480" i="1"/>
  <c r="BF480" i="1" s="1"/>
  <c r="AD480" i="1"/>
  <c r="BE479" i="1"/>
  <c r="BF479" i="1" s="1"/>
  <c r="AD479" i="1"/>
  <c r="BF478" i="1"/>
  <c r="BE478" i="1"/>
  <c r="AD478" i="1"/>
  <c r="BE477" i="1"/>
  <c r="BF477" i="1" s="1"/>
  <c r="AD477" i="1"/>
  <c r="BE476" i="1"/>
  <c r="BF476" i="1" s="1"/>
  <c r="AD476" i="1"/>
  <c r="BF475" i="1"/>
  <c r="BE475" i="1"/>
  <c r="AD475" i="1"/>
  <c r="BF474" i="1"/>
  <c r="BE474" i="1"/>
  <c r="AD474" i="1"/>
  <c r="BE473" i="1"/>
  <c r="BF473" i="1" s="1"/>
  <c r="AC473" i="1"/>
  <c r="AD473" i="1" s="1"/>
  <c r="BE472" i="1"/>
  <c r="BF472" i="1" s="1"/>
  <c r="AD472" i="1"/>
  <c r="BE471" i="1"/>
  <c r="BF471" i="1" s="1"/>
  <c r="AC471" i="1"/>
  <c r="BF470" i="1"/>
  <c r="BE470" i="1"/>
  <c r="AD470" i="1"/>
  <c r="BF469" i="1"/>
  <c r="BE469" i="1"/>
  <c r="AD469" i="1"/>
  <c r="BE468" i="1"/>
  <c r="BF468" i="1" s="1"/>
  <c r="AD468" i="1"/>
  <c r="BF467" i="1"/>
  <c r="BE467" i="1"/>
  <c r="AD467" i="1"/>
  <c r="M467" i="1"/>
  <c r="K467" i="1"/>
  <c r="J467" i="1"/>
  <c r="I467" i="1"/>
  <c r="H467" i="1"/>
  <c r="G467" i="1"/>
  <c r="BE466" i="1"/>
  <c r="BF466" i="1" s="1"/>
  <c r="AD466" i="1"/>
  <c r="BE465" i="1"/>
  <c r="BF465" i="1" s="1"/>
  <c r="AD465" i="1"/>
  <c r="BE464" i="1"/>
  <c r="BF464" i="1" s="1"/>
  <c r="AD464" i="1"/>
  <c r="BE463" i="1"/>
  <c r="BF463" i="1" s="1"/>
  <c r="AD463" i="1"/>
  <c r="BE462" i="1"/>
  <c r="BF462" i="1" s="1"/>
  <c r="BF461" i="1"/>
  <c r="BE461" i="1"/>
  <c r="AD461" i="1"/>
  <c r="BF460" i="1"/>
  <c r="BE460" i="1"/>
  <c r="AD460" i="1"/>
  <c r="BE459" i="1"/>
  <c r="BF459" i="1" s="1"/>
  <c r="AD459" i="1"/>
  <c r="BF458" i="1"/>
  <c r="BE458" i="1"/>
  <c r="AD458" i="1"/>
  <c r="BF457" i="1"/>
  <c r="BE457" i="1"/>
  <c r="AD457" i="1"/>
  <c r="BF456" i="1"/>
  <c r="BE456" i="1"/>
  <c r="AD456" i="1"/>
  <c r="BE455" i="1"/>
  <c r="BF455" i="1" s="1"/>
  <c r="AD455" i="1"/>
  <c r="BE454" i="1"/>
  <c r="BF454" i="1" s="1"/>
  <c r="AD454" i="1"/>
  <c r="BE453" i="1"/>
  <c r="BF453" i="1" s="1"/>
  <c r="AD453" i="1"/>
  <c r="BE452" i="1"/>
  <c r="BF452" i="1" s="1"/>
  <c r="AD452" i="1"/>
  <c r="BE451" i="1"/>
  <c r="BF451" i="1" s="1"/>
  <c r="AD451" i="1"/>
  <c r="BE450" i="1"/>
  <c r="BF450" i="1" s="1"/>
  <c r="AD450" i="1"/>
  <c r="AC450" i="1"/>
  <c r="BE449" i="1"/>
  <c r="BF449" i="1" s="1"/>
  <c r="AD449" i="1"/>
  <c r="BE448" i="1"/>
  <c r="BF448" i="1" s="1"/>
  <c r="AD448" i="1"/>
  <c r="K448" i="1"/>
  <c r="J448" i="1"/>
  <c r="I448" i="1"/>
  <c r="H448" i="1"/>
  <c r="G448" i="1"/>
  <c r="BF447" i="1"/>
  <c r="BE447" i="1"/>
  <c r="AD447" i="1"/>
  <c r="BF446" i="1"/>
  <c r="BE446" i="1"/>
  <c r="AD446" i="1"/>
  <c r="BE445" i="1"/>
  <c r="BF445" i="1" s="1"/>
  <c r="AD445" i="1"/>
  <c r="BF444" i="1"/>
  <c r="BE444" i="1"/>
  <c r="AD444" i="1"/>
  <c r="BF443" i="1"/>
  <c r="BE443" i="1"/>
  <c r="AD443" i="1"/>
  <c r="BF442" i="1"/>
  <c r="BE442" i="1"/>
  <c r="AD442" i="1"/>
  <c r="BE441" i="1"/>
  <c r="BF441" i="1" s="1"/>
  <c r="AD441" i="1"/>
  <c r="BE440" i="1"/>
  <c r="BF440" i="1" s="1"/>
  <c r="AD440" i="1"/>
  <c r="BE439" i="1"/>
  <c r="BF439" i="1" s="1"/>
  <c r="AD439" i="1"/>
  <c r="BF438" i="1"/>
  <c r="BE438" i="1"/>
  <c r="AD438" i="1"/>
  <c r="BE437" i="1"/>
  <c r="BF437" i="1" s="1"/>
  <c r="AD437" i="1"/>
  <c r="BE436" i="1"/>
  <c r="BF436" i="1" s="1"/>
  <c r="AD436" i="1"/>
  <c r="BF435" i="1"/>
  <c r="BE435" i="1"/>
  <c r="AD435" i="1"/>
  <c r="BF434" i="1"/>
  <c r="BE434" i="1"/>
  <c r="AD434" i="1"/>
  <c r="BE433" i="1"/>
  <c r="BF433" i="1" s="1"/>
  <c r="AD433" i="1"/>
  <c r="BE432" i="1"/>
  <c r="BF432" i="1" s="1"/>
  <c r="AD432" i="1"/>
  <c r="BF431" i="1"/>
  <c r="BE431" i="1"/>
  <c r="AD431" i="1"/>
  <c r="BF430" i="1"/>
  <c r="BE430" i="1"/>
  <c r="AD430" i="1"/>
  <c r="BE429" i="1"/>
  <c r="BF429" i="1" s="1"/>
  <c r="AD429" i="1"/>
  <c r="BF428" i="1"/>
  <c r="BE428" i="1"/>
  <c r="AD428" i="1"/>
  <c r="BF427" i="1"/>
  <c r="BE427" i="1"/>
  <c r="AD427" i="1"/>
  <c r="BF426" i="1"/>
  <c r="BE426" i="1"/>
  <c r="AD426" i="1"/>
  <c r="BE425" i="1"/>
  <c r="BF425" i="1" s="1"/>
  <c r="AD425" i="1"/>
  <c r="J425" i="1"/>
  <c r="I425" i="1"/>
  <c r="H425" i="1"/>
  <c r="G425" i="1"/>
  <c r="BF424" i="1"/>
  <c r="BE424" i="1"/>
  <c r="AD424" i="1"/>
  <c r="BF423" i="1"/>
  <c r="BE423" i="1"/>
  <c r="AD423" i="1"/>
  <c r="BF422" i="1"/>
  <c r="BE422" i="1"/>
  <c r="AC422" i="1"/>
  <c r="AD422" i="1" s="1"/>
  <c r="BF421" i="1"/>
  <c r="BE421" i="1"/>
  <c r="AD421" i="1"/>
  <c r="BE420" i="1"/>
  <c r="BF420" i="1" s="1"/>
  <c r="AD420" i="1"/>
  <c r="BF419" i="1"/>
  <c r="BE419" i="1"/>
  <c r="AD419" i="1"/>
  <c r="BF418" i="1"/>
  <c r="BE418" i="1"/>
  <c r="AD418" i="1"/>
  <c r="BF417" i="1"/>
  <c r="BE417" i="1"/>
  <c r="AD417" i="1"/>
  <c r="BE416" i="1"/>
  <c r="BF416" i="1" s="1"/>
  <c r="BF415" i="1"/>
  <c r="BE415" i="1"/>
  <c r="AC415" i="1"/>
  <c r="AD415" i="1" s="1"/>
  <c r="BE414" i="1"/>
  <c r="BF414" i="1" s="1"/>
  <c r="AC414" i="1"/>
  <c r="BF413" i="1"/>
  <c r="BE413" i="1"/>
  <c r="AD413" i="1"/>
  <c r="BE412" i="1"/>
  <c r="BF412" i="1" s="1"/>
  <c r="AD412" i="1"/>
  <c r="BE411" i="1"/>
  <c r="BF411" i="1" s="1"/>
  <c r="AD411" i="1"/>
  <c r="BF410" i="1"/>
  <c r="BE410" i="1"/>
  <c r="AD410" i="1"/>
  <c r="BF409" i="1"/>
  <c r="BE409" i="1"/>
  <c r="AD409" i="1"/>
  <c r="BF408" i="1"/>
  <c r="BE408" i="1"/>
  <c r="AD408" i="1"/>
  <c r="BE407" i="1"/>
  <c r="BF407" i="1" s="1"/>
  <c r="BF406" i="1"/>
  <c r="BE406" i="1"/>
  <c r="AD406" i="1"/>
  <c r="BE405" i="1"/>
  <c r="BF405" i="1" s="1"/>
  <c r="AD405" i="1"/>
  <c r="BE404" i="1"/>
  <c r="BF404" i="1" s="1"/>
  <c r="AD404" i="1"/>
  <c r="BE403" i="1"/>
  <c r="BF403" i="1" s="1"/>
  <c r="AD403" i="1"/>
  <c r="BF402" i="1"/>
  <c r="BE402" i="1"/>
  <c r="AD402" i="1"/>
  <c r="BE401" i="1"/>
  <c r="BF401" i="1" s="1"/>
  <c r="AD401" i="1"/>
  <c r="BE400" i="1"/>
  <c r="BF400" i="1" s="1"/>
  <c r="AD400" i="1"/>
  <c r="BF399" i="1"/>
  <c r="BE399" i="1"/>
  <c r="AD399" i="1"/>
  <c r="BF398" i="1"/>
  <c r="BE398" i="1"/>
  <c r="AD398" i="1"/>
  <c r="BF397" i="1"/>
  <c r="BE397" i="1"/>
  <c r="AD397" i="1"/>
  <c r="BE396" i="1"/>
  <c r="BF396" i="1" s="1"/>
  <c r="AD396" i="1"/>
  <c r="BF395" i="1"/>
  <c r="BE395" i="1"/>
  <c r="AD395" i="1"/>
  <c r="BF394" i="1"/>
  <c r="BE394" i="1"/>
  <c r="AD394" i="1"/>
  <c r="BE393" i="1"/>
  <c r="BF393" i="1" s="1"/>
  <c r="AD393" i="1"/>
  <c r="BE392" i="1"/>
  <c r="BF392" i="1" s="1"/>
  <c r="AC392" i="1"/>
  <c r="BF391" i="1"/>
  <c r="BE391" i="1"/>
  <c r="AD391" i="1"/>
  <c r="BF390" i="1"/>
  <c r="BE390" i="1"/>
  <c r="AD390" i="1"/>
  <c r="BE389" i="1"/>
  <c r="BF389" i="1" s="1"/>
  <c r="AD389" i="1"/>
  <c r="BE388" i="1"/>
  <c r="BF388" i="1" s="1"/>
  <c r="AD388" i="1"/>
  <c r="BE387" i="1"/>
  <c r="BF387" i="1" s="1"/>
  <c r="AD387" i="1"/>
  <c r="BF386" i="1"/>
  <c r="BE386" i="1"/>
  <c r="AD386" i="1"/>
  <c r="BE385" i="1"/>
  <c r="BF385" i="1" s="1"/>
  <c r="BF384" i="1"/>
  <c r="BE384" i="1"/>
  <c r="BE383" i="1"/>
  <c r="BF383" i="1" s="1"/>
  <c r="BF382" i="1"/>
  <c r="BE382" i="1"/>
  <c r="AD382" i="1"/>
  <c r="BF381" i="1"/>
  <c r="BE381" i="1"/>
  <c r="AD381" i="1"/>
  <c r="BF380" i="1"/>
  <c r="BE380" i="1"/>
  <c r="AD380" i="1"/>
  <c r="BE379" i="1"/>
  <c r="BF379" i="1" s="1"/>
  <c r="AD379" i="1"/>
  <c r="BF378" i="1"/>
  <c r="BE378" i="1"/>
  <c r="AC378" i="1"/>
  <c r="BF377" i="1"/>
  <c r="BE377" i="1"/>
  <c r="AD377" i="1"/>
  <c r="BE376" i="1"/>
  <c r="BF376" i="1" s="1"/>
  <c r="AD376" i="1"/>
  <c r="BE375" i="1"/>
  <c r="BF375" i="1" s="1"/>
  <c r="AD375" i="1"/>
  <c r="BF374" i="1"/>
  <c r="BE374" i="1"/>
  <c r="AD374" i="1"/>
  <c r="BF373" i="1"/>
  <c r="BE373" i="1"/>
  <c r="AD373" i="1"/>
  <c r="BE372" i="1"/>
  <c r="BF372" i="1" s="1"/>
  <c r="BF371" i="1"/>
  <c r="BE371" i="1"/>
  <c r="AD371" i="1"/>
  <c r="BF370" i="1"/>
  <c r="BE370" i="1"/>
  <c r="AD370" i="1"/>
  <c r="BF369" i="1"/>
  <c r="BE369" i="1"/>
  <c r="AD369" i="1"/>
  <c r="BE368" i="1"/>
  <c r="BF368" i="1" s="1"/>
  <c r="AD368" i="1"/>
  <c r="BF367" i="1"/>
  <c r="BE367" i="1"/>
  <c r="AD367" i="1"/>
  <c r="BF366" i="1"/>
  <c r="BE366" i="1"/>
  <c r="AC366" i="1"/>
  <c r="BE365" i="1"/>
  <c r="BF365" i="1" s="1"/>
  <c r="AC365" i="1"/>
  <c r="BE364" i="1"/>
  <c r="BF364" i="1" s="1"/>
  <c r="AD364" i="1"/>
  <c r="BF363" i="1"/>
  <c r="BE363" i="1"/>
  <c r="AD363" i="1"/>
  <c r="BF362" i="1"/>
  <c r="BE362" i="1"/>
  <c r="AD362" i="1"/>
  <c r="BE361" i="1"/>
  <c r="BF361" i="1" s="1"/>
  <c r="AD361" i="1"/>
  <c r="BE360" i="1"/>
  <c r="BF360" i="1" s="1"/>
  <c r="AD360" i="1"/>
  <c r="BF359" i="1"/>
  <c r="BE359" i="1"/>
  <c r="AD359" i="1"/>
  <c r="BF358" i="1"/>
  <c r="BE358" i="1"/>
  <c r="AC358" i="1"/>
  <c r="BE357" i="1"/>
  <c r="BF357" i="1" s="1"/>
  <c r="AD357" i="1"/>
  <c r="BE356" i="1"/>
  <c r="BF356" i="1" s="1"/>
  <c r="AD356" i="1"/>
  <c r="BE355" i="1"/>
  <c r="BF355" i="1" s="1"/>
  <c r="AD355" i="1"/>
  <c r="BF354" i="1"/>
  <c r="BE354" i="1"/>
  <c r="AD354" i="1"/>
  <c r="BF353" i="1"/>
  <c r="BE353" i="1"/>
  <c r="AD353" i="1"/>
  <c r="BF352" i="1"/>
  <c r="BE352" i="1"/>
  <c r="AD352" i="1"/>
  <c r="BE351" i="1"/>
  <c r="BF351" i="1" s="1"/>
  <c r="AC351" i="1"/>
  <c r="BF350" i="1"/>
  <c r="BE350" i="1"/>
  <c r="AD350" i="1"/>
  <c r="BE349" i="1"/>
  <c r="BF349" i="1" s="1"/>
  <c r="AD349" i="1"/>
  <c r="BE348" i="1"/>
  <c r="BF348" i="1" s="1"/>
  <c r="AD348" i="1"/>
  <c r="BE347" i="1"/>
  <c r="BF347" i="1" s="1"/>
  <c r="AD347" i="1"/>
  <c r="BF346" i="1"/>
  <c r="BE346" i="1"/>
  <c r="AD346" i="1"/>
  <c r="BE345" i="1"/>
  <c r="BF345" i="1" s="1"/>
  <c r="AD345" i="1"/>
  <c r="BE344" i="1"/>
  <c r="BF344" i="1" s="1"/>
  <c r="AD344" i="1"/>
  <c r="BF343" i="1"/>
  <c r="BE343" i="1"/>
  <c r="AD343" i="1"/>
  <c r="BF342" i="1"/>
  <c r="BE342" i="1"/>
  <c r="AD342" i="1"/>
  <c r="BE341" i="1"/>
  <c r="BF341" i="1" s="1"/>
  <c r="AD341" i="1"/>
  <c r="BE340" i="1"/>
  <c r="BF340" i="1" s="1"/>
  <c r="AC340" i="1"/>
  <c r="BE339" i="1"/>
  <c r="BF339" i="1" s="1"/>
  <c r="AD339" i="1"/>
  <c r="BF338" i="1"/>
  <c r="BE338" i="1"/>
  <c r="AD338" i="1"/>
  <c r="BF337" i="1"/>
  <c r="BE337" i="1"/>
  <c r="AD337" i="1"/>
  <c r="BF336" i="1"/>
  <c r="BE336" i="1"/>
  <c r="AD336" i="1"/>
  <c r="BE335" i="1"/>
  <c r="BF335" i="1" s="1"/>
  <c r="BE334" i="1"/>
  <c r="BF334" i="1" s="1"/>
  <c r="AD334" i="1"/>
  <c r="BE333" i="1"/>
  <c r="BF333" i="1" s="1"/>
  <c r="AD333" i="1"/>
  <c r="BF332" i="1"/>
  <c r="BE332" i="1"/>
  <c r="AD332" i="1"/>
  <c r="BF331" i="1"/>
  <c r="BE331" i="1"/>
  <c r="AD331" i="1"/>
  <c r="BE330" i="1"/>
  <c r="BF330" i="1" s="1"/>
  <c r="AD330" i="1"/>
  <c r="BE329" i="1"/>
  <c r="BF329" i="1" s="1"/>
  <c r="AD329" i="1"/>
  <c r="BE328" i="1"/>
  <c r="BF328" i="1" s="1"/>
  <c r="BE327" i="1"/>
  <c r="BF327" i="1" s="1"/>
  <c r="BF326" i="1"/>
  <c r="BE326" i="1"/>
  <c r="AD326" i="1"/>
  <c r="BF325" i="1"/>
  <c r="BE325" i="1"/>
  <c r="AD325" i="1"/>
  <c r="BE324" i="1"/>
  <c r="BF324" i="1" s="1"/>
  <c r="AD324" i="1"/>
  <c r="BE323" i="1"/>
  <c r="BF323" i="1" s="1"/>
  <c r="AD323" i="1"/>
  <c r="BE322" i="1"/>
  <c r="BF322" i="1" s="1"/>
  <c r="AD322" i="1"/>
  <c r="BF321" i="1"/>
  <c r="BE321" i="1"/>
  <c r="BE320" i="1"/>
  <c r="BF320" i="1" s="1"/>
  <c r="AD320" i="1"/>
  <c r="BE319" i="1"/>
  <c r="BF319" i="1" s="1"/>
  <c r="AD319" i="1"/>
  <c r="BF318" i="1"/>
  <c r="BE318" i="1"/>
  <c r="AD318" i="1"/>
  <c r="BE317" i="1"/>
  <c r="BF317" i="1" s="1"/>
  <c r="AD317" i="1"/>
  <c r="BE316" i="1"/>
  <c r="BF316" i="1" s="1"/>
  <c r="AD316" i="1"/>
  <c r="BF315" i="1"/>
  <c r="BE315" i="1"/>
  <c r="AD315" i="1"/>
  <c r="BF314" i="1"/>
  <c r="BE314" i="1"/>
  <c r="AD314" i="1"/>
  <c r="BE313" i="1"/>
  <c r="BF313" i="1" s="1"/>
  <c r="AD313" i="1"/>
  <c r="BE312" i="1"/>
  <c r="BF312" i="1" s="1"/>
  <c r="AD312" i="1"/>
  <c r="BE311" i="1"/>
  <c r="BF311" i="1" s="1"/>
  <c r="AD311" i="1"/>
  <c r="BF310" i="1"/>
  <c r="BE310" i="1"/>
  <c r="AD310" i="1"/>
  <c r="BF309" i="1"/>
  <c r="BE309" i="1"/>
  <c r="AD309" i="1"/>
  <c r="BF308" i="1"/>
  <c r="BE308" i="1"/>
  <c r="AD308" i="1"/>
  <c r="BF307" i="1"/>
  <c r="BE307" i="1"/>
  <c r="AD307" i="1"/>
  <c r="BF306" i="1"/>
  <c r="BE306" i="1"/>
  <c r="AD306" i="1"/>
  <c r="BE305" i="1"/>
  <c r="BF305" i="1" s="1"/>
  <c r="AC305" i="1"/>
  <c r="BE304" i="1"/>
  <c r="BF304" i="1" s="1"/>
  <c r="AD304" i="1"/>
  <c r="BE303" i="1"/>
  <c r="BF303" i="1" s="1"/>
  <c r="AD303" i="1"/>
  <c r="BF302" i="1"/>
  <c r="BE302" i="1"/>
  <c r="AD302" i="1"/>
  <c r="BE301" i="1"/>
  <c r="BF301" i="1" s="1"/>
  <c r="AD301" i="1"/>
  <c r="BE300" i="1"/>
  <c r="BF300" i="1" s="1"/>
  <c r="AD300" i="1"/>
  <c r="BF299" i="1"/>
  <c r="BE299" i="1"/>
  <c r="AD299" i="1"/>
  <c r="BF298" i="1"/>
  <c r="BE298" i="1"/>
  <c r="AD298" i="1"/>
  <c r="BE297" i="1"/>
  <c r="BF297" i="1" s="1"/>
  <c r="AD297" i="1"/>
  <c r="BE296" i="1"/>
  <c r="BF296" i="1" s="1"/>
  <c r="AD296" i="1"/>
  <c r="BF295" i="1"/>
  <c r="BE295" i="1"/>
  <c r="AD295" i="1"/>
  <c r="BE294" i="1"/>
  <c r="BF294" i="1" s="1"/>
  <c r="AD294" i="1"/>
  <c r="BF293" i="1"/>
  <c r="BE293" i="1"/>
  <c r="AD293" i="1"/>
  <c r="BF292" i="1"/>
  <c r="BE292" i="1"/>
  <c r="AD292" i="1"/>
  <c r="BF291" i="1"/>
  <c r="BE291" i="1"/>
  <c r="AD291" i="1"/>
  <c r="BF290" i="1"/>
  <c r="BE290" i="1"/>
  <c r="AD290" i="1"/>
  <c r="BE289" i="1"/>
  <c r="BF289" i="1" s="1"/>
  <c r="AD289" i="1"/>
  <c r="BE288" i="1"/>
  <c r="BF288" i="1" s="1"/>
  <c r="AD288" i="1"/>
  <c r="BE287" i="1"/>
  <c r="BF287" i="1" s="1"/>
  <c r="AD287" i="1"/>
  <c r="BF286" i="1"/>
  <c r="BE286" i="1"/>
  <c r="AD286" i="1"/>
  <c r="BE285" i="1"/>
  <c r="BF285" i="1" s="1"/>
  <c r="AD285" i="1"/>
  <c r="BE284" i="1"/>
  <c r="BF284" i="1" s="1"/>
  <c r="AD284" i="1"/>
  <c r="BF283" i="1"/>
  <c r="BE283" i="1"/>
  <c r="AD283" i="1"/>
  <c r="BF282" i="1"/>
  <c r="BE282" i="1"/>
  <c r="AD282" i="1"/>
  <c r="BE281" i="1"/>
  <c r="BF281" i="1" s="1"/>
  <c r="BF280" i="1"/>
  <c r="BE280" i="1"/>
  <c r="AD280" i="1"/>
  <c r="BF279" i="1"/>
  <c r="BE279" i="1"/>
  <c r="AD279" i="1"/>
  <c r="BE278" i="1"/>
  <c r="BF278" i="1" s="1"/>
  <c r="AD278" i="1"/>
  <c r="BE277" i="1"/>
  <c r="BF277" i="1" s="1"/>
  <c r="AD277" i="1"/>
  <c r="BE276" i="1"/>
  <c r="BF276" i="1" s="1"/>
  <c r="AD276" i="1"/>
  <c r="BF275" i="1"/>
  <c r="BE275" i="1"/>
  <c r="AD275" i="1"/>
  <c r="BE274" i="1"/>
  <c r="BF274" i="1" s="1"/>
  <c r="AD274" i="1"/>
  <c r="BE273" i="1"/>
  <c r="BF273" i="1" s="1"/>
  <c r="AD273" i="1"/>
  <c r="BF272" i="1"/>
  <c r="BE272" i="1"/>
  <c r="AD272" i="1"/>
  <c r="BF271" i="1"/>
  <c r="BE271" i="1"/>
  <c r="AC271" i="1"/>
  <c r="AD271" i="1" s="1"/>
  <c r="BF270" i="1"/>
  <c r="BE270" i="1"/>
  <c r="AD270" i="1"/>
  <c r="BE269" i="1"/>
  <c r="BF269" i="1" s="1"/>
  <c r="AD269" i="1"/>
  <c r="BE268" i="1"/>
  <c r="BF268" i="1" s="1"/>
  <c r="AD268" i="1"/>
  <c r="BF267" i="1"/>
  <c r="BE267" i="1"/>
  <c r="AD267" i="1"/>
  <c r="BF266" i="1"/>
  <c r="BE266" i="1"/>
  <c r="AD266" i="1"/>
  <c r="BE265" i="1"/>
  <c r="BF265" i="1" s="1"/>
  <c r="AD265" i="1"/>
  <c r="BE264" i="1"/>
  <c r="BF264" i="1" s="1"/>
  <c r="AD264" i="1"/>
  <c r="BE263" i="1"/>
  <c r="BF263" i="1" s="1"/>
  <c r="AD263" i="1"/>
  <c r="BE262" i="1"/>
  <c r="BF262" i="1" s="1"/>
  <c r="AD262" i="1"/>
  <c r="BF261" i="1"/>
  <c r="BE261" i="1"/>
  <c r="AD261" i="1"/>
  <c r="BE260" i="1"/>
  <c r="BF260" i="1" s="1"/>
  <c r="AC260" i="1"/>
  <c r="BF259" i="1"/>
  <c r="BE259" i="1"/>
  <c r="AD259" i="1"/>
  <c r="BF258" i="1"/>
  <c r="BE258" i="1"/>
  <c r="BE257" i="1"/>
  <c r="BF257" i="1" s="1"/>
  <c r="AC257" i="1"/>
  <c r="H257" i="1"/>
  <c r="G257" i="1"/>
  <c r="BF256" i="1"/>
  <c r="BE256" i="1"/>
  <c r="AD256" i="1"/>
  <c r="BE255" i="1"/>
  <c r="BF255" i="1" s="1"/>
  <c r="AD255" i="1"/>
  <c r="BF254" i="1"/>
  <c r="BE254" i="1"/>
  <c r="BE253" i="1"/>
  <c r="BF253" i="1" s="1"/>
  <c r="AD253" i="1"/>
  <c r="BE252" i="1"/>
  <c r="BF252" i="1" s="1"/>
  <c r="AD252" i="1"/>
  <c r="BF251" i="1"/>
  <c r="BE251" i="1"/>
  <c r="AD251" i="1"/>
  <c r="BF250" i="1"/>
  <c r="BE250" i="1"/>
  <c r="BE249" i="1"/>
  <c r="BF249" i="1" s="1"/>
  <c r="AD249" i="1"/>
  <c r="BF248" i="1"/>
  <c r="BE248" i="1"/>
  <c r="AD248" i="1"/>
  <c r="BF247" i="1"/>
  <c r="BE247" i="1"/>
  <c r="AD247" i="1"/>
  <c r="BE246" i="1"/>
  <c r="BF246" i="1" s="1"/>
  <c r="AD246" i="1"/>
  <c r="BE245" i="1"/>
  <c r="BF245" i="1" s="1"/>
  <c r="AD245" i="1"/>
  <c r="BE244" i="1"/>
  <c r="BF244" i="1" s="1"/>
  <c r="AD244" i="1"/>
  <c r="BF243" i="1"/>
  <c r="BE243" i="1"/>
  <c r="AD243" i="1"/>
  <c r="BE242" i="1"/>
  <c r="BF242" i="1" s="1"/>
  <c r="AD242" i="1"/>
  <c r="BE241" i="1"/>
  <c r="BF241" i="1" s="1"/>
  <c r="AD241" i="1"/>
  <c r="BF240" i="1"/>
  <c r="BE240" i="1"/>
  <c r="AD240" i="1"/>
  <c r="BF239" i="1"/>
  <c r="BE239" i="1"/>
  <c r="AD239" i="1"/>
  <c r="BE238" i="1"/>
  <c r="BF238" i="1" s="1"/>
  <c r="AD238" i="1"/>
  <c r="BE237" i="1"/>
  <c r="BF237" i="1" s="1"/>
  <c r="BF236" i="1"/>
  <c r="BE236" i="1"/>
  <c r="AD236" i="1"/>
  <c r="BE235" i="1"/>
  <c r="BF235" i="1" s="1"/>
  <c r="AD235" i="1"/>
  <c r="BE234" i="1"/>
  <c r="BF234" i="1" s="1"/>
  <c r="AD234" i="1"/>
  <c r="BE233" i="1"/>
  <c r="BF233" i="1" s="1"/>
  <c r="AD233" i="1"/>
  <c r="BF232" i="1"/>
  <c r="BE232" i="1"/>
  <c r="AD232" i="1"/>
  <c r="BE231" i="1"/>
  <c r="BF231" i="1" s="1"/>
  <c r="AD231" i="1"/>
  <c r="BE230" i="1"/>
  <c r="BF230" i="1" s="1"/>
  <c r="AD230" i="1"/>
  <c r="BF229" i="1"/>
  <c r="BE229" i="1"/>
  <c r="AD229" i="1"/>
  <c r="BF228" i="1"/>
  <c r="BE228" i="1"/>
  <c r="AD228" i="1"/>
  <c r="BE227" i="1"/>
  <c r="BF227" i="1" s="1"/>
  <c r="AC227" i="1"/>
  <c r="BE226" i="1"/>
  <c r="BF226" i="1" s="1"/>
  <c r="AD226" i="1"/>
  <c r="BE225" i="1"/>
  <c r="BF225" i="1" s="1"/>
  <c r="AC225" i="1"/>
  <c r="BE224" i="1"/>
  <c r="BF224" i="1" s="1"/>
  <c r="AD224" i="1"/>
  <c r="BF223" i="1"/>
  <c r="BE223" i="1"/>
  <c r="AD223" i="1"/>
  <c r="BE222" i="1"/>
  <c r="BF222" i="1" s="1"/>
  <c r="AD222" i="1"/>
  <c r="BF221" i="1"/>
  <c r="BE221" i="1"/>
  <c r="AD221" i="1"/>
  <c r="BF220" i="1"/>
  <c r="BE220" i="1"/>
  <c r="AD220" i="1"/>
  <c r="BE219" i="1"/>
  <c r="BF219" i="1" s="1"/>
  <c r="AD219" i="1"/>
  <c r="BE218" i="1"/>
  <c r="BF218" i="1" s="1"/>
  <c r="AD218" i="1"/>
  <c r="BE217" i="1"/>
  <c r="BF217" i="1" s="1"/>
  <c r="AD217" i="1"/>
  <c r="BF216" i="1"/>
  <c r="BE216" i="1"/>
  <c r="AD216" i="1"/>
  <c r="BE215" i="1"/>
  <c r="BF215" i="1" s="1"/>
  <c r="AD215" i="1"/>
  <c r="BE214" i="1"/>
  <c r="BF214" i="1" s="1"/>
  <c r="AD214" i="1"/>
  <c r="BF213" i="1"/>
  <c r="BE213" i="1"/>
  <c r="AD213" i="1"/>
  <c r="BF212" i="1"/>
  <c r="BE212" i="1"/>
  <c r="AD212" i="1"/>
  <c r="M212" i="1"/>
  <c r="K212" i="1"/>
  <c r="J212" i="1"/>
  <c r="I212" i="1"/>
  <c r="H212" i="1"/>
  <c r="G212" i="1"/>
  <c r="BE211" i="1"/>
  <c r="BF211" i="1" s="1"/>
  <c r="AD211" i="1"/>
  <c r="BE210" i="1"/>
  <c r="BF210" i="1" s="1"/>
  <c r="BE209" i="1"/>
  <c r="BF209" i="1" s="1"/>
  <c r="AD209" i="1"/>
  <c r="BE208" i="1"/>
  <c r="BF208" i="1" s="1"/>
  <c r="AD208" i="1"/>
  <c r="BF207" i="1"/>
  <c r="BE207" i="1"/>
  <c r="BE206" i="1"/>
  <c r="BF206" i="1" s="1"/>
  <c r="AD206" i="1"/>
  <c r="BE205" i="1"/>
  <c r="BF205" i="1" s="1"/>
  <c r="BE204" i="1"/>
  <c r="BF204" i="1" s="1"/>
  <c r="AD204" i="1"/>
  <c r="BE203" i="1"/>
  <c r="BF203" i="1" s="1"/>
  <c r="AD203" i="1"/>
  <c r="BE202" i="1"/>
  <c r="BF202" i="1" s="1"/>
  <c r="AD202" i="1"/>
  <c r="BF201" i="1"/>
  <c r="BE201" i="1"/>
  <c r="AD201" i="1"/>
  <c r="BE200" i="1"/>
  <c r="BF200" i="1" s="1"/>
  <c r="AD200" i="1"/>
  <c r="BE199" i="1"/>
  <c r="BF199" i="1" s="1"/>
  <c r="AD199" i="1"/>
  <c r="BF198" i="1"/>
  <c r="BE198" i="1"/>
  <c r="AD198" i="1"/>
  <c r="BF197" i="1"/>
  <c r="BE197" i="1"/>
  <c r="AD197" i="1"/>
  <c r="BE196" i="1"/>
  <c r="BF196" i="1" s="1"/>
  <c r="AD196" i="1"/>
  <c r="BE195" i="1"/>
  <c r="BF195" i="1" s="1"/>
  <c r="AD195" i="1"/>
  <c r="BE194" i="1"/>
  <c r="BF194" i="1" s="1"/>
  <c r="AD194" i="1"/>
  <c r="BE193" i="1"/>
  <c r="BF193" i="1" s="1"/>
  <c r="AD193" i="1"/>
  <c r="BF192" i="1"/>
  <c r="BE192" i="1"/>
  <c r="AD192" i="1"/>
  <c r="BE191" i="1"/>
  <c r="BF191" i="1" s="1"/>
  <c r="AD191" i="1"/>
  <c r="BF190" i="1"/>
  <c r="BE190" i="1"/>
  <c r="AD190" i="1"/>
  <c r="BF189" i="1"/>
  <c r="BE189" i="1"/>
  <c r="AD189" i="1"/>
  <c r="BE188" i="1"/>
  <c r="BF188" i="1" s="1"/>
  <c r="AD188" i="1"/>
  <c r="BE187" i="1"/>
  <c r="BF187" i="1" s="1"/>
  <c r="BF185" i="1"/>
  <c r="BE185" i="1"/>
  <c r="AD185" i="1"/>
  <c r="BE184" i="1"/>
  <c r="BF184" i="1" s="1"/>
  <c r="AD184" i="1"/>
  <c r="BE183" i="1"/>
  <c r="BF183" i="1" s="1"/>
  <c r="AD183" i="1"/>
  <c r="BE182" i="1"/>
  <c r="BF182" i="1" s="1"/>
  <c r="AD182" i="1"/>
  <c r="BE181" i="1"/>
  <c r="BF181" i="1" s="1"/>
  <c r="AD181" i="1"/>
  <c r="BF180" i="1"/>
  <c r="BE180" i="1"/>
  <c r="AD180" i="1"/>
  <c r="BE179" i="1"/>
  <c r="BF179" i="1" s="1"/>
  <c r="AD179" i="1"/>
  <c r="BF178" i="1"/>
  <c r="BE178" i="1"/>
  <c r="AD178" i="1"/>
  <c r="BF177" i="1"/>
  <c r="BE177" i="1"/>
  <c r="AD177" i="1"/>
  <c r="BE176" i="1"/>
  <c r="BF176" i="1" s="1"/>
  <c r="AD176" i="1"/>
  <c r="BE175" i="1"/>
  <c r="BF175" i="1" s="1"/>
  <c r="AD175" i="1"/>
  <c r="BE174" i="1"/>
  <c r="BF174" i="1" s="1"/>
  <c r="AD174" i="1"/>
  <c r="BF173" i="1"/>
  <c r="BE173" i="1"/>
  <c r="AD173" i="1"/>
  <c r="BE172" i="1"/>
  <c r="BF172" i="1" s="1"/>
  <c r="AD172" i="1"/>
  <c r="BE171" i="1"/>
  <c r="BF171" i="1" s="1"/>
  <c r="AD171" i="1"/>
  <c r="BF170" i="1"/>
  <c r="BE170" i="1"/>
  <c r="AD170" i="1"/>
  <c r="BF169" i="1"/>
  <c r="BE169" i="1"/>
  <c r="AD169" i="1"/>
  <c r="BE168" i="1"/>
  <c r="BF168" i="1" s="1"/>
  <c r="BF167" i="1"/>
  <c r="BE167" i="1"/>
  <c r="AD167" i="1"/>
  <c r="BF166" i="1"/>
  <c r="BE166" i="1"/>
  <c r="AD166" i="1"/>
  <c r="BE165" i="1"/>
  <c r="BF165" i="1" s="1"/>
  <c r="AD165" i="1"/>
  <c r="BE164" i="1"/>
  <c r="BF164" i="1" s="1"/>
  <c r="AD164" i="1"/>
  <c r="BE163" i="1"/>
  <c r="BF163" i="1" s="1"/>
  <c r="AD163" i="1"/>
  <c r="BF162" i="1"/>
  <c r="BE162" i="1"/>
  <c r="AD162" i="1"/>
  <c r="BE161" i="1"/>
  <c r="BF161" i="1" s="1"/>
  <c r="AD161" i="1"/>
  <c r="BE160" i="1"/>
  <c r="BF160" i="1" s="1"/>
  <c r="AD160" i="1"/>
  <c r="BF159" i="1"/>
  <c r="BE159" i="1"/>
  <c r="AD159" i="1"/>
  <c r="BF158" i="1"/>
  <c r="BE158" i="1"/>
  <c r="AD158" i="1"/>
  <c r="BE157" i="1"/>
  <c r="BF157" i="1" s="1"/>
  <c r="AD157" i="1"/>
  <c r="BE156" i="1"/>
  <c r="BF156" i="1" s="1"/>
  <c r="AD156" i="1"/>
  <c r="BE155" i="1"/>
  <c r="BF155" i="1" s="1"/>
  <c r="AD155" i="1"/>
  <c r="BE154" i="1"/>
  <c r="BF154" i="1" s="1"/>
  <c r="AD154" i="1"/>
  <c r="BF153" i="1"/>
  <c r="BE153" i="1"/>
  <c r="AD153" i="1"/>
  <c r="J153" i="1"/>
  <c r="I153" i="1"/>
  <c r="H153" i="1"/>
  <c r="G153" i="1"/>
  <c r="BE152" i="1"/>
  <c r="BF152" i="1" s="1"/>
  <c r="AD152" i="1"/>
  <c r="BE151" i="1"/>
  <c r="BF151" i="1" s="1"/>
  <c r="AD151" i="1"/>
  <c r="BE150" i="1"/>
  <c r="BF150" i="1" s="1"/>
  <c r="AD150" i="1"/>
  <c r="BF149" i="1"/>
  <c r="BE149" i="1"/>
  <c r="AD149" i="1"/>
  <c r="BE148" i="1"/>
  <c r="BF148" i="1" s="1"/>
  <c r="AD148" i="1"/>
  <c r="BF147" i="1"/>
  <c r="BE147" i="1"/>
  <c r="AD147" i="1"/>
  <c r="BF146" i="1"/>
  <c r="BE146" i="1"/>
  <c r="AD146" i="1"/>
  <c r="BE145" i="1"/>
  <c r="BF145" i="1" s="1"/>
  <c r="AD145" i="1"/>
  <c r="BE144" i="1"/>
  <c r="BF144" i="1" s="1"/>
  <c r="AD144" i="1"/>
  <c r="BE143" i="1"/>
  <c r="BF143" i="1" s="1"/>
  <c r="AD143" i="1"/>
  <c r="BF142" i="1"/>
  <c r="BE142" i="1"/>
  <c r="AD142" i="1"/>
  <c r="BE141" i="1"/>
  <c r="BF141" i="1" s="1"/>
  <c r="AD141" i="1"/>
  <c r="BE140" i="1"/>
  <c r="BF140" i="1" s="1"/>
  <c r="AD140" i="1"/>
  <c r="BF139" i="1"/>
  <c r="BE139" i="1"/>
  <c r="AD139" i="1"/>
  <c r="BF138" i="1"/>
  <c r="BE138" i="1"/>
  <c r="AD138" i="1"/>
  <c r="BE137" i="1"/>
  <c r="BF137" i="1" s="1"/>
  <c r="AD137" i="1"/>
  <c r="BE136" i="1"/>
  <c r="BF136" i="1" s="1"/>
  <c r="AD136" i="1"/>
  <c r="BE135" i="1"/>
  <c r="BF135" i="1" s="1"/>
  <c r="AD135" i="1"/>
  <c r="BE134" i="1"/>
  <c r="BF134" i="1" s="1"/>
  <c r="AD134" i="1"/>
  <c r="BF133" i="1"/>
  <c r="BE133" i="1"/>
  <c r="AD133" i="1"/>
  <c r="BE132" i="1"/>
  <c r="BF132" i="1" s="1"/>
  <c r="AD132" i="1"/>
  <c r="BF131" i="1"/>
  <c r="BE131" i="1"/>
  <c r="AD131" i="1"/>
  <c r="BF130" i="1"/>
  <c r="BE130" i="1"/>
  <c r="AD130" i="1"/>
  <c r="BE129" i="1"/>
  <c r="BF129" i="1" s="1"/>
  <c r="AD129" i="1"/>
  <c r="BE128" i="1"/>
  <c r="BF128" i="1" s="1"/>
  <c r="AD128" i="1"/>
  <c r="BE127" i="1"/>
  <c r="BF127" i="1" s="1"/>
  <c r="AD127" i="1"/>
  <c r="BF126" i="1"/>
  <c r="BE126" i="1"/>
  <c r="AD126" i="1"/>
  <c r="BE125" i="1"/>
  <c r="BF125" i="1" s="1"/>
  <c r="AD125" i="1"/>
  <c r="BE124" i="1"/>
  <c r="BF124" i="1" s="1"/>
  <c r="AD124" i="1"/>
  <c r="BF123" i="1"/>
  <c r="BE123" i="1"/>
  <c r="AD123" i="1"/>
  <c r="BF122" i="1"/>
  <c r="BE122" i="1"/>
  <c r="AD122" i="1"/>
  <c r="BE121" i="1"/>
  <c r="BF121" i="1" s="1"/>
  <c r="AD121" i="1"/>
  <c r="BE120" i="1"/>
  <c r="BF120" i="1" s="1"/>
  <c r="AD120" i="1"/>
  <c r="BE119" i="1"/>
  <c r="BF119" i="1" s="1"/>
  <c r="AD119" i="1"/>
  <c r="BE118" i="1"/>
  <c r="BF118" i="1" s="1"/>
  <c r="AD118" i="1"/>
  <c r="BF117" i="1"/>
  <c r="BE117" i="1"/>
  <c r="AD117" i="1"/>
  <c r="BE116" i="1"/>
  <c r="BF116" i="1" s="1"/>
  <c r="AD116" i="1"/>
  <c r="BF115" i="1"/>
  <c r="BE115" i="1"/>
  <c r="AD115" i="1"/>
  <c r="BF114" i="1"/>
  <c r="BE114" i="1"/>
  <c r="AD114" i="1"/>
  <c r="BE113" i="1"/>
  <c r="BF113" i="1" s="1"/>
  <c r="AD113" i="1"/>
  <c r="BE112" i="1"/>
  <c r="BF112" i="1" s="1"/>
  <c r="AD112" i="1"/>
  <c r="BE111" i="1"/>
  <c r="BF111" i="1" s="1"/>
  <c r="AD111" i="1"/>
  <c r="BF110" i="1"/>
  <c r="BE110" i="1"/>
  <c r="AD110" i="1"/>
  <c r="BE109" i="1"/>
  <c r="BF109" i="1" s="1"/>
  <c r="AD109" i="1"/>
  <c r="BE108" i="1"/>
  <c r="BF108" i="1" s="1"/>
  <c r="AD108" i="1"/>
  <c r="BF107" i="1"/>
  <c r="BE107" i="1"/>
  <c r="AD107" i="1"/>
  <c r="BF106" i="1"/>
  <c r="BE106" i="1"/>
  <c r="AD106" i="1"/>
  <c r="BE105" i="1"/>
  <c r="BF105" i="1" s="1"/>
  <c r="AD105" i="1"/>
  <c r="BE104" i="1"/>
  <c r="BF104" i="1" s="1"/>
  <c r="AD104" i="1"/>
  <c r="BE103" i="1"/>
  <c r="BF103" i="1" s="1"/>
  <c r="AD103" i="1"/>
  <c r="BE102" i="1"/>
  <c r="BF102" i="1" s="1"/>
  <c r="AD102" i="1"/>
  <c r="BF101" i="1"/>
  <c r="BE101" i="1"/>
  <c r="AD101" i="1"/>
  <c r="BE100" i="1"/>
  <c r="BF100" i="1" s="1"/>
  <c r="AD100" i="1"/>
  <c r="BF99" i="1"/>
  <c r="BE99" i="1"/>
  <c r="AD99" i="1"/>
  <c r="BF98" i="1"/>
  <c r="BE98" i="1"/>
  <c r="AD98" i="1"/>
  <c r="BE97" i="1"/>
  <c r="BF97" i="1" s="1"/>
  <c r="AD97" i="1"/>
  <c r="BE96" i="1"/>
  <c r="BF96" i="1" s="1"/>
  <c r="AD96" i="1"/>
  <c r="BE95" i="1"/>
  <c r="BF95" i="1" s="1"/>
  <c r="AD95" i="1"/>
  <c r="BF94" i="1"/>
  <c r="BE94" i="1"/>
  <c r="AD94" i="1"/>
  <c r="BE93" i="1"/>
  <c r="BF93" i="1" s="1"/>
  <c r="AD93" i="1"/>
  <c r="BE92" i="1"/>
  <c r="BF92" i="1" s="1"/>
  <c r="AD92" i="1"/>
  <c r="BF91" i="1"/>
  <c r="BE91" i="1"/>
  <c r="AD91" i="1"/>
  <c r="BF90" i="1"/>
  <c r="BE90" i="1"/>
  <c r="BE89" i="1"/>
  <c r="BF89" i="1" s="1"/>
  <c r="AD89" i="1"/>
  <c r="BF88" i="1"/>
  <c r="BE88" i="1"/>
  <c r="AD88" i="1"/>
  <c r="BF87" i="1"/>
  <c r="BE87" i="1"/>
  <c r="BE86" i="1"/>
  <c r="BF86" i="1" s="1"/>
  <c r="AD86" i="1"/>
  <c r="BF85" i="1"/>
  <c r="BE85" i="1"/>
  <c r="AD85" i="1"/>
  <c r="BF84" i="1"/>
  <c r="BE84" i="1"/>
  <c r="BE83" i="1"/>
  <c r="BF83" i="1" s="1"/>
  <c r="AD83" i="1"/>
  <c r="BF82" i="1"/>
  <c r="BE82" i="1"/>
  <c r="BE81" i="1"/>
  <c r="BF81" i="1" s="1"/>
  <c r="AD81" i="1"/>
  <c r="BE80" i="1"/>
  <c r="BF80" i="1" s="1"/>
  <c r="AD80" i="1"/>
  <c r="K80" i="1"/>
  <c r="J80" i="1"/>
  <c r="I80" i="1"/>
  <c r="H80" i="1"/>
  <c r="G80" i="1"/>
  <c r="BE79" i="1"/>
  <c r="BF79" i="1" s="1"/>
  <c r="AD79" i="1"/>
  <c r="BF78" i="1"/>
  <c r="BE78" i="1"/>
  <c r="AD78" i="1"/>
  <c r="BF77" i="1"/>
  <c r="BE77" i="1"/>
  <c r="AD77" i="1"/>
  <c r="BE76" i="1"/>
  <c r="BF76" i="1" s="1"/>
  <c r="AD76" i="1"/>
  <c r="BE75" i="1"/>
  <c r="BF75" i="1" s="1"/>
  <c r="AD75" i="1"/>
  <c r="BE74" i="1"/>
  <c r="BF74" i="1" s="1"/>
  <c r="AD74" i="1"/>
  <c r="BF73" i="1"/>
  <c r="BE73" i="1"/>
  <c r="AD73" i="1"/>
  <c r="BE72" i="1"/>
  <c r="BF72" i="1" s="1"/>
  <c r="AD72" i="1"/>
  <c r="BE71" i="1"/>
  <c r="BF71" i="1" s="1"/>
  <c r="AD71" i="1"/>
  <c r="BF70" i="1"/>
  <c r="BE70" i="1"/>
  <c r="AD70" i="1"/>
  <c r="BF69" i="1"/>
  <c r="BE69" i="1"/>
  <c r="AD69" i="1"/>
  <c r="BE68" i="1"/>
  <c r="BF68" i="1" s="1"/>
  <c r="AD68" i="1"/>
  <c r="BE67" i="1"/>
  <c r="BF67" i="1" s="1"/>
  <c r="AD67" i="1"/>
  <c r="BE66" i="1"/>
  <c r="BF66" i="1" s="1"/>
  <c r="AD66" i="1"/>
  <c r="BE65" i="1"/>
  <c r="BF65" i="1" s="1"/>
  <c r="AD65" i="1"/>
  <c r="BF64" i="1"/>
  <c r="BE64" i="1"/>
  <c r="AD64" i="1"/>
  <c r="BE63" i="1"/>
  <c r="BF63" i="1" s="1"/>
  <c r="AD63" i="1"/>
  <c r="BF62" i="1"/>
  <c r="BE62" i="1"/>
  <c r="AD62" i="1"/>
  <c r="BF61" i="1"/>
  <c r="BE61" i="1"/>
  <c r="AD61" i="1"/>
  <c r="BE60" i="1"/>
  <c r="BF60" i="1" s="1"/>
  <c r="AD60" i="1"/>
  <c r="BE59" i="1"/>
  <c r="BF59" i="1" s="1"/>
  <c r="AD59" i="1"/>
  <c r="BE58" i="1"/>
  <c r="BF58" i="1" s="1"/>
  <c r="AC58" i="1"/>
  <c r="AD58" i="1" s="1"/>
  <c r="BF57" i="1"/>
  <c r="BE57" i="1"/>
  <c r="AD57" i="1"/>
  <c r="BF56" i="1"/>
  <c r="BE56" i="1"/>
  <c r="AD56" i="1"/>
  <c r="BE55" i="1"/>
  <c r="BF55" i="1" s="1"/>
  <c r="AD55" i="1"/>
  <c r="BE54" i="1"/>
  <c r="BF54" i="1" s="1"/>
  <c r="AD54" i="1"/>
  <c r="BE53" i="1"/>
  <c r="BF53" i="1" s="1"/>
  <c r="AD53" i="1"/>
  <c r="BF52" i="1"/>
  <c r="BE52" i="1"/>
  <c r="AD52" i="1"/>
  <c r="BE51" i="1"/>
  <c r="BF51" i="1" s="1"/>
  <c r="AD51" i="1"/>
  <c r="BE50" i="1"/>
  <c r="BF50" i="1" s="1"/>
  <c r="AD50" i="1"/>
  <c r="BF49" i="1"/>
  <c r="BE49" i="1"/>
  <c r="AD49" i="1"/>
  <c r="BF48" i="1"/>
  <c r="BE48" i="1"/>
  <c r="AD48" i="1"/>
  <c r="BE47" i="1"/>
  <c r="BF47" i="1" s="1"/>
  <c r="AD47" i="1"/>
  <c r="BE46" i="1"/>
  <c r="BF46" i="1" s="1"/>
  <c r="AD46" i="1"/>
  <c r="BE45" i="1"/>
  <c r="BF45" i="1" s="1"/>
  <c r="AD45" i="1"/>
  <c r="BE44" i="1"/>
  <c r="BF44" i="1" s="1"/>
  <c r="AD44" i="1"/>
  <c r="BF43" i="1"/>
  <c r="BE43" i="1"/>
  <c r="AD43" i="1"/>
  <c r="BE42" i="1"/>
  <c r="BF42" i="1" s="1"/>
  <c r="AD42" i="1"/>
  <c r="BF41" i="1"/>
  <c r="BE41" i="1"/>
  <c r="AD41" i="1"/>
  <c r="BF40" i="1"/>
  <c r="BE40" i="1"/>
  <c r="AD40" i="1"/>
  <c r="BE39" i="1"/>
  <c r="BF39" i="1" s="1"/>
  <c r="AD39" i="1"/>
  <c r="BE38" i="1"/>
  <c r="BF38" i="1" s="1"/>
  <c r="AD38" i="1"/>
  <c r="BE37" i="1"/>
  <c r="BF37" i="1" s="1"/>
  <c r="AD37" i="1"/>
  <c r="BF36" i="1"/>
  <c r="BE36" i="1"/>
  <c r="AD36" i="1"/>
  <c r="BE35" i="1"/>
  <c r="BF35" i="1" s="1"/>
  <c r="AD35" i="1"/>
  <c r="BE34" i="1"/>
  <c r="BF34" i="1" s="1"/>
  <c r="AD34" i="1"/>
  <c r="BF33" i="1"/>
  <c r="BE33" i="1"/>
  <c r="AD33" i="1"/>
  <c r="BF32" i="1"/>
  <c r="BE32" i="1"/>
  <c r="AC32" i="1"/>
  <c r="AD32" i="1" s="1"/>
  <c r="BF31" i="1"/>
  <c r="BE31" i="1"/>
  <c r="AD31" i="1"/>
  <c r="BE30" i="1"/>
  <c r="BF30" i="1" s="1"/>
  <c r="AD30" i="1"/>
  <c r="BE29" i="1"/>
  <c r="BF29" i="1" s="1"/>
  <c r="AD29" i="1"/>
  <c r="BF28" i="1"/>
  <c r="BE28" i="1"/>
  <c r="AD28" i="1"/>
  <c r="BF27" i="1"/>
  <c r="BE27" i="1"/>
  <c r="AD27" i="1"/>
  <c r="BE26" i="1"/>
  <c r="BF26" i="1" s="1"/>
  <c r="AD26" i="1"/>
  <c r="BE25" i="1"/>
  <c r="BF25" i="1" s="1"/>
  <c r="AD25" i="1"/>
  <c r="BE24" i="1"/>
  <c r="BF24" i="1" s="1"/>
  <c r="AD24" i="1"/>
  <c r="J24" i="1"/>
  <c r="I24" i="1"/>
  <c r="H24" i="1"/>
  <c r="G24" i="1"/>
  <c r="BF23" i="1"/>
  <c r="BE23" i="1"/>
  <c r="AD23" i="1"/>
  <c r="BE22" i="1"/>
  <c r="BF22" i="1" s="1"/>
  <c r="AD22" i="1"/>
  <c r="BE21" i="1"/>
  <c r="BF21" i="1" s="1"/>
  <c r="AD21" i="1"/>
  <c r="BE20" i="1"/>
  <c r="BF20" i="1" s="1"/>
  <c r="AD20" i="1"/>
  <c r="BE19" i="1"/>
  <c r="BF19" i="1" s="1"/>
  <c r="AC19" i="1"/>
  <c r="AD19" i="1" s="1"/>
  <c r="BF18" i="1"/>
  <c r="BE18" i="1"/>
  <c r="AD18" i="1"/>
  <c r="BE17" i="1"/>
  <c r="BF17" i="1" s="1"/>
  <c r="AD17" i="1"/>
  <c r="BE16" i="1"/>
  <c r="BF16" i="1" s="1"/>
  <c r="AD16" i="1"/>
  <c r="BE15" i="1"/>
  <c r="BF15" i="1" s="1"/>
  <c r="AD15" i="1"/>
  <c r="BE14" i="1"/>
  <c r="BF14" i="1" s="1"/>
  <c r="BE13" i="1"/>
  <c r="BF13" i="1" s="1"/>
  <c r="AD13" i="1"/>
  <c r="BE12" i="1"/>
  <c r="BF12" i="1" s="1"/>
  <c r="AD12" i="1"/>
  <c r="BF11" i="1"/>
  <c r="BE11" i="1"/>
  <c r="AD11" i="1"/>
  <c r="BE10" i="1"/>
  <c r="BF10" i="1" s="1"/>
  <c r="AD10" i="1"/>
  <c r="BE9" i="1"/>
  <c r="BF9" i="1" s="1"/>
  <c r="AD9" i="1"/>
  <c r="BF8" i="1"/>
  <c r="BE8" i="1"/>
  <c r="AD8" i="1"/>
  <c r="BF7" i="1"/>
  <c r="BE7" i="1"/>
  <c r="AD7" i="1"/>
  <c r="BE6" i="1"/>
  <c r="BF6" i="1" s="1"/>
  <c r="AD6" i="1"/>
  <c r="BE5" i="1"/>
  <c r="BF5" i="1" s="1"/>
  <c r="AD5" i="1"/>
  <c r="BF4" i="1"/>
  <c r="BE4" i="1"/>
  <c r="AD4" i="1"/>
  <c r="BE3" i="1"/>
  <c r="BF3" i="1" s="1"/>
  <c r="AC3" i="1"/>
  <c r="AD3" i="1" s="1"/>
  <c r="BF2" i="1"/>
  <c r="BE2" i="1"/>
  <c r="AC2" i="1"/>
  <c r="AD2" i="1" s="1"/>
</calcChain>
</file>

<file path=xl/sharedStrings.xml><?xml version="1.0" encoding="utf-8"?>
<sst xmlns="http://schemas.openxmlformats.org/spreadsheetml/2006/main" count="24246" uniqueCount="13319">
  <si>
    <t>input_row_key</t>
  </si>
  <si>
    <t>input_company_name</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</si>
  <si>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</si>
  <si>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</si>
  <si>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</si>
  <si>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</si>
  <si>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</si>
  <si>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</si>
  <si>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</si>
  <si>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</si>
  <si>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</si>
  <si>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</si>
  <si>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</si>
  <si>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</si>
  <si>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</si>
  <si>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</si>
  <si>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</si>
  <si>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</si>
  <si>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</si>
  <si>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</si>
  <si>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</si>
  <si>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</si>
  <si>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</si>
  <si>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</si>
  <si>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</si>
  <si>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</si>
  <si>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</si>
  <si>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</si>
  <si>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</si>
  <si>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</si>
  <si>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</si>
  <si>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</si>
  <si>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</si>
  <si>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</si>
  <si>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</si>
  <si>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</si>
  <si>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</si>
  <si>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</si>
  <si>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</si>
  <si>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</si>
  <si>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</si>
  <si>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</si>
  <si>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</si>
  <si>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</si>
  <si>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</si>
  <si>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</si>
  <si>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</si>
  <si>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</si>
  <si>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</si>
  <si>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</si>
  <si>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</si>
  <si>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</si>
  <si>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</si>
  <si>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</si>
  <si>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</si>
  <si>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</si>
  <si>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</si>
  <si>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</si>
  <si>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</si>
  <si>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</si>
  <si>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</si>
  <si>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</si>
  <si>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</si>
  <si>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</si>
  <si>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</si>
  <si>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</si>
  <si>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</si>
  <si>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</si>
  <si>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</si>
  <si>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2OPERATE A/S</t>
  </si>
  <si>
    <t>8b99ef83-93e4-11eb-b997-8dd98d09cf25</t>
  </si>
  <si>
    <t>2operate</t>
  </si>
  <si>
    <t>2operate A/S.</t>
  </si>
  <si>
    <t>DK</t>
  </si>
  <si>
    <t>Denmark</t>
  </si>
  <si>
    <t>North Jutland Region</t>
  </si>
  <si>
    <t>Aalborg</t>
  </si>
  <si>
    <t>Niels Jernes Vej</t>
  </si>
  <si>
    <t>DK, Denmark, North Denmark Region, Aalborg Municipality, 9220, Niels Jernes Vej, 10, 57.012755, 9.98827</t>
  </si>
  <si>
    <t>Private</t>
  </si>
  <si>
    <t>modelled</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</si>
  <si>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</si>
  <si>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</si>
  <si>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</si>
  <si>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</si>
  <si>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Cable &amp; Internet Providers</t>
  </si>
  <si>
    <t>Telecommunication Services</t>
  </si>
  <si>
    <t>IT&amp;C Services</t>
  </si>
  <si>
    <t>TC-TL</t>
  </si>
  <si>
    <t>Telecommunications</t>
  </si>
  <si>
    <t>TC.4</t>
  </si>
  <si>
    <t>Technology &amp; Communications</t>
  </si>
  <si>
    <t>TC</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</si>
  <si>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</si>
  <si>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</si>
  <si>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</si>
  <si>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Other telecommunications activities</t>
  </si>
  <si>
    <t>891801 | 153401 | 891802 | 641401 | 153402</t>
  </si>
  <si>
    <t>96 35 61 50</t>
  </si>
  <si>
    <t>info@2operate.com</t>
  </si>
  <si>
    <t>http://www.2operate.com/</t>
  </si>
  <si>
    <t>en</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</si>
  <si>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</si>
  <si>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</si>
  <si>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2020-02-17T15:56:51.000Z</t>
  </si>
  <si>
    <t>2025-11-24T15:16:32.101Z</t>
  </si>
  <si>
    <t>3 STEP IT A/S</t>
  </si>
  <si>
    <t>45309031-f8ab-11ed-89fe-613148a94f23</t>
  </si>
  <si>
    <t>3 Step IT A/S</t>
  </si>
  <si>
    <t>3 Step IT A/S.</t>
  </si>
  <si>
    <t>Capital Region of Denmark</t>
  </si>
  <si>
    <t>Søborg</t>
  </si>
  <si>
    <t>Vandtårnsvej</t>
  </si>
  <si>
    <t>DK, Denmark, Capital Region of Denmark, Gladsaxe Municipality, 2860, VandtÃ¥rnsvej, 62, 55.7366177, 12.489559499999999</t>
  </si>
  <si>
    <t>Vi har gentænkt den traditionelle måde at eje IT på.  Anskaf, administrér og udskift enheder på enkel, sikker og bæredygtig vis. Kontakt 3stepIT i dag.</t>
  </si>
  <si>
    <t>Financial Institution | Sales Financing Services</t>
  </si>
  <si>
    <t>3 Step IT A/S. is a loans &amp; financing company based in Gladsaxe Municipality, Denmark.</t>
  </si>
  <si>
    <t>Loans &amp; Financing</t>
  </si>
  <si>
    <t>Banks &amp; Financial Services</t>
  </si>
  <si>
    <t>Finance &amp; Insurance</t>
  </si>
  <si>
    <t>72 11 80 40</t>
  </si>
  <si>
    <t>csdk@3stepit.com</t>
  </si>
  <si>
    <t>http://www.3stepit.dk/</t>
  </si>
  <si>
    <t>da</t>
  </si>
  <si>
    <t>https://www.linkedin.com/showcase/3-step-it-denmark/posts/</t>
  </si>
  <si>
    <t>https://www.youtube.com/channel/UCL6tiXczVMBQnNE9gKrtZpA</t>
  </si>
  <si>
    <t>2023-05-22T14:15:04.005Z</t>
  </si>
  <si>
    <t>3 STEP IT AS</t>
  </si>
  <si>
    <t>08f48bc2-72c9-11ec-96d1-1d653dff9d1b</t>
  </si>
  <si>
    <t>3stepIT AS</t>
  </si>
  <si>
    <t>NO</t>
  </si>
  <si>
    <t>Norway</t>
  </si>
  <si>
    <t>Oslo</t>
  </si>
  <si>
    <t>Wergelandsveien</t>
  </si>
  <si>
    <t>NO, Norway, Oslo, Oslo, 0167, Wergelandsveien, 7, 59.9189144, 10.7315897</t>
  </si>
  <si>
    <t>3stepIT - Bærekraftig Technology Lifecycle Management: Vi tilbyr deg heller en smartere metode for tilgang, administrasjon og utskifting av IT-utstyr.</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</si>
  <si>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</si>
  <si>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</si>
  <si>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fÃ¸lger 10.trinneselever i flere byer i verden for Ã¥ finne ut mer om deres veier gjennom videregÃ¥ende opplÃ¦ring til videre utdanning, arbeid og livet etter skolen.Elevene fÃ¸lges fra siste halvÃ¥r i tiende klasse, over i og gjennom videregÃ¥ende skole. Ansvarlig for prosjektet i Norge er forskerne Eifred Markussen ( eifred@nifu.no ) og Berit LÃ¸dding ( berit@nifu.no ) ved NIFU â€“ Nordisk institutt for studier av innovasjon forskning og utdanning. ISCY vil gi innsikt i hvordan utdanningsvalg og skoleprestasjoner pÃ¥virker unges utdanning, karrierelÃ¸p og samfunnsengasjement. ISCY vil ogsÃ¥ gi en bred innsikt i skolers arbeid, utvide den referanserammen hvor skoler bedÃ¸mmes etter elevers karakterer og testresultater, ved ogsÃ¥ Ã¥ inkludere skolers innflytelse pÃ¥ elevers skoleengasjement, utdanningslÃ¸p og sosiale og samfunnsmessige verdier. ISCY vil sammenligne hvor godt skolesystemer i stÃ¸rre byer i Europa, Nord-Amerika, Asia og Australia forbereder unge mennesker for videre studier og arbeid.</t>
  </si>
  <si>
    <t>Research Institutes</t>
  </si>
  <si>
    <t>Research &amp; Development Services</t>
  </si>
  <si>
    <t>Other Professional Services</t>
  </si>
  <si>
    <t>8732 | 8733</t>
  </si>
  <si>
    <t>Commercial Economic, Sociological, and Educational Research (social sciences and humanities) | Noncommercial Research Organizations (social sciences and humanities)</t>
  </si>
  <si>
    <t>Research and experimental development on social sciences and humanities</t>
  </si>
  <si>
    <t>24 09 99 00</t>
  </si>
  <si>
    <t>+4722595100 | +4722595101</t>
  </si>
  <si>
    <t>eifred.markussen@nifu.no</t>
  </si>
  <si>
    <t>norway@3stepit.com</t>
  </si>
  <si>
    <t>https://no.3stepit.com/</t>
  </si>
  <si>
    <t>no</t>
  </si>
  <si>
    <t>https://www.linkedin.com/showcase/3stepitnorway/</t>
  </si>
  <si>
    <t>https://www.youtube.com/@3stepitNO</t>
  </si>
  <si>
    <t>miscellaneous: http/3 | web servers: litespeed</t>
  </si>
  <si>
    <t>2022-01-08T19:57:26.000Z</t>
  </si>
  <si>
    <t>3 Step IT Sweden AB</t>
  </si>
  <si>
    <t>e5cede70-0409-11ed-a83d-25d09483d16d</t>
  </si>
  <si>
    <t>3 Step It Sweden AB</t>
  </si>
  <si>
    <t>Proact IT Sweden AB. | Proact Systems A/S. | Proact Finland Oy. | Proact BVBA | Proact IT UK Ltd.</t>
  </si>
  <si>
    <t>Proact IT Sweden</t>
  </si>
  <si>
    <t>SE</t>
  </si>
  <si>
    <t>Sweden</t>
  </si>
  <si>
    <t>Östergötlands län</t>
  </si>
  <si>
    <t>Linköping</t>
  </si>
  <si>
    <t>582 25</t>
  </si>
  <si>
    <t>Drottninggatan</t>
  </si>
  <si>
    <t>SE, Sweden, VÃ¤stra GÃ¶taland County, Gothenburg, 412 63, MÃ¶lndalsvÃ¤gen, 24, 57.6892776, 11.9953395 | SE, Sweden, SkÃ¥ne County, Malmo, 211 74, Stora Varvsgatan, 11, 55.612285, 12.9951149 | SE, Sweden, Ã–rebro County, Ã–rebro, 702 27, ElementvÃ¤gen, 4, 59.2615228, 15.179042600000004 | SE, Sweden, Ã–stergÃ¶tland County, LinkÃ¶ping, 581 03, Snickaregatan, 40, 58.4087453, 15.6294745 | SE, Sweden, Stockholm County, Solna, 169 70, FrÃ¶sundaviks allÃ©, 1, 59.371765100000005, 18.023691876343303 | GB, United Kingdom, England, Coventry, CV3 4SU, Siskin Parkway East, 4020, 52.3659474, -1.4667776 | GB, United Kingdom, England, Chesterfield, S41 8NE, Venture Way, Dunston Technology Park, 53.2634874, -1.4364626 | FI, Finland, Uusimaa, Helsinki, 00510, ElimÃ¤enkatu, 17-19, 60.1949668, 24.9486165 | GB, United Kingdom, Scotland, Motherwell, ML1 4WQ, Parklands Avenue, , 55.8345214, -3.9801684 | DE, Germany, North Rhine-Westphalia, Ense, 59469, Waterlappe, 2, 51.49918535, 7.949810758316211</t>
  </si>
  <si>
    <t>extracted</t>
  </si>
  <si>
    <t>Vi erbjuder företag &amp; organisationer en komplett livscykelhanteringslösning för hårdvaruenheter med enkla lösningar för finansiering, ITAM &amp; utbytesservice</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</si>
  <si>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</si>
  <si>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Thereâ€™s no doubt, the availability of IT services really matters. If a service isnâ€™t readily available to an end-user, harm can be caused to both your internal and external business operations.</t>
  </si>
  <si>
    <t>Proact Ã¤r Europas ledande specialist inom data- och informationshantering med fokus pÃ¥ molntjÃ¤nster och datacenterlÃ¶sningar. Vi hjÃ¤lper vÃ¥ra kunder att lagra, koppla samman, skydda, sÃ¤kra och skapa vÃ¤rde genom data, med fokus pÃ¥ fÃ¶rbÃ¤ttrad flexibilitet, produktivitet och effektivitet. PÃ¥ Proact Ã¤lskar vi teknik. Men det som definierar oss Ã¤r inte tekniken â€“ utan mÃ¤nniskor. De riktigt stora vinsterna fÃ¶r vÃ¥ra kunder erhÃ¥lls framfÃ¶rallt nÃ¤r vi samarbetar â€“ och drar fÃ¶rdel av vÃ¥ra egna experters, vÃ¥ra partners och vÃ¥ra kunders samlade kunskap, kreativitet, teknik, arkitektur, innovation, processer och data. Det Ã¤r det vi menar med #ThePowerOfData genom #ThePowerOfTogether. FÃ¶r mer information om Proact, besÃ¶k oss pÃ¥ www.proact.se</t>
  </si>
  <si>
    <t>VMware Solutions | Disaster Recovery | Hybrid Clouds | ISO 27001 Certification | Kubernetes | Sevices &amp; Products | Data &amp; Protection | Information Security | Security Assessments | Network And Servers</t>
  </si>
  <si>
    <t>Hosting &amp; Cloud Infrastructure Providers</t>
  </si>
  <si>
    <t>Software &amp; IT Services</t>
  </si>
  <si>
    <t>TC-SI</t>
  </si>
  <si>
    <t>Technology</t>
  </si>
  <si>
    <t>TC.1</t>
  </si>
  <si>
    <t>7374 | 7379 | 7389</t>
  </si>
  <si>
    <t>Computer Processing and Data Preparation and Processing Services | Computer Related Services, NEC (disk conversion services) | Business Services, NEC (microfilm services)</t>
  </si>
  <si>
    <t>Information Technology Consultants | Management Consultants | Marketing Consultants | Software Developers (Pre-Packaged) | Software Developers (Custom)</t>
  </si>
  <si>
    <t>6311 | 7420</t>
  </si>
  <si>
    <t>Data processing, hosting and related activities | Photographic activities</t>
  </si>
  <si>
    <t>74.2 | 63.11</t>
  </si>
  <si>
    <t>Photographic activities | Data processing, hosting and related activities</t>
  </si>
  <si>
    <t>641411 | 641401 | 641405 | 891801 | 891802</t>
  </si>
  <si>
    <t>077-570 33 33</t>
  </si>
  <si>
    <t>+46841066600 | +492319586990 | +3227254518 | +46134656800 | +46465406800 | +46317606800 | +4570101132 | +46703189297 | +358207919200 | +468327700 | +4619206890 | +4794859568</t>
  </si>
  <si>
    <t>support.nordic@proact.eu</t>
  </si>
  <si>
    <t>info@proact.se</t>
  </si>
  <si>
    <t>https://se.3stepit.com/</t>
  </si>
  <si>
    <t>https://www.facebook.com/ProactGroup/</t>
  </si>
  <si>
    <t>https://x.com/3StepITSverige</t>
  </si>
  <si>
    <t>https://www.linkedin.com/showcase/3stepitsverige/</t>
  </si>
  <si>
    <t>https://www.youtube.com/channel/UCBiu5VdAyW5lzPorxNRKqSA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</si>
  <si>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</si>
  <si>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2022-03-16T02:22:44.000Z</t>
  </si>
  <si>
    <t>3DEGREES GROUP, INC.</t>
  </si>
  <si>
    <t>df61d790-93e4-11eb-aa66-9b8d95e2171b</t>
  </si>
  <si>
    <t>3Degrees Group</t>
  </si>
  <si>
    <t>3Degrees Inc. | 3Degrees Group Inc.</t>
  </si>
  <si>
    <t>US</t>
  </si>
  <si>
    <t>United States</t>
  </si>
  <si>
    <t>California</t>
  </si>
  <si>
    <t>San Francisco</t>
  </si>
  <si>
    <t>Montgomery Street</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</si>
  <si>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Auvergne-RhÃ´ne-Alpes, Lyon, 69003, Cours de la LibertÃ©, 41, 45.7590217, 4.8426242 | SG, Singapore, Central, Singapore, 058267, Merchant Road, 21, 1.2877566, 103.8449917 | GB, United Kingdom, England, London, W2 1BQ, Merchant Square, 5, 51.5188639, -0.17356150292265998 | US, United States, Virginia, Richmond, 23219, East Main Street, 1015, 37.5372005, -77.4348997</t>
  </si>
  <si>
    <t>US-based company providing renewable energy and climate solutions, including RECs, carbon offsets and consulting.</t>
  </si>
  <si>
    <t>renewable energy; carbon offsets; RECs; climate consulting; sustainability</t>
  </si>
  <si>
    <t>San Francisco-based provider of renewable energy and carbon reduction solutions.</t>
  </si>
  <si>
    <t>3Degrees Group, Inc. helps organisations meet their climate goals through renewable energy certificates (RECs), carbon offsets, power purchase agreements and climate consulting, supporting decarbonisation strategies across scopes.</t>
  </si>
  <si>
    <t>renewable energy procurement; REC supply; carbon projects; climate strategy; sustainability advisory</t>
  </si>
  <si>
    <t>221118</t>
  </si>
  <si>
    <t>Other Electric Power Generation</t>
  </si>
  <si>
    <t>Renewable Energy &amp; Climate Consulting</t>
  </si>
  <si>
    <t>Renewable energy procurement and carbon reduction services</t>
  </si>
  <si>
    <t>Professional, Scientific &amp; Technical Services / Energy</t>
  </si>
  <si>
    <t>Solar Technology &amp; Project Developers</t>
  </si>
  <si>
    <t>RR-ST</t>
  </si>
  <si>
    <t>Alternative Energy</t>
  </si>
  <si>
    <t>RR.1</t>
  </si>
  <si>
    <t>Renewable Resources &amp; Alternative Energy</t>
  </si>
  <si>
    <t>RR</t>
  </si>
  <si>
    <t>Services, NEC</t>
  </si>
  <si>
    <t>Management Consultants | Operations Consultants | Information Technology Consultants | Marketing Consultants | Engineers</t>
  </si>
  <si>
    <t>Other professional, scientific and technical activities n.e.c.</t>
  </si>
  <si>
    <t>641401 | 641403 | 641411 | 641405 | 891601</t>
  </si>
  <si>
    <t>(866) 476-9378</t>
  </si>
  <si>
    <t>unsubscribe@3degreesinc.com</t>
  </si>
  <si>
    <t>website@3degreesinc.com | pr@3degreesinc.com | info@3degreesinc.com | unsubscribe@3degreesinc.com</t>
  </si>
  <si>
    <t>http://www.3degreesinc.com/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</si>
  <si>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</si>
  <si>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</si>
  <si>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</si>
  <si>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</si>
  <si>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</si>
  <si>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</si>
  <si>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2019-11-24T02:31:02.000Z</t>
  </si>
  <si>
    <t>3Step IT Group Oy</t>
  </si>
  <si>
    <t>359bd116-93e5-11eb-b5f6-816dd10ac7b0</t>
  </si>
  <si>
    <t>3 Step IT Oy</t>
  </si>
  <si>
    <t>3 Step IT Sweden AB. | 3 Step IT Singapore Pte Ltd. | 3 Step IT UK Limited</t>
  </si>
  <si>
    <t>3Step IT Group</t>
  </si>
  <si>
    <t>FI</t>
  </si>
  <si>
    <t>Finland</t>
  </si>
  <si>
    <t>Uusimaa</t>
  </si>
  <si>
    <t>Helsinki</t>
  </si>
  <si>
    <t>Mechelininkatu</t>
  </si>
  <si>
    <t>1A</t>
  </si>
  <si>
    <t>FI, Finland, Uusimaa, Helsinki, 00180, Mechelininkatu, 1a, 60.1642606, 24.921892099999997 | SE, Sweden, Ã–stergÃ¶tland County, LinkÃ¶ping,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VandtÃ¥rnsvej,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</si>
  <si>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Kiertotalousratkaisumme auttaa organisaatiotasi hallinnoimaan ja kuluttamaan teknologialaitteita vastuullisesti ja tietoturvallisesti elinkaarimallilla.</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</si>
  <si>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</si>
  <si>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</si>
  <si>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â€“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</si>
  <si>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</si>
  <si>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Multiline and Specialty Retailers &amp; Distributors</t>
  </si>
  <si>
    <t>CG-MR</t>
  </si>
  <si>
    <t>Consumer Goods Retail</t>
  </si>
  <si>
    <t>CG.3</t>
  </si>
  <si>
    <t>Consumer Goods</t>
  </si>
  <si>
    <t>CG</t>
  </si>
  <si>
    <t>Information Technology Consultants | Management Consultants | Electrical Contractors - Residential | Operations Consultants | Software Developers (Pre-Packaged)</t>
  </si>
  <si>
    <t>641411 | 641401 | 173101 | 641403 | 891801</t>
  </si>
  <si>
    <t>010 5253200</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</si>
  <si>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</si>
  <si>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</si>
  <si>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</si>
  <si>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</si>
  <si>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https://fi.3stepit.com/</t>
  </si>
  <si>
    <t>https://www.facebook.com/3stepIT/</t>
  </si>
  <si>
    <t>https://x.com/3StepITSuomi</t>
  </si>
  <si>
    <t>https://www.instagram.com/3stepitsuomi/#</t>
  </si>
  <si>
    <t>https://www.linkedin.com/showcase/3-step-it-suomi/posts/</t>
  </si>
  <si>
    <t>https://www.youtube.com/channel/UChObOOJk6MNxI9DQaBTqlGw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</si>
  <si>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</si>
  <si>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</si>
  <si>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A.T. KEARNEY AB</t>
  </si>
  <si>
    <t>08330b7d-aeb0-11ef-ac6a-636c4f5076ef</t>
  </si>
  <si>
    <t>Kearney</t>
  </si>
  <si>
    <t>AT RÃ¶rservice AB.</t>
  </si>
  <si>
    <t>AT RÃ–RSERVICE</t>
  </si>
  <si>
    <t>Stockholms län</t>
  </si>
  <si>
    <t>Stockholm</t>
  </si>
  <si>
    <t>111 87</t>
  </si>
  <si>
    <t>Klarabergsviadukten</t>
  </si>
  <si>
    <t>SE, Sweden, Stockholm County, Stockholm, 126 41, JuvelerarvÃ¤gen, 23, 59.2875355, 17.9946668</t>
  </si>
  <si>
    <t>AT RÃ–RSERVICE, legally known as AT RÃ¶rservice AB., is a plumbing company based in Stockholm, Stockholm County. With over 16 years of experience, the company offers a comprehensive range of plumbing services, including repairs, installations, and maintenance. Their services cover everything from minor repairs to major renovations, ensuring high precision and adherence to industry safety standards. AT RÃ¶rservice AB serves both residential and commercial clients, providing tailored solutions for heating systems, water meters, and various household appliances. The company is committed to quality, reliability, and customer satisfaction, delivering services with a focus on safety and competitive pricing.</t>
  </si>
  <si>
    <t>Water Heater Install | Appliance Install | Troubleshooting Services | Maintenance Services for Heating Systems | Sewage Cleanup Services | Sewage Clean Up | Toilet Seats and Sinks | Toilet Seat Replacement | Bathtub Shower Enclosure Installation | Dishwasher Installation | Waste Milling System Installation | Emergency Services | Certified Plumbing Company | Water Heating Systems | Complete Installations under New Construction | Mains Replacement | Washing Machine and Dishwasher Installations | Replacement of Existing Taps and Mixers | Installation and Repair Services | Washing Machine Installation | Installation Services for Household Appliances | Plumbing Solutions | Bathroom Equipment Upkeep</t>
  </si>
  <si>
    <t>Vi strÃ¤var alltid efter hÃ¶gsta kvalitet i varje VVS-installation, med noggrannhet och expertis fÃ¶r att sÃ¤kerstÃ¤lla lÃ¥ngvarig hÃ¥llbarhet.</t>
  </si>
  <si>
    <t>Vi erbjuder pÃ¥litliga och professionella VVS-tjÃ¤nster med fokus pÃ¥ kvalitet, hÃ¥llbarhet och kundnÃ¶jdhet i varje projekt. VÃ¤lkommen till AT RÃ¶rservice AB, ett certifierat VVS-fÃ¶retag med Ã¶ver 16 Ã¥rs erfarenhet i branschen. Vi erbjuder vÃ¥ra kunder en kombination av djup kunskap, precision och effektivitet i alla vÃ¥ra projekt. Med stor stolthet utfÃ¶r vi allt frÃ¥n mindre reparationer till stora installationer och ombyggnationer. Vi arbetar Ã¶ver hela Stor-Stockholm och ser till att varje uppdrag genomfÃ¶rs enligt branschens regler och med hÃ¶gsta sÃ¤kerhet i fokus. Vi strÃ¤var alltid efter att leverera service med hÃ¶g kvalitet, punktlighet och konkurrenskraftiga priser, sÃ¥ att du som kund kÃ¤nner dig trygg genom hela processen. VÃ¤lj AT RÃ¶rservice AB fÃ¶r vÃ¥r lÃ¥nga erfarenhet, vÃ¥rt fokus pÃ¥ kvalitet och sÃ¤kerhet, samt vÃ¥rt engagemang i att leverera till konkurrenskraftiga priser. Vi erbjuder personlig service och skrÃ¤ddarsydda lÃ¶sningar som gÃ¶r att du som kund alltid stÃ¥r i centrum. Tack vare vÃ¥ra hÃ¶ga standarder och nÃ¶jda kunder bygger vi lÃ¥ngvariga relationer och fÃ¥r stÃ¤ndigt nya uppdrag via rekommendationer.</t>
  </si>
  <si>
    <t>Plumbing Services</t>
  </si>
  <si>
    <t>Finishing Contractors</t>
  </si>
  <si>
    <t>Construction</t>
  </si>
  <si>
    <t>Professional &amp; Commercial Services</t>
  </si>
  <si>
    <t>SV-PS</t>
  </si>
  <si>
    <t>Consumer Services</t>
  </si>
  <si>
    <t>SV.3</t>
  </si>
  <si>
    <t>Services</t>
  </si>
  <si>
    <t>SV</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</si>
  <si>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</si>
  <si>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</si>
  <si>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</si>
  <si>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</si>
  <si>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</si>
  <si>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</si>
  <si>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08-679 39 00</t>
  </si>
  <si>
    <t>info@atrorservice.se</t>
  </si>
  <si>
    <t>https://www.kearney.com/?utm_campaign=gmb-listing&amp;utm_medium=organic&amp;utm_source=google</t>
  </si>
  <si>
    <t>sv</t>
  </si>
  <si>
    <t>miscellaneous: rss | javascript libraries: webp | web servers: empathy platform | performance: priority hints | wordpress themes: divi | seo: yoast seo | widgets: css | wordpress plugins: moove gdpr consent | cookie compliance: moove gdpr consent | font scripts: google font api | reverse proxies: nginx | wordpress plugins: divi | databases: mysql | issue trackers: really simple discovery | cms: site.com | video players: mediaelement.js | miscellaneous: open graph | network devices: html | miscellaneous: jquery easing | network devices: html5 | cms: wordpress | blogs: wordpress | web frameworks: jquery waypoints | javascript libraries: jquery | widgets: javascript | operating systems: ubuntu | web servers: nginx | page builders: divi | wordpress plugins: yoast seo | programming languages: php | javascript libraries: jquery migrate</t>
  </si>
  <si>
    <t>2024-11-17T12:01:30.000Z</t>
  </si>
  <si>
    <t>A. T. KEARNEY PTE. LTD</t>
  </si>
  <si>
    <t>202101c3-93e5-11eb-a736-0f5b20ecb2f1</t>
  </si>
  <si>
    <t>A.T. Kearney Pte. Ltd.</t>
  </si>
  <si>
    <t>At Kearney 361 Grad</t>
  </si>
  <si>
    <t>SG</t>
  </si>
  <si>
    <t>Singapore</t>
  </si>
  <si>
    <t>Marina Boulevard, Marina Bay Financial Centre</t>
  </si>
  <si>
    <t>DE, Germany, , , , , , 51.1638175, 10.4478313</t>
  </si>
  <si>
    <t>Accommodation Services | Ghostwriting Services | Cozy Holiday Home | Culinary Experiences | Thesis Writing Services | Plagiarism Check Services | Nature Cottage | Writing Seminar | Proofreading Services | Farm-to-table Culinary Experiences | Scenic Cycle Routes</t>
  </si>
  <si>
    <t>Bei Herbert Woods bieten wir eine riesige Flotte erstklassiger Tagesboote an, die wir das ganze Jahr Ã¼ber vermieten.</t>
  </si>
  <si>
    <t>Verbringen Sie Ihre Freizeit Aktiv. Umgeben von sattem GrÃ¼n bietet unser gemÃ¼tliches Ferienhaus einen ruhigen RÃ¼ckzugsort inmitten der Natur. Entdecken Sie malerische Landschaften auf unserem malerischen Radweg, der von der charmanten HÃ¼tte ausgeht. Der Hauptgrund, warum Studierende ihre Seminararbeit schreiben lassen , ist die Zeitersparnis. Einige Studenten und akademische Institutionen sind der Meinung, dass das Schreiben von Seminararbeiten durch Ghostwriter den akademischen Prozess untergrÃ¤bt und die Studenten dazu verleitet, ihre eigenen FÃ¤higkeiten und Kenntnisse nicht weiterzuentwickeln. Eine gute Ghostwriter-Agentur zeichnet sich durch ihre Transparenz, Kommunikation und Kundenbetreuung aus. Die Stadt London ist eine der besten Reisen fÃ¼r den Sommer 2012. Cardiff Bay ist ein 500 Hektar groÃŸer See mit einem der weltweit grÃ¶ÃŸten Uferbereiche. Istrien, Kroatien, ist der nÃ¤chste der heiÃŸesten Orte fÃ¼r den Sommer. Der sieben Meilen lange StraÃŸenabschnitt, der als Strip bekannt ist, ist ein beliebter Ort fÃ¼r Unterhaltung.</t>
  </si>
  <si>
    <t>Culinary Experiences | Scenic Landscapes | Ultimate Comfort</t>
  </si>
  <si>
    <t>Bed and Breakfast</t>
  </si>
  <si>
    <t>Accommodation</t>
  </si>
  <si>
    <t>Accommodation &amp; Food Services</t>
  </si>
  <si>
    <t>Hotels &amp; Lodging</t>
  </si>
  <si>
    <t>SV-HL</t>
  </si>
  <si>
    <t>Hospitality &amp; Recreation</t>
  </si>
  <si>
    <t>SV.2</t>
  </si>
  <si>
    <t>Hotels and Motels (except hotels, motels, and bed and breakfast inns)</t>
  </si>
  <si>
    <t>Short term accommodation activities</t>
  </si>
  <si>
    <t>55.2 | 55.1</t>
  </si>
  <si>
    <t>Holiday and other short-stay accommodation | Hotels and similar accommodation</t>
  </si>
  <si>
    <t>6298 7200</t>
  </si>
  <si>
    <t>enzogorlomi1@protonmail.com</t>
  </si>
  <si>
    <t>https://www.kearney.com/about/locations/southeast-asia?utm_campaign=gmb-listing&amp;utm_medium=organic&amp;utm_source=google</t>
  </si>
  <si>
    <t>de</t>
  </si>
  <si>
    <t>2019-11-24T00:21:01.000Z</t>
  </si>
  <si>
    <t>AALBORG CITY</t>
  </si>
  <si>
    <t>272b8711-93e5-11eb-8e19-198fb02d6f96</t>
  </si>
  <si>
    <t>Aalborg City | Aalborg City Administration</t>
  </si>
  <si>
    <t>Lille Kongensgade</t>
  </si>
  <si>
    <t>DK, Denmark, North Denmark Region, Aalborg, 9000, Lille Kongensgade, 6, 57.049311, 9.922521</t>
  </si>
  <si>
    <t>Danish city and business association working to promote Aalborg city centre, retail and urban activities.</t>
  </si>
  <si>
    <t>city association; retail; tourism; events; city centre development</t>
  </si>
  <si>
    <t>Association promoting Aalborg city centre, retail trade and urban life.</t>
  </si>
  <si>
    <t>Aalborg City is a city and business association that coordinates marketing, events and initiatives to strengthen Aalborg’s city centre, attract visitors and support retail and cultural life.</t>
  </si>
  <si>
    <t>city marketing; events; retail promotions; tourism promotion; city centre coordination</t>
  </si>
  <si>
    <t>City &amp; Retail Business Associations</t>
  </si>
  <si>
    <t>City centre and retail promotion association</t>
  </si>
  <si>
    <t>Membership Organisations / Public &amp; Community</t>
  </si>
  <si>
    <t>Business Associations</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</si>
  <si>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</si>
  <si>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Activities of business and employers membership organisations</t>
  </si>
  <si>
    <t>663101 | 399101 | 663301 | 651101 | 529101</t>
  </si>
  <si>
    <t>+4525509001 | +4525509002 | +4525509003</t>
  </si>
  <si>
    <t>event@aalborgcity.dk</t>
  </si>
  <si>
    <t>event@aalborgcity.dk | info@aalborgcity.dk</t>
  </si>
  <si>
    <t>citymanager@aalborgcity.dk | kom@aalborgcity.dk</t>
  </si>
  <si>
    <t>https://aalborgcity.dk/</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</si>
  <si>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</si>
  <si>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</si>
  <si>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</si>
  <si>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</si>
  <si>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</si>
  <si>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ACCENTURE SERVICES AS</t>
  </si>
  <si>
    <t>182e8830-1b02-11ec-81d0-432e4ac5b2cc</t>
  </si>
  <si>
    <t>Accenture</t>
  </si>
  <si>
    <t>Accenture Services AS</t>
  </si>
  <si>
    <t>Accenture Norge</t>
  </si>
  <si>
    <t>Rådhusgata</t>
  </si>
  <si>
    <t>NO, Norway, Oslo, Oslo, 0158, RÃ¥dhusgata, 27, 59.9111949, 10.7362558 | NO, Norway, Rogaland, Sandnes, 4313, Grenseveien, 21, 58.88867149999999, 5.7182813 | NO, Norway, Vestland, Bergen, 5020, Solheimsgaten, 11, 60.37706, 5.334677000000001 | NO, Norway, Viken, BÃ¦rum, 1364, Rolfsbuktveien, 2, 59.89540890000001, 10.6262864 | NO, Norway, TrÃ¸ndelag, Trondheim, 7010, Pir I, , 63.442703300000005, 10.4031586</t>
  </si>
  <si>
    <t>Accenture is a business management consulting firm based in Bergen, Norway. The company operates within the business management consulting industry and requires customers to be equipped with masks and temperature checks.</t>
  </si>
  <si>
    <t>Management Consulting Services | Administrative Services | Administrative Management | Corporate Office Solutions | Organizational Change Services</t>
  </si>
  <si>
    <t>Accenture Norge is a business consulting company based in Oslo, Norway.</t>
  </si>
  <si>
    <t>Business Consulting</t>
  </si>
  <si>
    <t>Management Consulting Services (administrative management and general management consulting)</t>
  </si>
  <si>
    <t>Management consultancy activities</t>
  </si>
  <si>
    <t>70.21 | 70.22</t>
  </si>
  <si>
    <t>Public relations and communication activities | Business and other management consultancy activities</t>
  </si>
  <si>
    <t>67 12 67 00</t>
  </si>
  <si>
    <t>https://www.accenture.no/</t>
  </si>
  <si>
    <t>https://www.facebook.com/AccentureNorge/</t>
  </si>
  <si>
    <t>2021-08-18T09:56:01.000Z</t>
  </si>
  <si>
    <t>Accutics ApS</t>
  </si>
  <si>
    <t>21c14442-93e5-11eb-a736-0f5b20ecb2f1</t>
  </si>
  <si>
    <t>Kold Partners</t>
  </si>
  <si>
    <t>Odense</t>
  </si>
  <si>
    <t>Vesterbro</t>
  </si>
  <si>
    <t>DK, Denmark, Region of Southern Denmark, Odense, 5250, Dalumvej, 16, 55.3737311, 10.3699144 | NO, Norway, Oslo, Oslo, 0114, , , 59.9133301, 10.7389701 | DK, Denmark, Region of Southern Denmark, Odense, 5000, Kochsgade, 31D, 55.403057, 10.397229</t>
  </si>
  <si>
    <t>Fremtidssikret software, webapplikationer og websites. Vi designer og udvikler med fokus på UX og agil udvikling, som skaber værdi for din virksomhed.</t>
  </si>
  <si>
    <t>Recursing Services for Skilled Builders | Unemployment Office | IT Services | Talent Matching | IT Specialist Recruitment Services | Talent Agency | Candidate Screening | Recruiting Services for Digital Architects | Management Consulting Services | Recruitment Services | Global Sourcing | Leadership Development Services | Sustainable Workforce Development | Leadership and Recruiting Services | Short Presentation Videos | Digital Workforce of Specialists</t>
  </si>
  <si>
    <t>Kold+Partners match the best companies with the best candidates within tech and more. Check out our job site for current open jobs.</t>
  </si>
  <si>
    <t>Kold+Partners is leading the way towards a more sustainable workforce by meeting the needs and wishes of the IT specialist while offering businesses global sourcing and recruitment. Our main recruiting area includes the new breed of IT specialists, digital architects, engineers and builders. A digital workforce of specialists with an entirely different set of skills, culture and aspirations. Our pledge to clients:We know that recruiting employees is a costly and time-consuming effort. We acknowledge that you, our client, are busy and focused on the end result. Working with us is a partnership. You can expect the appropriate attention from us and we expect your attention and commitment to delivering the best possible process for all parties involved. Our pledge to candidates:You, the talent, are the most important assets in the tech industry and you must be treated as such. When in a recruitment process with Kold+Partners you are ensured a transparent, honest and informed process. We strive to expand the talent pool. We work with candidates and clients such as:Project Managers, Program Managers, Engineers, Controllers, Coordinators, Project Directors, Procurers, Programmers, Foremen, IT Architects, Specialists, working in industries such as IT, Engineering, Telecoms, Energy, Production, Procurement and HR Services. Working with freelance contractors and tax legislation in Europe can be complex and especially in the Nordic countries. Kold+Partners provide full service. We are based on Fyn but work all across Scandinavia</t>
  </si>
  <si>
    <t>Telecom | Recruiting Process | Recruitment Areas | Digital Workplace | Professional Recruiting | Project &amp; Program Management | Hr Services | Leadership Development | Talent Pools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</si>
  <si>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</si>
  <si>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</si>
  <si>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</si>
  <si>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</si>
  <si>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Lawyers / Barristers / Solicitors | Management Consultants | Operations Consultants | Information Technology Consultants | Human Resource Consultants</t>
  </si>
  <si>
    <t>Activities of employment placement agencies</t>
  </si>
  <si>
    <t>811101 | 641401 | 641403 | 641411 | 641404</t>
  </si>
  <si>
    <t>71 99 58 58</t>
  </si>
  <si>
    <t>contact@koldpartners.com</t>
  </si>
  <si>
    <t>20contact@koldpartners.com</t>
  </si>
  <si>
    <t>https://edentic.dk/</t>
  </si>
  <si>
    <t>https://www.facebook.com/koldandpartners/</t>
  </si>
  <si>
    <t>https://twitter.com/koldpartners</t>
  </si>
  <si>
    <t>https://www.instagram.com/koldpartners/</t>
  </si>
  <si>
    <t>https://dk.linkedin.com/company/kold-&amp;-partners</t>
  </si>
  <si>
    <t>cms: umbraco | analytics: facebook custom audiences | web servers: empathy platform | miscellaneous: webpack | javascript frameworks: vue.js | web frameworks: microsoft asp.net | security: hsts | widgets: facebook | retargeting: facebook custom audiences | seo tool: facebook friendly | analytics: linkedin insight tag | tag managers: google tag manager | retargeting: facebook | analytics: google analytics | javascript frameworks: tweenmax</t>
  </si>
  <si>
    <t>2020-02-25T12:21:01.000Z</t>
  </si>
  <si>
    <t>ACOME</t>
  </si>
  <si>
    <t>fed105d4-93e4-11eb-9937-4fab995bf8ff</t>
  </si>
  <si>
    <t>Acome</t>
  </si>
  <si>
    <t>ACOME GmbH</t>
  </si>
  <si>
    <t>ACOME Company a Cooperative</t>
  </si>
  <si>
    <t>FR</t>
  </si>
  <si>
    <t>France</t>
  </si>
  <si>
    <t>Île-de-France</t>
  </si>
  <si>
    <t>Paris</t>
  </si>
  <si>
    <t>Rue du Montparnasse</t>
  </si>
  <si>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Ã˜rstedsvej, 40, 55.354795, 8.769963 | GB, United Kingdom, England, London, EC4R 3TT, Swan Lane, Riverbank House\, 2, 51.50948255, -0.0888455511298173 | DE, Germany, North Rhine-Westphalia, Ratingen, 40878, Eutelis-Platz, 2, 51.30399235, 6.8399294276325</t>
  </si>
  <si>
    <t>genus of plants</t>
  </si>
  <si>
    <t>cable manufacturing; optical fibre; telecom networks; automotive cables; smart buildings; connectivity solutions</t>
  </si>
  <si>
    <t>French cable and connectivity solutions manufacturer.</t>
  </si>
  <si>
    <t>Fleuron technologique de l'industrie française, spécialiste des câbles de haute technicité pour l’automobile, les réseaux télécoms et FTTH, les bâtiments intelligents, les smart cities, le ferroviaire et le transport d’électricité.</t>
  </si>
  <si>
    <t>manufacturing; cable systems; optical fibre; telecom infrastructure; automotive wiring; smart building cabling</t>
  </si>
  <si>
    <t>Manufacturing – Electrical Cable &amp; Connectivity</t>
  </si>
  <si>
    <t>Cable manufacturing and connectivity solutions</t>
  </si>
  <si>
    <t>Manufacturing</t>
  </si>
  <si>
    <t>Electrical &amp; Electronic Equipment</t>
  </si>
  <si>
    <t>RT-EE</t>
  </si>
  <si>
    <t>Industrials</t>
  </si>
  <si>
    <t>RT.1</t>
  </si>
  <si>
    <t>Resource Transformation</t>
  </si>
  <si>
    <t>RT</t>
  </si>
  <si>
    <t>Nonferrous Wiredrawing &amp; Insulating (approximate cable manufacturing classification)</t>
  </si>
  <si>
    <t>Manufacture of other electronic and electric wires and cables</t>
  </si>
  <si>
    <t>01 42 79 14 00</t>
  </si>
  <si>
    <t>+862784799288 | +865387059495 | +33296483691 | +4569166696 | +33233893131 | +33142791537 | +212531063841 | +33142791400 | +390395967700 | +862132212916 | +33296483690 | +33130572186 | +554234212500 | +492102309750 | +33233893100 | +390395967704 | +4921023097550 | +33142791500</t>
  </si>
  <si>
    <t>https://www.acome.com/fr</t>
  </si>
  <si>
    <t>https://www.facebook.com/groupe.acome</t>
  </si>
  <si>
    <t>https://twitter.com/acomegroup</t>
  </si>
  <si>
    <t>https://www.linkedin.com/company/acome</t>
  </si>
  <si>
    <t>https://www.youtube.com/channel/UClIc2pPaWy_SeBN1uKDrsFA</t>
  </si>
  <si>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</si>
  <si>
    <t>2019-11-24T01:34:56.000Z</t>
  </si>
  <si>
    <t>ACOME XINTAI CABLES CO., LTD.</t>
  </si>
  <si>
    <t>d05f8026-d930-11ec-bdba-7101e691c765</t>
  </si>
  <si>
    <t>Qingdao Acome Machinery Co. Ltd.</t>
  </si>
  <si>
    <t>CN</t>
  </si>
  <si>
    <t>China</t>
  </si>
  <si>
    <t>Shandong</t>
  </si>
  <si>
    <t>Qingdao</t>
  </si>
  <si>
    <t>Yongping Road</t>
  </si>
  <si>
    <t>CN, China, Shandong, Qingdao, 266041, Yongping Road, , 36.2040689, 120.3831288</t>
  </si>
  <si>
    <t>Acome, legally known as Acome Machinery Co. Ltd., is a professional manufacturer based in Qingdao, Shandong, China. The company specializes in the production of endless steel belts, diamond saw blades, coated steel belts, and electroplated diamond blades. Acome operates four production facilities equipped with advanced processing, welding, cutting, heat treatment, PTFE coating, and diamond powder coating technologies. The company's products are used in various industrial applications, including automation, machinery, textiles, medicine, food, chemical, cosmetics, communication electronics, new energy, and new materials. Acome focuses on innovation and high-quality manufacturing to meet diverse industrial needs.</t>
  </si>
  <si>
    <t>Detection Instruments | Precision Components Manufacturer | Endless Steel Belts Manufacturer | Diamond Tools | Heat Treatment Services | PTFE Coating | Metalworking Consumable Manufacturer | Cutting Services | Band Saws Manufacturer | Processing Equipment | Metal Materials | Electroplated Saw Blades Manufacturer | Diamond Coating | Welding Services | Machining Services | Ultra-thin Tubes Manufacturer</t>
  </si>
  <si>
    <t>Qingdao Acome Machinery Co., Ltd.: Welcome to wholesale metal belts, diamond saw blade, endless steel belts, coated steel belts, electroplated diamond saw blades in stock here from professional manufacturers and suppliers in China. Our factory offers high quality products made in China with competitive price. Welcome to contact us for customized service.</t>
  </si>
  <si>
    <t>Acome, Ar-Ge, Ã¼retim ve satÄ±ÅŸ ile teknoloji yenilik iÅŸletmelerinden biri olan profesyonel bir sonsuz stee lbelt Ã¼reticisidir. Ã‡in'in Shandong Eyaleti, Qingdao ÅŸehrinde bulunmaktadÄ±r. kaynak, kesme, Ä±sÄ±l iÅŸlem, PTFE kaplama, elmas tozu kaplama ve metal malzemeler. GeliÅŸmiÅŸ iÅŸleme teknolojisine, hammaddelere ve yeteneklere dayanan Acome, profesyonel olarak sonsuz Ã§elik konveyÃ¶r bantlarÄ±, ÅŸerit testereler, ultra ince borular gibi metal sarf malzemeleri ve bileÅŸenleri Ã¼retme eÄŸilimindedir. Ã§eÅŸitli endÃ¼striyel uygulamalar iÃ§in elmas aletler ve hassas iÅŸlenmiÅŸ parÃ§alar. Acome'un otomotiv, makine, tekstil, ilaÃ§, gÄ±da, kimya, kozmetik, iletiÅŸim elektroniÄŸi, yeni enerji, yeni malzeme ve diÄŸer alanlarda yer alan Ã¼rÃ¼nleri. Acome Machinery Co.,Ltd. (Acome) is a professional endless stee lbelt manufacturer, which is one of technology innovation enterprises with R&amp;D,production and sales.It's located in Qingdao city,Shandong Province,China.Acome has four own manufacturing factories,which brings many experts and technologies of Machining,welding,cutting,heat treatment,PTFE coating, diamond-powder coating and metal materials.</t>
  </si>
  <si>
    <t>Industrial Applications | Diamond Saw Blade | Diamond Blades | Chemicals | Industrial Coatings | Wholesale | Coated Steel | Metal Strips | Electroplating | Sustainable Development</t>
  </si>
  <si>
    <t>Rubber and Plastics Hoses and Belting Manufacturing</t>
  </si>
  <si>
    <t>Hose &amp; Belts</t>
  </si>
  <si>
    <t>Machinery Parts</t>
  </si>
  <si>
    <t>Other Capital Goods</t>
  </si>
  <si>
    <t>Industrial Machinery &amp; Goods</t>
  </si>
  <si>
    <t>RT-IG</t>
  </si>
  <si>
    <t>Rubber and Plastics Hose and Belting</t>
  </si>
  <si>
    <t>Retail - Farm Implements / Machinery | Metal Stamping / Fabricated Metal Products | Metal Products Manufacturing - Light, Not Otherwise Classified (incl Machine Shops / Tool &amp; Die) | Metal Products Manufacturing (Staircases / Railings) | Metal Products Manufacturing - Heavy (Not Otherwise Classified)</t>
  </si>
  <si>
    <t>2219 | 2220</t>
  </si>
  <si>
    <t>Manufacture of other rubber products | Manufacture of plastics products</t>
  </si>
  <si>
    <t>22.21 | 22.22 | 22.23 | 22.29 | 22.19</t>
  </si>
  <si>
    <t>Manufacture of plastic plates, sheets, tubes and profiles | Manufacture of plastic packing goods | Manufacture of buildersâ€™ ware of plastic | Manufacture of other plastic products | Manufacture of other rubber products</t>
  </si>
  <si>
    <t>551501 | 359007 | 359001 | 359004 | 369001</t>
  </si>
  <si>
    <t>+8618017203526 | +8653283740102 | +8653283740103</t>
  </si>
  <si>
    <t>acome@aliyun.com</t>
  </si>
  <si>
    <t>https://www.acometech.com/</t>
  </si>
  <si>
    <t>javascript libraries: webp | web frameworks: wow | web servers: empathy platform | javascript graphics: wow | javascript libraries: swiper | font scripts: google font api | miscellaneous: open graph | network devices: html | miscellaneous: jquery easing | geolocation: twitter cards | web frameworks: jquery waypoints | javascript libraries: jquery | cdn: cloudflare | javascript frameworks: wow</t>
  </si>
  <si>
    <t>2022-05-16T05:22:59.000Z</t>
  </si>
  <si>
    <t>ADAPT A/S</t>
  </si>
  <si>
    <t>e8772100-93e4-11eb-b5f6-816dd10ac7b0</t>
  </si>
  <si>
    <t>Adapt</t>
  </si>
  <si>
    <t>APPLE DISTRIBUTION INTERNATIONAL LIMITED</t>
  </si>
  <si>
    <t>Adapt Agency | Adapt Agency USA</t>
  </si>
  <si>
    <t>København</t>
  </si>
  <si>
    <t>Langebrogade</t>
  </si>
  <si>
    <t>6A</t>
  </si>
  <si>
    <t>DK, Denmark, Capital Region of Denmark, Copenhagen, 1411, Langebrogade, 6A, 55.670152, 12.585673</t>
  </si>
  <si>
    <t>Adapt Agency USA</t>
  </si>
  <si>
    <t>digital agency; web development; UX/UI design; digital strategy; apps</t>
  </si>
  <si>
    <t>Copenhagen-based digital agency specialising in web and app solutions.</t>
  </si>
  <si>
    <t>Adapt A/S is a Danish digital agency headquartered at Langebrogade 6A, 1411 København K. Founded in 1998, Adapt designs and develops websites, mobile apps and digital platforms, combining strategy, UX, design and technology to deliver digital experiences for brands and public organisations.</t>
  </si>
  <si>
    <t>digital agency; web development; UX; digital strategy; mobile apps</t>
  </si>
  <si>
    <t>541613</t>
  </si>
  <si>
    <t>Marketing Consulting Services</t>
  </si>
  <si>
    <t>Digital Agencies &amp; IT Services</t>
  </si>
  <si>
    <t>Digital design and development services</t>
  </si>
  <si>
    <t>Information &amp; Communication Technology</t>
  </si>
  <si>
    <t>Advertising &amp; Marketing</t>
  </si>
  <si>
    <t>SV-AD</t>
  </si>
  <si>
    <t>Media</t>
  </si>
  <si>
    <t>SV.1</t>
  </si>
  <si>
    <t>Computer Programming Services</t>
  </si>
  <si>
    <t>Computer programming activities</t>
  </si>
  <si>
    <t>33 41 10 50</t>
  </si>
  <si>
    <t>+45 33 41 10 50</t>
  </si>
  <si>
    <t>hello@adaptagency.com</t>
  </si>
  <si>
    <t>hello.usa@adaptagency.com</t>
  </si>
  <si>
    <t>mads@adaptagency.com | kc@adaptagency.com | tommy@adaptagency.com | kresten@adaptagency.com | louise.hall@adaptagency.com</t>
  </si>
  <si>
    <t>https://adaptagency.com/</t>
  </si>
  <si>
    <t>https://www.facebook.com/adapt.dk/</t>
  </si>
  <si>
    <t>https://twitter.com/adaptdk</t>
  </si>
  <si>
    <t>https://www.instagram.com/adapt_agency_usa/</t>
  </si>
  <si>
    <t>https://www.linkedin.com/company/adapt-agency-us/</t>
  </si>
  <si>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</si>
  <si>
    <t>2019-11-24T01:40:20.000Z</t>
  </si>
  <si>
    <t>ADECCO A/S</t>
  </si>
  <si>
    <t>0603b5e0-69e0-11ec-921b-bd9e8d6d96af</t>
  </si>
  <si>
    <t>Adecco Danmark</t>
  </si>
  <si>
    <t>CISCO INTERNATIONAL LIMITED</t>
  </si>
  <si>
    <t>Elektriker Lyngby</t>
  </si>
  <si>
    <t>Frederiksberg</t>
  </si>
  <si>
    <t>Falkoner Alle</t>
  </si>
  <si>
    <t>DK, Denmark, Capital Region of Denmark, Kongens Lyngby, 2800, Lyngby Hovedgade, 60, 55.770992, 12.502561</t>
  </si>
  <si>
    <t>FLAIR er eksperter i vikariater og rekrutteringer. Vi matcher medarbejdere og virksomheder hver dag. Søger du job, vikar eller medarbejder? Vi hjælper dig.</t>
  </si>
  <si>
    <t>KNX Wiser Schneider | Electrical Services | New Electric Installations | Power Outlets | Underground Cable Locating and Repair | Emergency Services | 24-hour Emergency Electrical Services | Lamp Sockets and Setup | New Electrical Panels</t>
  </si>
  <si>
    <t>Velkommen til Elektriker Lyngby, vi bestÃ¥r af et engageret team af elektrikere i Lyngby som tilbyder lidt af hver indenfor el og elinstallationer. Vi er</t>
  </si>
  <si>
    <t>Velkommen til Elektriker Lyngby, vi bestÃ¥r af et engageret team af elektrikere i Lyngby som tilbyder lidt af hver indenfor el og elinstallationer. Vi er mest kendte i Lyngby for vores fleksible elektriker dÃ¸gnvagt ydelser. Elektriker Lyngby bestÃ¥r af et team af 5 elektrikere som kommer fra Jylland af, i 2015 flyttede de til KÃ¸benhavn og startede firma som elektriker i Lyngby. Vi er et solidt team med hÃ¦nderne ret skruet sammen og hjertet det rette stede. Vi Ã¸nsker at alle vores kunde i NordsjÃ¦lland finder det bedste el-service hos os. Selvom at vi stadig er unge, sÃ¥ har vi lang erfaring indenfor el, vores store interesse som selvstÃ¦ndig elektriker i Lyngby har ledt til at vi er specialister i boliginstallationer primÃ¦rt. Leder du efter kvalitets elektrikerydelser. Elektriker Lyngbys team har et bevist ry for at udfÃ¸re et fremragende stykke el-arbejde med at lÃ¸se el-problemer, sÃ¥som fejlfinding. PÃ¥ grund af dette er vi nu en af de bedste elektriker firmaer i KÃ¸benhavn og i Lyngby. Vi er stolte over vores arbejde som elektrikere i Lyngby kommune og glÃ¦der os til at hjÃ¦lpe dig som vores nÃ¦ste kunde.</t>
  </si>
  <si>
    <t>Electrical &amp; Wiring Contractors</t>
  </si>
  <si>
    <t>1731 | 1711</t>
  </si>
  <si>
    <t>Electrical Work (electrical work except burglar and fire alarm installation) | Plumbing, Heating, and Air-Conditioning (environmental control installation contractors)</t>
  </si>
  <si>
    <t>Electrical Contractors - Residential | Electrical Contractors - Commercial (No Industrial) | Electrical Contractors - Industrial | Renovation - Residential (Singles / Semis / Townhouses) | Construction - Residential New (Singles / Semis)</t>
  </si>
  <si>
    <t>Electrical installation</t>
  </si>
  <si>
    <t>173101 | 173102 | 173601 | 181102 | 181101</t>
  </si>
  <si>
    <t>38 88 94 00</t>
  </si>
  <si>
    <t>+4522235591 | +4522347222 | +4545878726</t>
  </si>
  <si>
    <t>kontakt@elektriker-lyngby.dk</t>
  </si>
  <si>
    <t>FLAIR@FLAIR.dk</t>
  </si>
  <si>
    <t>https://www.flair.dk/</t>
  </si>
  <si>
    <t>https://www.facebook.com/FLAIRDanmark/</t>
  </si>
  <si>
    <t>https://www.linkedin.com/company/flair-tidligere-adecco/</t>
  </si>
  <si>
    <t>web servers: ibm websphere application server | databases: mysql | web servers: schannel | web servers: apache http server | cms: wordpress | blogs: wordpress | caching: varnish | programming languages: php</t>
  </si>
  <si>
    <t>2021-12-30T23:02:37.000Z</t>
  </si>
  <si>
    <t>ADECCO PERSONNEL PTE LTD</t>
  </si>
  <si>
    <t>410a4cc3-93e5-11eb-9937-4fab995bf8ff</t>
  </si>
  <si>
    <t>Adecco Personnel Pte Ltd</t>
  </si>
  <si>
    <t>DXC Technology Sverige AB</t>
  </si>
  <si>
    <t>Adecco Singapore | Adecco</t>
  </si>
  <si>
    <t>Scotts Road</t>
  </si>
  <si>
    <t>SG, Singapore, Central, Singapore, 228208, Scotts Road, 1, 1.30625075, 103.8319289918601 | SG, Singapore, Central, Singapore, 178957, Raffles Place, 24, 1.2838470000000002, 103.85212299999999</t>
  </si>
  <si>
    <t>Grow your business with Adecco's recruitment solutions in Singapore. Leverage our expertise in talent acquisition, workforce management, and strategic hiring to build a high-performing team.</t>
  </si>
  <si>
    <t>Outsourcing Services | Tailored Human Resource Solutions | Recruitment Solutions | Staffing Solution | Employment Agency | Strategic Solutions for Hiring | Employment Placement Agency Services | Hr Services | Executive Search Services | Placement Services | Job Search Platform</t>
  </si>
  <si>
    <t>Kickstart your career with Adeccoâ€™s job search platform in Singapore. Explore job listings, hiring services, and recruitment support. Find your next job here !</t>
  </si>
  <si>
    <t>For more than 35 years, Adecco provides a comprehensive array of HR solutions and consulting services which includes mid to staff level talent acquisition, contract recruitment, outsourcing, field sales and marketing as well as payroll services. Our expertise includes accounting &amp; finance, admin &amp; secretarial, banking, digital &amp; eCommerce, education &amp; legal, engineering, events, healthcare &amp; life sciences, human resources, information technology, retail, sales &amp; marketing and supply chain &amp; logistics.</t>
  </si>
  <si>
    <t>Consultancy Services | Recruiting Agency | Recruitment Support | Healthcare &amp; Life Science | Temporary Employment | Salary Guide | HR Solutions | Explore Jobs | Permanent Recruiting | Human Resources</t>
  </si>
  <si>
    <t>6835 3400</t>
  </si>
  <si>
    <t>+6565368566 | +6568353400</t>
  </si>
  <si>
    <t>contact.sg@adecco.com</t>
  </si>
  <si>
    <t>http://www.adecco.com.sg/</t>
  </si>
  <si>
    <t>https://www.facebook.com/AdeccoSingapore/</t>
  </si>
  <si>
    <t>https://twitter.com/AdeccoSingapore</t>
  </si>
  <si>
    <t>https://www.instagram.com/adeccosingapore/</t>
  </si>
  <si>
    <t>caching: wp rocket | javascript libraries: jquery ui - 1.13.2 | miscellaneous: rss | javascript libraries: swiper | ui frameworks: animate.css | font scripts: google font api | blogs: wordpress - 6.1.1 | analytics: google analytics - GA4 | security: hsts | reverse proxies: nginx | javascript libraries: jquery - 3.6.1 | databases: mysql | miscellaneous: open graph | ui frameworks: bootstrap - 4 | javascript libraries: jquery migrate - 3.3.2 | web servers: nginx | wordpress plugins: wp rocket | programming languages: php | cms: wordpress - 6.1.1</t>
  </si>
  <si>
    <t>2019-11-23T23:09:57.000Z</t>
  </si>
  <si>
    <t>ADOBE SYSTEMS SOFTWARE IRELAND LIMITED</t>
  </si>
  <si>
    <t>099ed3a8-1afb-11ec-a882-057f42292856</t>
  </si>
  <si>
    <t>Adobe Systems Software Ireland</t>
  </si>
  <si>
    <t>HELP Försäkring AB</t>
  </si>
  <si>
    <t>IE</t>
  </si>
  <si>
    <t>Ireland</t>
  </si>
  <si>
    <t>County Dublin</t>
  </si>
  <si>
    <t>Dublin 24</t>
  </si>
  <si>
    <t>D24 DCW0</t>
  </si>
  <si>
    <t>4–6 Riverwalk</t>
  </si>
  <si>
    <t>4–6</t>
  </si>
  <si>
    <t>IE, Ireland, Leinster, Dublin 24, , Riverwalk, 4-6, 53.2907766, -6.420329999999999</t>
  </si>
  <si>
    <t>Adobe is changing the world through digital experiences. We help our customers create, deliver and optimise content and applications.</t>
  </si>
  <si>
    <t>User-friendly Websites | Visually Appealing Websites | Software Development of Software Solutions</t>
  </si>
  <si>
    <t>Adobe Systems Software Ireland is a tech company based in Ireland.</t>
  </si>
  <si>
    <t>Tech Companies</t>
  </si>
  <si>
    <t>7373 | 7379</t>
  </si>
  <si>
    <t>Computer Integrated Systems Design | Computer Related Services, NEC (computer systems consultants)</t>
  </si>
  <si>
    <t>Computer consultancy and computer facilities management services</t>
  </si>
  <si>
    <t>62.03 | 62.02</t>
  </si>
  <si>
    <t>Computer facilities management activities | Computer consultancy activities</t>
  </si>
  <si>
    <t>(01) 242 6721</t>
  </si>
  <si>
    <t>http://www.adobe.com/ie/</t>
  </si>
  <si>
    <t>2022-04-12T16:43:22.000Z</t>
  </si>
  <si>
    <t>ADVANCED DIGITAL BROADCAST SA</t>
  </si>
  <si>
    <t>00aff20d-f191-11ee-ac7d-ff3cf70c8b09</t>
  </si>
  <si>
    <t>Advanced Digital Broadcast Sa</t>
  </si>
  <si>
    <t>Hewlett Packard Enterprise Malaysia Sdn. Bhd.</t>
  </si>
  <si>
    <t>CH</t>
  </si>
  <si>
    <t>Switzerland</t>
  </si>
  <si>
    <t>Genève</t>
  </si>
  <si>
    <t>Bellevue</t>
  </si>
  <si>
    <t>Route de Lausanne</t>
  </si>
  <si>
    <t>CH, Switzerland, Geneva, Geneva, 1201, Galerie Jean-Malbuisson, 19, 46.2044551, 6.1437558</t>
  </si>
  <si>
    <t>Advanced Eco Jet Services SA is a corporate office located in Geneva, Switzerland.</t>
  </si>
  <si>
    <t>Logistics Consulting Services | Physical Distribution Services | E Jet Charter Services | Corporate Office Services</t>
  </si>
  <si>
    <t>Advanced Eco Jet Services SA. is an aircraft parts &amp; services company based in Geneva, Switzerland.</t>
  </si>
  <si>
    <t>Aircraft Parts &amp; Services</t>
  </si>
  <si>
    <t>Aerospace and Defence</t>
  </si>
  <si>
    <t>https://www.aejets.ch/</t>
  </si>
  <si>
    <t>cdn: cloudflare | miscellaneous: http/3 | network devices: html</t>
  </si>
  <si>
    <t>2023-07-14T09:33:25.556Z</t>
  </si>
  <si>
    <t>Advanced Network Solutions Sdn Bhd</t>
  </si>
  <si>
    <t>3c9b6969-fdd5-11ef-8bcd-e7d9bf87b1c1</t>
  </si>
  <si>
    <t>Advanced Network Solutions Sdn. Bhd.</t>
  </si>
  <si>
    <t>Hewlett Packard Enterprise Company</t>
  </si>
  <si>
    <t>MY</t>
  </si>
  <si>
    <t>Malaysia</t>
  </si>
  <si>
    <t>Selangor</t>
  </si>
  <si>
    <t>Shah Alam</t>
  </si>
  <si>
    <t>Jalan Tudm</t>
  </si>
  <si>
    <t>Lot 202</t>
  </si>
  <si>
    <t>MY, Malaysia, Selangor, Shah Alam, 40150, Jalan Monterez Golf Club, , 3.1336783999999995, 101.5235916</t>
  </si>
  <si>
    <t>Malaysian company providing telecommunication and networking systems, fibre and copper connectivity products and data centre solutions under the Litech brand.</t>
  </si>
  <si>
    <t>telecommunication systems; networking; fibre connectivity; data centre solutions; cable assemblies</t>
  </si>
  <si>
    <t>Shah Alam-based provider of telecommunication and networking solutions and components.</t>
  </si>
  <si>
    <t>Advanced Network Solutions Sdn Bhd (Advancednet) is a Malaysian company headquartered at Lot 202, Jalan TUDM, Kampung Baru Subang, Seksyen U6, 40150 Shah Alam, Selangor. Incorporated in 1995, the company provides telecommunication and networking systems, fibre and copper connectivity products, optical distribution cabinets and data centre solutions, marketed under brands such as Litech and APS.</t>
  </si>
  <si>
    <t>telecom network components; fibre optic solutions; connectivity hardware; data centre infrastructure</t>
  </si>
  <si>
    <t>423690</t>
  </si>
  <si>
    <t>Other Electronic Parts and Equipment Merchant Wholesalers</t>
  </si>
  <si>
    <t>Telecom &amp; Network Equipment Manufacturing</t>
  </si>
  <si>
    <t>Telecommunication and networking components and systems</t>
  </si>
  <si>
    <t>Manufacturing / Information &amp; Communication Technology</t>
  </si>
  <si>
    <t>Electronic Connectors</t>
  </si>
  <si>
    <t>Manufacture of electronic components</t>
  </si>
  <si>
    <t>03-7845 6133</t>
  </si>
  <si>
    <t>+60 3 7845 6133</t>
  </si>
  <si>
    <t>peter@advancednet.com.my</t>
  </si>
  <si>
    <t>https://www.litech.cc</t>
  </si>
  <si>
    <t>2025-03-10T17:28:35.273Z</t>
  </si>
  <si>
    <t>ADVANSIA AS</t>
  </si>
  <si>
    <t>a9f7869f-93e4-11eb-97db-273ba5953680</t>
  </si>
  <si>
    <t>Advansia AS</t>
  </si>
  <si>
    <t>Nokia Corporation</t>
  </si>
  <si>
    <t>Advansia</t>
  </si>
  <si>
    <t>Lilleakerveien</t>
  </si>
  <si>
    <t>NO, Norway, Oslo, Oslo, 0283, Lilleakerveien, 8, 59.916128, 10.636895 | NO, Norway, Nordland, BodÃ¸, 8006, SjÃ¸gata, 8, 67.2842959, 14.3789121 | NO, Norway, MÃ¸re og Romsdal, Molde, 6415, Ã˜vre veg, 24, 62.738524, 7.1665992 | NO, Norway, TrÃ¸ndelag, Trondheim, 7042, Bassengbakken, 1, 63.436036, 10.415542 | NO, Norway, Rogaland, Stavanger, 4031, Forusparken, 2, 58.8905987, 5.7380305</t>
  </si>
  <si>
    <t>En ledende rÃ¥dgivnings- og ingeniÃ¸rvirksomhet som tilbyr fremtidsrettede og bÃ¦rekraftige lÃ¸sninger.</t>
  </si>
  <si>
    <t>project management; construction; infrastructure; consulting; owner advisory</t>
  </si>
  <si>
    <t>Oslo-based project management and construction consulting company.</t>
  </si>
  <si>
    <t>Advansia AS provides project management, owner advisory and consulting services for large and complex building and infrastructure projects in Norway, covering planning, execution and commissioning phases.</t>
  </si>
  <si>
    <t>project governance; owner’s engineer; cost management; risk management; construction management</t>
  </si>
  <si>
    <t>541310</t>
  </si>
  <si>
    <t>Architectural Services</t>
  </si>
  <si>
    <t>Project &amp; Construction Management Consulting</t>
  </si>
  <si>
    <t>Project management and advisory for construction and infrastructure</t>
  </si>
  <si>
    <t>Professional, Scientific &amp; Technical Services</t>
  </si>
  <si>
    <t>Engineering &amp; Construction Services</t>
  </si>
  <si>
    <t>IF-EN</t>
  </si>
  <si>
    <t>Infrastructure</t>
  </si>
  <si>
    <t>IF.2</t>
  </si>
  <si>
    <t>IF</t>
  </si>
  <si>
    <t>Management Services</t>
  </si>
  <si>
    <t>Business and other management consultancy activities</t>
  </si>
  <si>
    <t>24 10 10 10</t>
  </si>
  <si>
    <t>+4798210168 | +4746816954 | +4746546465 | +4746857730 | +4790756135 | +4793028054 | +4790570657 | +4793450595 | +4792838711 | +4724101010 | +4792299572</t>
  </si>
  <si>
    <t>hans.hagby@advansia.no</t>
  </si>
  <si>
    <t>https://www.advansia.no/</t>
  </si>
  <si>
    <t>https://www.facebook.com/advansia.no</t>
  </si>
  <si>
    <t>https://www.instagram.com/afry.norge/</t>
  </si>
  <si>
    <t>https://www.linkedin.com/company/advansia/</t>
  </si>
  <si>
    <t>javascript libraries: core-js | analytics: facebook custom audiences | analytics: google ads conversion tracking | javascript libraries: webp | web servers: empathy platform | miscellaneous: webpack | analytics: facebook pixel - 2.9.133 | page builders: webflow | widgets: css | web servers: openresty | miscellaneous: lottiefiles | cache tools: varnish | security: hsts | javascript libraries: jquery - 3.5.1 | miscellaneous: http/3 | reverse proxy: nginx | cms: site.com | widgets: facebook | retargeting: facebook custom audiences | miscellaneous: open graph | network devices: html | miscellaneous: jquery easing | cdn: jsdelivr | seo tool: facebook friendly | advertising: google ads | network devices: html5 | video players: vimeo | miscellaneous: facebook | tag managers: google tag manager | miscellaneous: linkedin | javascript libraries: jquery | retargeting: facebook | widgets: javascript | analytics: facebook pixel | advertising: microsoft advertising | seo tool: twitter friendly | web servers: nginx | cdn: cloudflare | javascript libraries: core-js - 3.19.0 | miscellaneous: instagram | javascript frameworks: jquery | analytics: google analytics | programming languages: lua</t>
  </si>
  <si>
    <t>2020-10-26T23:36:32.000Z</t>
  </si>
  <si>
    <t>AEGER GROUP AS</t>
  </si>
  <si>
    <t>2d7be421-93e5-11eb-be5a-4f810ab55f2e</t>
  </si>
  <si>
    <t>Aeger group AS</t>
  </si>
  <si>
    <t>Ayvens Sweden AB</t>
  </si>
  <si>
    <t>Aeger Group | Aeger Group AS</t>
  </si>
  <si>
    <t>Nedre Slottsgate</t>
  </si>
  <si>
    <t>NO, Norway, Oslo, Oslo, 0157, Nedre Slottsgate, 11, 59.912104799999994, 10.742202700000002</t>
  </si>
  <si>
    <t>Aeger Group er et konsulentselskap som har spesialisert seg pÃ¥ sikring av risikoutsatte verdier og etablering av beredskapsevne internasjonalt.</t>
  </si>
  <si>
    <t>holding company; investments; ownership; portfolio management</t>
  </si>
  <si>
    <t>Norway-based holding and investment company.</t>
  </si>
  <si>
    <t>AEGER GROUP AS is a Norwegian holding company that owns stakes in different operating companies and manages a portfolio of investments across sectors.</t>
  </si>
  <si>
    <t>equity holdings; corporate ownership; strategic investments; portfolio management</t>
  </si>
  <si>
    <t>Corporate Holding &amp; Investment Companies</t>
  </si>
  <si>
    <t>Ownership and management of shareholdings</t>
  </si>
  <si>
    <t>Financial and Insurance Activities</t>
  </si>
  <si>
    <t>Offices of Holding Companies, NEC</t>
  </si>
  <si>
    <t>Insurance Agents / Brokers / Adjusters | Management Consultants | Security / Detective / Patrol Services | Operations Consultants | Burglar / Fire Alarm Installation (No Monitoring)</t>
  </si>
  <si>
    <t>Activities of holding companies</t>
  </si>
  <si>
    <t>641201 | 641401 | 740301 | 641403 | 173103</t>
  </si>
  <si>
    <t>96 50 80 40</t>
  </si>
  <si>
    <t>+4792810931 | +4796508040</t>
  </si>
  <si>
    <t>post@aeger.no</t>
  </si>
  <si>
    <t>courses@aeger.no | cyber@aeger.no | kurs@aeger.no</t>
  </si>
  <si>
    <t>http://www.aeger.no/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</si>
  <si>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</si>
  <si>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</si>
  <si>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</si>
  <si>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</si>
  <si>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AFFIRMED NETWORKS INC</t>
  </si>
  <si>
    <t>ef392bbd-93e4-11eb-919a-b3f9a5ad205c</t>
  </si>
  <si>
    <t>Affirmed Networks</t>
  </si>
  <si>
    <t>Nagarro Enterprise Services GmbH</t>
  </si>
  <si>
    <t>Affirmed Networks | Affirmed</t>
  </si>
  <si>
    <t>Massachusetts</t>
  </si>
  <si>
    <t>Acton</t>
  </si>
  <si>
    <t>Nagog Park</t>
  </si>
  <si>
    <t>US, United States, Massachusetts, Acton, 01720, Nagog Park, 35, 42.5252415439818, -71.43181492487923</t>
  </si>
  <si>
    <t>Affirmed's fully virtualized, cloud-native, NFV solutions enable operators to handle more traffic, simplify operations &amp; launch revenue-generating services.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</si>
  <si>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</si>
  <si>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</si>
  <si>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</si>
  <si>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</si>
  <si>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Wireless Telecommunications Carriers (except Satellite)</t>
  </si>
  <si>
    <t>Communication Equipment Installation - Commercial | Communication Equipment Installation - Residential | Information Technology Consultants | Operations Consultants | Management Consultants</t>
  </si>
  <si>
    <t>153402 | 153401 | 641411 | 641403 | 641401</t>
  </si>
  <si>
    <t>(978) 268-0800</t>
  </si>
  <si>
    <t>an_marketing@microsoft.com</t>
  </si>
  <si>
    <t>AN_Marketing@microsoft.com</t>
  </si>
  <si>
    <t>http://www.affirmednetworks.com/</t>
  </si>
  <si>
    <t>https://www.facebook.com/affirmednetworksacton</t>
  </si>
  <si>
    <t>https://www.twitter.com/AffirmedNetwork</t>
  </si>
  <si>
    <t>https://www.linkedin.com/company/1161691/</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</si>
  <si>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</si>
  <si>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</si>
  <si>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Agg Power Technology (Fuzhou) Co Ltd.</t>
  </si>
  <si>
    <t>475daed5-0c7d-11ec-b9ed-b7cae580407c</t>
  </si>
  <si>
    <t>AGG POWER TECHNOLOGY(FUZHOU)CO.,LTD</t>
  </si>
  <si>
    <t>AGG Power</t>
  </si>
  <si>
    <t>No. 5 Airport Industrial Zone</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</si>
  <si>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</si>
  <si>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</si>
  <si>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</si>
  <si>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</si>
  <si>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Electric Supplies &amp; Power Generation</t>
  </si>
  <si>
    <t>Electronics &amp; Appliances</t>
  </si>
  <si>
    <t>3621 | 7694</t>
  </si>
  <si>
    <t>Motors and Generators | Armature Rewinding Shops (remanufacturing)</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</si>
  <si>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</si>
  <si>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Manufacture of electric motors, generators, transformers and electricity distribution and control apparatus</t>
  </si>
  <si>
    <t>27.12 | 27.11</t>
  </si>
  <si>
    <t>Manufacture of electricity distribution and control apparatus | Manufacture of electric motors, generators and transformers</t>
  </si>
  <si>
    <t>357001 | 349501 | 173601 | 509201 | 349502</t>
  </si>
  <si>
    <t>+8615161582335 | +864001551400 | +8659186396829 | +8659186396929</t>
  </si>
  <si>
    <t>info@aggpowersolutions.com</t>
  </si>
  <si>
    <t>http://aggpower.cn/</t>
  </si>
  <si>
    <t>zh</t>
  </si>
  <si>
    <t>javascript libraries: owl carousel | javascript libraries: swiper | javascript libraries: jquery - 1.12.3 | web frameworks: microsoft asp.net - 4.0.30319 | font scripts: font awesome | operating systems: windows server | web servers: iis - 7.5</t>
  </si>
  <si>
    <t>2021-09-03T05:08:29.000Z</t>
  </si>
  <si>
    <t>AIA Berhad</t>
  </si>
  <si>
    <t>000b3360-93e5-11eb-919a-b3f9a5ad205c</t>
  </si>
  <si>
    <t>AIA Customer Centre</t>
  </si>
  <si>
    <t>AIA Malaysia | AIA Elite Academy</t>
  </si>
  <si>
    <t>Wilayah Persekutuan Kuala Lumpur</t>
  </si>
  <si>
    <t>Kuala Lumpur</t>
  </si>
  <si>
    <t>Jalan Ampang</t>
  </si>
  <si>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</si>
  <si>
    <t>AIA is a leading takaful and insurance company in Malaysia. Explore plans that offer protection against major illnesses, critical life risks, and more—for greater peace of mind.</t>
  </si>
  <si>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</si>
  <si>
    <t>The AIA Elite Academy offers an exclusive programme that aims to develop a new generation of highly d</t>
  </si>
  <si>
    <t>Visit AIA Malaysia for reliable life insurance and protection products for both individuals supporting family, and businesses supporting staff.</t>
  </si>
  <si>
    <t>Asset Management | Life Planner | Corporate Solutions | Investment Linked | Legacy Planning | Saving And Investing | Commercial Insurance | Banking Partners | Health &amp; Wealth | Cost &amp; Savings</t>
  </si>
  <si>
    <t>Insurance - Agents, Carriers &amp; Brokers</t>
  </si>
  <si>
    <t>Insurance</t>
  </si>
  <si>
    <t>FN-IN</t>
  </si>
  <si>
    <t>FN.3</t>
  </si>
  <si>
    <t>Financials</t>
  </si>
  <si>
    <t>FN</t>
  </si>
  <si>
    <t>6321 | 6311</t>
  </si>
  <si>
    <t>Accident and Health Insurance (disability insurers-direct) | Life Insurance (life insurers-direct)</t>
  </si>
  <si>
    <t>Insurance Companies | Insurance Agents / Brokers / Adjusters | Building Owner - Multiple Occupancy - Mixed-Use Commercial | Insurance Inspection Services | Inspection Services - Not Otherwise Classified</t>
  </si>
  <si>
    <t>Life insurance</t>
  </si>
  <si>
    <t>631001 | 641201 | 399101 | 891701 | 891702</t>
  </si>
  <si>
    <t>1-300-88-1899</t>
  </si>
  <si>
    <t>+60320561111 | +601300881899 | +601300888922 | +60166267946 | +60379890352 | +60321665421 | +601800888733 | +60321634088 | +601300227771</t>
  </si>
  <si>
    <t>lowkahhung.5188s@aia-premier.com.my</t>
  </si>
  <si>
    <t>https://www.aia.com.my/</t>
  </si>
  <si>
    <t>https://www.facebook.com/AIAMalaysia/</t>
  </si>
  <si>
    <t>https://www.instagram.com/aiamalaysia/</t>
  </si>
  <si>
    <t>http://www.linkedin.com/company/aia-malaysia</t>
  </si>
  <si>
    <t>https://itunes.apple.com/my/app/my-aia/id1286476389?mt=8</t>
  </si>
  <si>
    <t>https://play.google.com/store/apps/details?id=com.aia.myaia</t>
  </si>
  <si>
    <t>https://www.youtube.com/user/AIABhdMalaysia</t>
  </si>
  <si>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</si>
  <si>
    <t>2019-11-24T12:40:30.000Z</t>
  </si>
  <si>
    <t>AIG EUROPE S.A. NUF</t>
  </si>
  <si>
    <t>379975dc-93e5-11eb-90d2-e3355a7e800b</t>
  </si>
  <si>
    <t>AIG</t>
  </si>
  <si>
    <t>NTT (Thailand) Limited</t>
  </si>
  <si>
    <t>AIG Norge</t>
  </si>
  <si>
    <t>Munkedamsveien</t>
  </si>
  <si>
    <t>NO, Norway, Oslo, Oslo, 0160, Rosenkrantzâ€™ gate, 22, 59.911637199999994, 10.736167</t>
  </si>
  <si>
    <t>Norwegian branch of AIG Europe S.A. providing non-life insurance products and services to corporate and retail clients.</t>
  </si>
  <si>
    <t>non-life insurance; corporate insurance; risk solutions; property; casualty</t>
  </si>
  <si>
    <t>Oslo branch of AIG Europe offering non-life insurance solutions.</t>
  </si>
  <si>
    <t>AIG Europe S.A. NUF is the Norwegian branch of AIG Europe S.A., located at Munkedamsveien 45A, 0250 Oslo. The branch underwrites non-life insurance, including property, casualty and specialty insurance products for corporate and individual customers in Norway.</t>
  </si>
  <si>
    <t>commercial insurance; property &amp; casualty; risk management; specialty lines</t>
  </si>
  <si>
    <t>Insurance – Property &amp; Casualty</t>
  </si>
  <si>
    <t>Non-life insurance</t>
  </si>
  <si>
    <t>Fire, Marine, and Casualty Insurance</t>
  </si>
  <si>
    <t>22 00 20 80</t>
  </si>
  <si>
    <t>+352226910 | +4722002020 | +4722002080</t>
  </si>
  <si>
    <t>csg.norway@aig.com</t>
  </si>
  <si>
    <t>https://www.aig.no/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</si>
  <si>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</si>
  <si>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</si>
  <si>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</si>
  <si>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</si>
  <si>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</si>
  <si>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2019-11-24T01:26:46.000Z</t>
  </si>
  <si>
    <t>AKTIESELSKABET RODOVRE CENTRUM</t>
  </si>
  <si>
    <t>e41ec36b-93e4-11eb-8859-29e7c34dee35</t>
  </si>
  <si>
    <t>Aktieselskabet Rødovre Centrum</t>
  </si>
  <si>
    <t>NTT Asia Pacific Pte. Ltd.</t>
  </si>
  <si>
    <t>RÃ¸dovre Centrum | RÃ¸dovre</t>
  </si>
  <si>
    <t>Rødovre</t>
  </si>
  <si>
    <t>Rødovre Centrum</t>
  </si>
  <si>
    <t>DK, Denmark, Capital Region of Denmark, RÃ¸dovre Municipality, 2610, RÃ¸dovre Centrum, , 55.6804403, 12.4550113</t>
  </si>
  <si>
    <t>RÃ¸dovre Centre (RÃ¸dovre Centrum), legally known as Scandinavian Shopping Center Partners ApS, is a shopping center located in RÃ¸dovre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</si>
  <si>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</si>
  <si>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</si>
  <si>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pÃ¥ eventyrskov med talende trÃ¦er.</t>
  </si>
  <si>
    <t>Order Gift Cards | Free Parking | Shopping Centres</t>
  </si>
  <si>
    <t>General Retail &amp; Merchandise</t>
  </si>
  <si>
    <t>Other Durable Products</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</si>
  <si>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</si>
  <si>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</si>
  <si>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4719 | 4791</t>
  </si>
  <si>
    <t>Other retail sale in non-specialized stores | Retail sale via mail order houses or via Internet</t>
  </si>
  <si>
    <t>47.91 | 47.19</t>
  </si>
  <si>
    <t>Retail sale via mail order houses or via Internet | Other retail sale in non-specialised stores</t>
  </si>
  <si>
    <t>https://roedovrecentrum.dk/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</si>
  <si>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</si>
  <si>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</si>
  <si>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</si>
  <si>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</si>
  <si>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2020-08-21T10:02:53.000Z</t>
  </si>
  <si>
    <t>ALLEN OVERY SHEARMAN STERLING LLP</t>
  </si>
  <si>
    <t>19609053-0bbc-11ee-900c-9bee0d280070</t>
  </si>
  <si>
    <t>A&amp;O Shearman</t>
  </si>
  <si>
    <t>Omnicom Media Group Asia Pacific Pte. Ltd.</t>
  </si>
  <si>
    <t>A&amp;O Shearman | A&amp;O Shearman Belfast</t>
  </si>
  <si>
    <t>GB</t>
  </si>
  <si>
    <t>United Kingdom</t>
  </si>
  <si>
    <t>England</t>
  </si>
  <si>
    <t>London</t>
  </si>
  <si>
    <t>E1 6AD</t>
  </si>
  <si>
    <t>Bishops Square</t>
  </si>
  <si>
    <t>One</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</si>
  <si>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</si>
  <si>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Lawyers in United Kingdom providing global expertise in finance, M&amp;A, and litigation, supported by advanced legal technology and delivery.</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</si>
  <si>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</si>
  <si>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</si>
  <si>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</si>
  <si>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Legal Services</t>
  </si>
  <si>
    <t>Lawyers</t>
  </si>
  <si>
    <t>Legal</t>
  </si>
  <si>
    <t>Legal activities</t>
  </si>
  <si>
    <t>020 3088 0000</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</si>
  <si>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</si>
  <si>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</si>
  <si>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</si>
  <si>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</si>
  <si>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https://www.aoshearman.com/en/global-coverage/Europe/united-kingdom</t>
  </si>
  <si>
    <t>https://www.facebook.com/AllenOveryLU/</t>
  </si>
  <si>
    <t>https://twitter.com/allenovery</t>
  </si>
  <si>
    <t>https://www.linkedin.com/showcase/aoshearman-uk/</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</si>
  <si>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</si>
  <si>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</si>
  <si>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2021-04-01T10:23:08.000Z</t>
  </si>
  <si>
    <t>ALTAIR GLOBAL RELOCATION SINGAPORE PTE. LTD.</t>
  </si>
  <si>
    <t>1a9cb61c-0d2d-11ec-8853-310171c0600e</t>
  </si>
  <si>
    <t>Altair Global</t>
  </si>
  <si>
    <t>Parent Zone Limited</t>
  </si>
  <si>
    <t>Altair Aesthetic</t>
  </si>
  <si>
    <t>Shenton Way</t>
  </si>
  <si>
    <t>SG, Singapore, Central, Singapore, 178957, , , 1.33041305, 104.40611358446014 | SG, Singapore, Southeast, , 409051, Paya Lebar Road, 60, 1.3191162, 103.8924825</t>
  </si>
  <si>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</si>
  <si>
    <t>Aesthetic Medicine Equipment | ISO 9001 Certification | Custom Formulations | Beauty and Skincare Products | ISO/WHO GMP Compliant | Weight Loss Solutions | Hair Restoration and Weight Loss Products | Private Labeling Services | Contract Manufacturing Services</t>
  </si>
  <si>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</si>
  <si>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</si>
  <si>
    <t>Skin Care | Combination Skin | Hair Regrowth | Private Label | Sensitive Skin | Hair Care Product | Growth Factor | Serums And Creams | Gel Masks | Healthy Skin</t>
  </si>
  <si>
    <t>Cosmetics Stores</t>
  </si>
  <si>
    <t>Cosmetic Products</t>
  </si>
  <si>
    <t>Pharmaceuticals &amp; Cosmetics</t>
  </si>
  <si>
    <t>Household &amp; Personal Products</t>
  </si>
  <si>
    <t>CG-HP</t>
  </si>
  <si>
    <t>Consumer Discretionary Products</t>
  </si>
  <si>
    <t>CG.2</t>
  </si>
  <si>
    <t>Perfumes, Cosmetics, and Other Toilet Preparations (except toothpaste, gel, and dentifrice powders)</t>
  </si>
  <si>
    <t>Beauty Parlours / Barber Shops (Hairstyling / Manicures / Pedicures Only, No Estheticians) | Beauty Salons / Day Spas / Estheticians | Cosmetics / Perfumes / Hair / Skin Preparations Manufacturing | Wholesale - Cosmetics | Registered Massage Therapists</t>
  </si>
  <si>
    <t>Manufacture of soap and detergents, cleaning and polishing preparations, perfumes, and toilet preparations</t>
  </si>
  <si>
    <t>20.41 | 20.42</t>
  </si>
  <si>
    <t>Manufacture of soap and detergents, cleaning and polishing preparations | Manufacture of perfumes and toilet preparations</t>
  </si>
  <si>
    <t>729601 | 729701 | 283201 | 503201 | 802901</t>
  </si>
  <si>
    <t>6800 7960</t>
  </si>
  <si>
    <t>https://www.altairglobal.com/</t>
  </si>
  <si>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</si>
  <si>
    <t>2021-09-04T01:44:16.000Z</t>
  </si>
  <si>
    <t>AMAZON WEB SERVICES, INC.</t>
  </si>
  <si>
    <t>86058f76-93e4-11eb-8e19-198fb02d6f96</t>
  </si>
  <si>
    <t>Amazon Corporate Headquarters</t>
  </si>
  <si>
    <t>Qlik AB</t>
  </si>
  <si>
    <t>Amazon | Amazon Ads | Amazon Publisher | Amazon Publisher Services</t>
  </si>
  <si>
    <t>Washington</t>
  </si>
  <si>
    <t>Seattle</t>
  </si>
  <si>
    <t>Terry Avenue North</t>
  </si>
  <si>
    <t>US, United States, Washington, Seattle, 98109, Terry Avenue North, 410, 47.622298, -122.33650008377637 | US, United States, California, San Francisco, 94111, , , 37.79512742587413, -122.39952222587411</t>
  </si>
  <si>
    <t>Public</t>
  </si>
  <si>
    <t>subsidiary of Amazon that provides on-demand cloud computing platforms on a metered pay-as-you-go basis</t>
  </si>
  <si>
    <t>cloud computing; IaaS; PaaS; storage; databases; analytics; machine learning</t>
  </si>
  <si>
    <t>Seattle-based provider of global cloud computing services.</t>
  </si>
  <si>
    <t>The largest private employer in the city of Seattle—and home to more than 6,000 four-legged friends—Amazon estimates its investments in Seattle from 2010 through 2016 resulted in an additional $38 billion to the city’s economy. Amazon has since added a corporate campus in Arlington, site of our HQ2, and Nashville.</t>
  </si>
  <si>
    <t>public cloud; infrastructure services; platform services; cloud storage; cloud databases</t>
  </si>
  <si>
    <t>Internet Publishing and Broadcasting and Web Search Portals</t>
  </si>
  <si>
    <t>Cloud Computing &amp; Infrastructure</t>
  </si>
  <si>
    <t>Public cloud infrastructure and platform services</t>
  </si>
  <si>
    <t>Computer Processing and Data Preparation and Processing Services</t>
  </si>
  <si>
    <t>Building Owner - Multiple Occupancy - Mixed-Use Commercial | Building Owner - Multiple Occupancy - Warehouse / Wholesale | Building Owner - Multiple Occupancy - Office | Building Owner - Residential - One or Two Family Dwellings (Not Townhouse) | Building Owner - Multiple Occupancy - Retail (Not Enclosed Mall)</t>
  </si>
  <si>
    <t>Data processing, hosting and related activities</t>
  </si>
  <si>
    <t>399101 | 663301 | 651101 | 663101 | 529101</t>
  </si>
  <si>
    <t>(206) 266-1000</t>
  </si>
  <si>
    <t>iq-feedback@amazon.com</t>
  </si>
  <si>
    <t>copyright@amazon.com</t>
  </si>
  <si>
    <t>dsp@amazon.com | iq-feedback@amazon.com</t>
  </si>
  <si>
    <t>https://www.aboutamazon.com/workplace/corporate-offices</t>
  </si>
  <si>
    <t>https://www.facebook.com/Amazon/</t>
  </si>
  <si>
    <t>https://x.com/amazonnews</t>
  </si>
  <si>
    <t>https://www.instagram.com/amazon/</t>
  </si>
  <si>
    <t>https://www.linkedin.com/company/amazon</t>
  </si>
  <si>
    <t>https://www.youtube.com/amazonnews</t>
  </si>
  <si>
    <t>web servers: ibm websphere application server | cms: website tonight | javascript libraries: lodash | javascript frameworks: requirejs | analytics: adobe analytics | marketing automation: qualified | miscellaneous: babel | javascript frameworks: underscore.js | ssl/tls certificate authorities: aws certificate manager | javascript libraries: core-js | javascript libraries: lit-html | fundraising &amp; donations: classy | cms: adobe experience manager | static site generator: next.js | miscellaneous: rss | javascript frameworks: jquery - 1.6.4 | javascript frameworks: adobe client data layer | javascript libraries: aos | ui frameworks: bootstrap | javascript frameworks: react - 15.0.2 | analytics: google ads conversion tracking | javascript frameworks: handlebars | programming languages: typescript | javascript libraries: webp | javascript libraries: uri.js | miscellaneous: popper | web frameworks: ruby on rails | widgets: fitvids.js | web servers: empathy platform | development: styled-components | performance: priority hints | wordpress themes: divi | unknown: amazon elastic load balancing | analytics: google universal analytics | javascript libraries: swiper | miscellaneous: webpack | javascript frameworks: zone.js | customer data platform: adobe experience platform identity service | video players: videojs | issue trackers: sentry | javascript graphics: dc.js | ssl/tls certificate authorities: digicert | rum: boomerang | tag managers: adobe experience platform launch | seo: yoast seo | payment processors: amazon pay | ui frameworks: sveltekit | javascript frameworks: jquery blockui | javascript frameworks: angularjs | widgets: css | rum: web-vitals | javascript libraries: highlight.js | javascript libraries: lazysizes | javascript frameworks: emotion | miscellaneous: x | paas: amazon web services | advertising: sizmek | ui frameworks: tableau | javascript frameworks: react | programming languages: ruby | javascript libraries: magnific popup | miscellaneous: pwa | javascript libraries: jquery - 1.6.4 | cdn: akamai | javascript libraries: hammer.js | javascript frameworks: svelte | font scripts: google font api | marketing automation: 6sense | security: hsts | ui frameworks: marko | javascript libraries: jquery - 3.5.1 | retargeting: adobe audience manager | ui frameworks: tailwind css | wordpress plugins: divi | crm: salesforce | miscellaneous: http/3 | video players: youtube | web frameworks: express | javascript libraries: modernizr | javascript libraries: mobx | databases: mysql | javascript frameworks: requirejs - 2.1.20 | miscellaneous: module federation | font scripts: youtube iframe embed | issue trackers: really simple discovery | javascript frameworks: jquery - 1.11.3 | javascript frameworks: styled-components | miscellaneous: whatsapp | analytics: snowplow analytics | miscellaneous: vite | video players: brightcove | javascript libraries: zepto | miscellaneous: touchswipe | cms: site.com | cdn: amazon s3 | javascript graphics: highcharts | wordpress plugins: shortcodes ultimate | ecommerce: amazon webstore | web servers: express | development: emotion | analytics: branch | javascript frameworks: angular | marketing automation: salesforce marketing cloud account engagement | miscellaneous: open graph | reverse proxies: nunjucks | iaas: snowplow analytics | javascript frameworks: react router | segmentation: adobe audience manager | personalisation: demandbase | network devices: html | miscellaneous: pyscript | miscellaneous: jquery easing | personalisation: adobe target | font scripts: font awesome | analytics: demandbase conversion | marketing automation: marketo | web servers: schannel | marketing automation: amazon api gateway | advertising: amazon advertising | seo tool: facebook friendly | analytics: demandbase | programming languages: node.js | advertising: google ads | network devices: html5 | javascript libraries: skrollr | video players: vimeo | miscellaneous: facebook | document management systems: adobe audience manager | rum: amazon cloudwatch rum | cms: wordpress | blogs: wordpress | mobile frameworks: jquery mobile | ecommerce: cart functionality | programming languages: python | web servers: next.js | saas: adobe experience platform identity service | user onboarding: pendo | analytics: mixpanel | tag managers: google tag manager | miscellaneous: linkedin | load balancers: amazon elb | video players: fitvids.js | javascript libraries: dc.js | web frameworks: next.js | marketing automation: branch | javascript libraries: boomerang | javascript libraries: isotope | ui frameworks: civictheme | javascript frameworks: angularjs - 1.8.1 | web frameworks: jquery waypoints | javascript libraries: jquery | widgets: owl carousel | javascript frameworks: handlebars - 4.0.11 | analytics: sitecatalyst | cms: adobe experience manager (aem) | widgets: javascript | a/b testing: adobe target | analytics: adobe audience manager | seo tool: twitter friendly | security: akamai bot manager | javascript libraries: lit-element | web servers: nginx - 1.20.1 | javascript libraries: underscore.js | javascript frameworks: next.js | cookie compliance: trustarc | live chat: qualified | analytics: pendo | personalisation: 6sense | page builders: divi | wordpress plugins: yoast seo | programming languages: php | javascript libraries: jquery migrate | reverse proxy: nginx - 1.20.1 | web frameworks: marko | web frameworks: html5 | performance: lazysizes | javascript libraries: web-vitals | javascript frameworks: backbone.js | cdn: amazon cloudfront | miscellaneous: instagram | javascript frameworks: jquery | javascript libraries: jquery - 1.11.3 | programming languages: java</t>
  </si>
  <si>
    <t>2019-11-23T23:30:01.000Z</t>
  </si>
  <si>
    <t>AMAZON WEB SERVICES EMEA SARL</t>
  </si>
  <si>
    <t>4706bd71-93e5-11eb-aa66-9b8d95e2171b</t>
  </si>
  <si>
    <t>Amazon EU</t>
  </si>
  <si>
    <t>Sony Mobile Communications Inc.</t>
  </si>
  <si>
    <t>Amazon Web Services EMEA</t>
  </si>
  <si>
    <t>LU</t>
  </si>
  <si>
    <t>Luxembourg</t>
  </si>
  <si>
    <t>Avenue John F. Kennedy</t>
  </si>
  <si>
    <t>Logitech is a company that provides a platform for users to access live and pre-recorded webinars on various topics. The company's main focus is on hosting and managing webinar events, and they offer a range of services to achieve this goal. Logitech's events are powered by aio events and can be accessed through their platform. Additionally, the company offers the opportunity for individuals to receive ICN International Continuing Nursing Education Credits (ICNECs), although this is not currently available in their country.</t>
  </si>
  <si>
    <t>Livestreaming Services | Event Organization Services | Entertainment Services</t>
  </si>
  <si>
    <t>Colleges &amp; Universities</t>
  </si>
  <si>
    <t>Education</t>
  </si>
  <si>
    <t>Colleges, Universities, and Professional Schools</t>
  </si>
  <si>
    <t>Meeting and event planner | Special Events - Not Otherwise Classified (Parades, Etc) | Live Entertainment Venues (Theatres / Concert Halls / Auditoriums) | Exhibition / Fair Grounds | Sporting Event Venues (Stadiums / Grandstands / Playing Fields)</t>
  </si>
  <si>
    <t>Higher education</t>
  </si>
  <si>
    <t>85.42 | 85.41</t>
  </si>
  <si>
    <t>Tertiary education | Post-secondary non-tertiary education</t>
  </si>
  <si>
    <t>740803 | 792901 | 783201 | 792801 | 792101</t>
  </si>
  <si>
    <t>26 73 33 00</t>
  </si>
  <si>
    <t>info@logitech-events.com</t>
  </si>
  <si>
    <t>https://logitech-events.com/</t>
  </si>
  <si>
    <t>2020-11-02T21:10:08.000Z</t>
  </si>
  <si>
    <t>AMAZON WEB SERVICES EMEA SARL, NORWEGIAN BRANCH</t>
  </si>
  <si>
    <t>32ed00ff-ab12-11ef-be34-ede950a69392</t>
  </si>
  <si>
    <t>OSLO SHOPPING MALL</t>
  </si>
  <si>
    <t>Talenom Oyj</t>
  </si>
  <si>
    <t>Amazon E Store</t>
  </si>
  <si>
    <t>Grundingen</t>
  </si>
  <si>
    <t>NO, Norway, Oslo, Oslo, 0184, Storgata, , 59.913869, 10.752245</t>
  </si>
  <si>
    <t>Amazon Web Services offers reliable, scalable, and inexpensive cloud computing services. Free to join, pay only for what you use.</t>
  </si>
  <si>
    <t>Fashion Retailer | One Plus Chargers | Mobile Phone Accessories Retailer | Book Cover | TPU Covers Mobile | Smart Watches | Tablets Accessories | Handsfree Devices | Oppo Charger | Phone Screen Protectors | Samsung Cell Chargers and Adapters | Bluetooth Speakers</t>
  </si>
  <si>
    <t>Amazon E Store is an electronics store based in Oslo, Norway.</t>
  </si>
  <si>
    <t>Suspendisse leo sodales varius leo elementum vestibulum a elit at ultrices a mi a praesent enim libero ultrices a amet suscipit.</t>
  </si>
  <si>
    <t>Electronics Stores</t>
  </si>
  <si>
    <t>Consumer Electronics &amp; Appliances</t>
  </si>
  <si>
    <t>shop@store.uk</t>
  </si>
  <si>
    <t>https://aws.amazon.com/</t>
  </si>
  <si>
    <t>https://www.facebook.com/amazonwebservices</t>
  </si>
  <si>
    <t>https://twitter.com/awscloud</t>
  </si>
  <si>
    <t>https://www.instagram.com/amazonwebservices/</t>
  </si>
  <si>
    <t>https://www.linkedin.com/company/amazon-web-services/</t>
  </si>
  <si>
    <t>https://www.youtube.com/user/AmazonWebServices/Cloud/</t>
  </si>
  <si>
    <t>web servers: litespeed | widgets: css | network devices: html | network devices: html5 | ssl/tls certificate authorities: sectigo</t>
  </si>
  <si>
    <t>2024-11-25T08:36:38.000Z</t>
  </si>
  <si>
    <t>AMDOCS DEVELOPMENT LIMITED</t>
  </si>
  <si>
    <t>bad43cb0-93e4-11eb-91fb-73d498260b10</t>
  </si>
  <si>
    <t>Amdocs Ltd</t>
  </si>
  <si>
    <t>Tata Consultancy Services Limited</t>
  </si>
  <si>
    <t>Amdocs | AmdocsMarketONE | DOX</t>
  </si>
  <si>
    <t>CY</t>
  </si>
  <si>
    <t>Cyprus</t>
  </si>
  <si>
    <t>Lemesos</t>
  </si>
  <si>
    <t>Omonoias</t>
  </si>
  <si>
    <t>US, United States, Missouri, Chesterfield, 63017, Timberlake Manor Parkway, 1390, 38.6481761, -90.5296015 | IN, India, Maharashtra, Pune, 411013, Magarpatta Inner Circle, Tower X\, Level-1\, Magarpatta Inner Circle\, Magarpatta city\, Hadapsar\, Cybercity\, Magarpatta City, 18.5170134, 73.9270239 | GB, United Kingdom, England, London, W4 4AL, Chiswick High Road, 389, 51.4920088, -0.2753987 | DE, Germany, North Rhine-Westphalia, DÃ¼sseldorf, 40549, Prinzenallee, 1, 51.23716655, 6.731633558928575 | FR, France, Ile-de-France, Paris, 75116, Avenue KlÃ©ber, 112, 48.8642416, 2.2878485 | GB, United Kingdom, England, Bath, BA2 3BH, Lower Bristol Road, , 51.3782, -2.36809 | IN, India, Haryana, Gurgaon, 122001, Old Delhi Gurgaon Road, , 28.470553, 77.0395654 | US, United States, Georgia, Alpharetta, 30009, Rainwater Drive, 11675, 34.0653166, -84.28979261043298 | PH, Philippines, Metro Manila, Taguig, 1635, 4th Avenue, , 14.5506508, 121.0468219652198 | US, United States, Pennsylvania, Philadelphia, 19103, North 18th Street, 100, 39.95534, -75.169649</t>
  </si>
  <si>
    <t>Amdocs, legally known as Amdocs Limited., based in St. Louis, Missouri, is a leading software and services provider to communications and media companies. The company offers innovative solutions, intelligent operations, and delivery expertise. Amdocs' services include cloud management, customer engagement, IoT, network automation, and digital transformation. The company's products and services are designed to help businesses transform their operations, migrate to the cloud, and provide end-users with next-generation communication and media experiences. Amdocs serves over 600 content creators and 350 communications and media providers across more than 90 countries, impacting billions of consumers worldwide.</t>
  </si>
  <si>
    <t>Revenue Management Solutions | Service Delivery Platforms | Media and Entertainment Solutions | Network Control Software | Business Support Systems | Telecommunications Software | Digital Transformation Services | Cloud Computing Services | IT Consulting Services | Data Analytics Software | Financial Services Software | Customer Relationship Management | Artificial Intelligence Systems | Operational Support Systems | Mobile Financial Solutions</t>
  </si>
  <si>
    <t>Listed on the NASDAQ Global Select Market, Amdocs had revenue of $4.58 billion in fiscal 2022.</t>
  </si>
  <si>
    <t>Amdocs Limited is a multinational telecommunications technology company. Headquartered in St. Louis, Missouri. The company specializes in software and services for communications, media and financial services providers and digital enterprises. Amdocs was founded in 1982 and is publicly traded on the Nasdaq stock exchange.</t>
  </si>
  <si>
    <t>Telecommunications Services</t>
  </si>
  <si>
    <t>Software Development Services</t>
  </si>
  <si>
    <t>Business Services, NEC (business support services except telephone answering, telemarketing bureaus, private mail centers and repossession services)</t>
  </si>
  <si>
    <t>Software Developers (Custom) | Cloud Computing | Information Technology Consultants | Strategic Consultants | Operations Consultants</t>
  </si>
  <si>
    <t>8292 | 8299</t>
  </si>
  <si>
    <t>Packaging activities | Other business support service activities n.e.c.</t>
  </si>
  <si>
    <t>82.92 | 82.99</t>
  </si>
  <si>
    <t>891802 | 740808 | 641411 | 641406 | 641403</t>
  </si>
  <si>
    <t>25 886000</t>
  </si>
  <si>
    <t>+862161097375 | +48223225950 | +441225471301 | +17734440302 | +861085651938 | +442087272750 | +442087272400 | +12145763400 | +33146675000 | +12485266000 | +27123626813 | +33223210011 | +12064470669 | +12064476000 | +16788678323 | +35318230970 | +302128085000 | +33223210010 | +16135955000 | +13142127500 | +27128840150 | +19169347000 | +19056144002 | +12016313200 | +48226307232 | +14164778916 | +442030955080 | +31433515454 | +13142128390 | +33146675001 | +12173537000 | +420266773303 | +16135955556 | +31433515995 | +390601908401 | +19169347221 | +420266773222 | +861085651900 | +34915030598 | +17038853000 | +19056144000 | +4921186067100 | +442089878855 | +35316933669 | +12145763448 | +34911876318 | +442087272500 | +13142127000 | +16788678000 | +12016313269</t>
  </si>
  <si>
    <t>michael.zema@amdocs.com</t>
  </si>
  <si>
    <t>procurementsupport@amdocs.com</t>
  </si>
  <si>
    <t>amdocsdpooffice@amdocs.com | ayana.gisser@amdocs.com | jeff.barak@amdocs.com | michael.aaron@amdocs.com | michael.zema@amdocs.com | mario.hajiloizi@amdocs.com | swati.sharma4@amdocs.com</t>
  </si>
  <si>
    <t>http://www.amdocs.com/</t>
  </si>
  <si>
    <t>https://www.facebook.com/Amdocs/</t>
  </si>
  <si>
    <t>https://twitter.com/Amdocs</t>
  </si>
  <si>
    <t>https://www.instagram.com/amdocs/</t>
  </si>
  <si>
    <t>https://www.linkedin.com/company/amdocs</t>
  </si>
  <si>
    <t>https://www.youtube.com/user/amdocsinc</t>
  </si>
  <si>
    <t>web servers: .net framework | ssl/tls certificate authorities: aws certificate manager | javascript libraries: core-js | javascript libraries: jquery ui - 1.13.2 | analytics: mouse flow | web servers: imperva securesphere | analytics: facebook custom audiences | ui frameworks: bootstrap | issue trackers: new relic | web servers: empathy platform | analytics: google universal analytics | miscellaneous: webpack | video players: videojs | ssl/tls certificate authorities: digicert | web servers: azure app service | widgets: css | advertising: appnexus | paas: cloud platform | web frameworks: microsoft asp.net | paas: amazon web services | rum: new relic | miscellaneous: onetrust | font scripts: google font api | cache tools: varnish | security: hsts | reverse proxies: nginx | miscellaneous: http/3 | reverse proxies: f5 bigip | miscellaneous: optanon | miscellaneous: module federation | reverse proxy: nginx | web application frameworks: addtoany | web servers: amazon ec2 | video players: brightcove | javascript libraries: jquery - 3.7.0 | cms: site.com | video players: mediaelement.js | cdn: amazon s3 | widgets: facebook | widgets: addtoany | retargeting: facebook custom audiences | databases: percona | miscellaneous: open graph | cookie compliance: onetrust | network devices: html | miscellaneous: pyscript | font scripts: font awesome | javascript libraries: jquery ui | marketing automation: marketo | security: imperva | web servers: schannel | web servers: apache | cdn: imperva | operating systems: windows server | seo tool: facebook friendly | paas: acquia cloud | cms: drupal | web servers: acquia cloud | network devices: html5 | miscellaneous: facebook | analytics: linkedin insight tag | web servers: iis | video players: mediaelement.js - 4.2.17 | programming languages: python | tag managers: google tag manager | miscellaneous: linkedin | javascript libraries: jquery | dev tools: new relic | retargeting: facebook | paas: acquia cloud platform | widgets: javascript | analytics: facebook pixel | web mail: marketo mail | seo tool: twitter friendly | web servers: nginx | advertising: twitter ads | programming languages: php | analytics: new relic | page builders: acquia site studio | cdn: amazon cloudfront | analytics: google analytics</t>
  </si>
  <si>
    <t>2019-11-24T01:49:03.000Z</t>
  </si>
  <si>
    <t>American Express Europe Denmark, filial af American Express Europe S.A., Spanien</t>
  </si>
  <si>
    <t>0078e966-93e5-11eb-b997-8dd98d09cf25</t>
  </si>
  <si>
    <t>American Express</t>
  </si>
  <si>
    <t>Technical Education Copenhagen – Ballerup</t>
  </si>
  <si>
    <t>American Steakhouse</t>
  </si>
  <si>
    <t>Turesensgade</t>
  </si>
  <si>
    <t>DK, Denmark, , , , , , 55.670249938964844, 10.333328247070312</t>
  </si>
  <si>
    <t>Velkommen til American Express Danmark. Få din virksomhed til at vokse med en af de førende inden for erhvervsbetalingsløsninger.</t>
  </si>
  <si>
    <t>Foodservice | American Steakhouse | Meat Products | Butcher Shop | Take-away Services</t>
  </si>
  <si>
    <t>American Steakhouse is a steakhouse restaurant based in Denmark.</t>
  </si>
  <si>
    <t>Meat Retailers</t>
  </si>
  <si>
    <t>Steakhouse Restaurants</t>
  </si>
  <si>
    <t>Restaurants</t>
  </si>
  <si>
    <t>Meat, Poultry &amp; Dairy</t>
  </si>
  <si>
    <t>FB-MP</t>
  </si>
  <si>
    <t>Food</t>
  </si>
  <si>
    <t>FB.1</t>
  </si>
  <si>
    <t>Food &amp; Beverage</t>
  </si>
  <si>
    <t>FB</t>
  </si>
  <si>
    <t>Eating Places (full-service restaurants)</t>
  </si>
  <si>
    <t>Retail - Butcher Shop | Wholesale - Produce (Fruits / Vegetables) | Retail - Convenience / Variety / Tobacco Store | Retail - Specialty Food Stores (Not Otherwise Classified) | Retail - Grocery</t>
  </si>
  <si>
    <t>Restaurants and mobile food service activities</t>
  </si>
  <si>
    <t>543302 | 506301 | 599101 | 543301 | 541001</t>
  </si>
  <si>
    <t>70 20 44 99</t>
  </si>
  <si>
    <t>https://www.americanexpress.com/denmark/homepage.shtml</t>
  </si>
  <si>
    <t>analytics: facebook custom audiences | maps: google maps | font scripts: google font api | miscellaneous: http/3 | widgets: facebook | retargeting: facebook custom audiences | miscellaneous: open graph | network devices: html | web servers: apache http server | tag managers: google tag manager | javascript libraries: jquery | retargeting: facebook | ssl/tls certificate authorities: sectigo | javascript frameworks: jquery | analytics: google analytics</t>
  </si>
  <si>
    <t>2019-11-24T01:31:37.000Z</t>
  </si>
  <si>
    <t>American Express Europe SA (Norway)</t>
  </si>
  <si>
    <t>d791fd63-e113-11ec-a72c-1538a9321a8e</t>
  </si>
  <si>
    <t>American Express Company AS</t>
  </si>
  <si>
    <t>Gemalto Norge AS</t>
  </si>
  <si>
    <t>Dronning Eufemias gate</t>
  </si>
  <si>
    <t>NO, Norway, Oslo, Oslo, 0191, Dronning Eufemias gate, 30, 59.907661600000004, 10.759628</t>
  </si>
  <si>
    <t>Velkommen til American Express Norge. Faktureringskort med bonus. Reiseforsikringer. Søk om et kort eller logg inn på din konto.</t>
  </si>
  <si>
    <t>payment cards; corporate cards; financial services; card issuing; payments</t>
  </si>
  <si>
    <t>Norwegian branch of American Express offering card and payment services.</t>
  </si>
  <si>
    <t>American Express Europe S.A. (Norway branch) is the Norwegian branch of American Express Europe S.A., providing corporate and commercial card issuing and related payment services to businesses and cardmembers in Norway.</t>
  </si>
  <si>
    <t>corporate cards; charge cards; expense management; payment solutions; financial services</t>
  </si>
  <si>
    <t>Payment Card Issuers</t>
  </si>
  <si>
    <t>Corporate and commercial card issuing and payment services</t>
  </si>
  <si>
    <t>Financial Services</t>
  </si>
  <si>
    <t>Personal Credit Institutions</t>
  </si>
  <si>
    <t>Other credit granting</t>
  </si>
  <si>
    <t>Other monetary intermediation</t>
  </si>
  <si>
    <t>http://www.americanexpress.no/</t>
  </si>
  <si>
    <t>2023-03-04T16:22:54.685Z</t>
  </si>
  <si>
    <t>ANALYSYS MASON AS</t>
  </si>
  <si>
    <t>e97d1f55-93e4-11eb-be3a-7f925cb94351</t>
  </si>
  <si>
    <t>Analysys Mason Oslo</t>
  </si>
  <si>
    <t>Zalaris HR Services Sverige AB</t>
  </si>
  <si>
    <t>Analysys Mason | Analysys Mason Group</t>
  </si>
  <si>
    <t>Tjuvholmen allé</t>
  </si>
  <si>
    <t>IT, Italy, Lombardy, Milan, 20121, Corso Venezia, 29, 45.469478607177734, 9.199728965759277 | DE, Germany, North Rhine-Westphalia, Bonn, 53175, Annaberger StraÃŸe, 28, 50.700946200000004, 7.135858163108123 | ES, Spain, Community of Madrid, Madrid, 28001, Calle de VelÃ¡zquez, 47, 40.4272693, -3.6841316 | NO, Norway, Oslo, Oslo, 0252, Tjuvholmen allÃ©, 19, 59.907156, 10.720788 | IE, Ireland, Leinster, Dublin, D01 P5P5, , , 53.350162506103516, -6.260059356689453 | GB, United Kingdom, England, London, WC2B 4PJ, Aldwych, Bush House, 51.5131753, -0.1174757 | GB, United Kingdom, England, Salford, M5 3EJ, Exchange Quay, 8, 53.46550535, -2.2819731519886366 | SE, Sweden, Stockholm County, Stockholm, 112 34, Sankt Eriksgatan, 63, 59.3366172, 18.0340462 | FR, France, Ile-de-France, Paris, 75008, Rue d'Artois, 25, 48.8733947, 2.3068878 | IN, India, Haryana, Gurugram, 122002, Infocity Phase 1, 10, 28.43084716796875, 77.01591491699219</t>
  </si>
  <si>
    <t>Analysys Mason is a global technology, media and telecoms consulting firm helping clients to shape, make and act on the decisions that steer progress and connect our world.</t>
  </si>
  <si>
    <t>Cost/benefit Analysis Services | Research and Insights Services | Transaction Support | Bespoke Strategy Services | Financial Modeling and Valuation | Cybersecurity Services | Primary Research Services | Strategy Consultancy for TMT | Telecom Transformation Consulting | Technology Consulting Services | Media Consulting Services | Transaction Support Consulting | Operational and Customer Service Excellence | Strategy Development | Regulation and Public Policy Consulting | Consultancy Services | Benchmarking and Forecasting Services</t>
  </si>
  <si>
    <t>Analysys Mason is a global technology, media and telecoms management consulting firm helping clients to make and act on the decisions that steer their progress and connect our world. Providing bespoke strategy, transaction, transformation, regulation and policy consulting, combined with research and insights, we help clients navigate complex transformation journeys, always shaping the next.</t>
  </si>
  <si>
    <t>Telecom Consulting | Technology &amp; Media | Costs &amp; Benefits | Cyber Securities | Financial Modeling | Artificial Intelligence | Access &amp; Security | Debt And Equity Financing | Post Merger Integration | Business Unit Strategy</t>
  </si>
  <si>
    <t>Management Consultants | Operations Consultants | Information Technology Consultants | Marketing Consultants | Strategic Consultants</t>
  </si>
  <si>
    <t>641401 | 641403 | 641411 | 641405 | 641406</t>
  </si>
  <si>
    <t>92 04 90 00</t>
  </si>
  <si>
    <t>+46858712000 | +4922838769474 | +911244501860 | +35316024755 | +6564936038 | +441618777808 | +12129445100 | +34913995016 | +498920001530 | +442073959000 | +4790559075 | +33172719696 | +97144467473 | +913340845700</t>
  </si>
  <si>
    <t>web_enquiries@analysysmason.com</t>
  </si>
  <si>
    <t>gdpr@analysysmason.com | recruitment@analysysmason.com | web_enquiries@analysysmason.com</t>
  </si>
  <si>
    <t>https://www.analysysmason.com/</t>
  </si>
  <si>
    <t>https://facebook.com/AnalysysMason/</t>
  </si>
  <si>
    <t>https://twitter.com/AnalysysMason</t>
  </si>
  <si>
    <t>https://www.linkedin.com/company/analysys-mason</t>
  </si>
  <si>
    <t>https://www.youtube.com/user/AnalysysMason</t>
  </si>
  <si>
    <t>performance: azure monitor | web servers: .net framework | javascript libraries: core-js | load balancers: azure front door | javascript libraries: lit-html | miscellaneous: rss | paas: azure | wordpress plugins: gravity forms | web servers: empathy platform | analytics: zoominfo | javascript libraries: slick | security: recaptcha | seo: yoast seo | widgets: css | wordpress plugins: google tag manager for wordpress | web frameworks: microsoft asp.net | javascript frameworks: react | analytics: vwo | cdn: cdnjs | a/b testing: vwo | font scripts: google font api | security: hsts | video players: plyr | blogging platforms: wordpress | form builders: gravity forms | miscellaneous: http/3 | javascript libraries: modernizr | databases: mysql | miscellaneous: vite | cms: site.com | a/b testing: act-on | widgets: facebook | miscellaneous: open graph | captchas: recaptcha | web frameworks: zurb foundation | javascript frameworks: react router | seo tool: yoast seo | network devices: html | miscellaneous: jquery easing | font scripts: font awesome | javascript frameworks: jquery migrate | web servers: schannel | web servers: apache | javascript frameworks: modernizr | operating systems: windows server | seo tool: facebook friendly | cookie compliance: cookieyes | cms: optimizely content management | javascript frameworks: slick | network devices: html5 | ui frameworks: zurb foundation | web servers: apache http server | miscellaneous: gravity forms | analytics: azure monitor | lead generation: gravity forms | cms: wordpress | blogs: wordpress | javascript libraries: fancybox | web servers: iis | widgets: sharethis | geolocation: twitter cards | tag managers: google tag manager | issue trackers: trackjs | miscellaneous: linkedin | analytics: facebook analytics | javascript libraries: jquery | retargeting: facebook | page builders: act-on | widgets: javascript | javascript graphics: chart.js | operating systems: ubuntu | rum: microsoft application insights | ssl/tls certificate authorities: sectigo | seo tool: twitter friendly | javascript libraries: lit-element | cdn: cloudflare | wordpress plugins: yoast seo | programming languages: php | javascript libraries: jquery migrate | web frameworks: html5 | marketing automation: act-on | lead generation: act-on | javascript frameworks: jquery | analytics: google analytics</t>
  </si>
  <si>
    <t>2019-11-24T01:15:19.000Z</t>
  </si>
  <si>
    <t>MASON SITE FINDER LIMITED</t>
  </si>
  <si>
    <t>01a4e632-93e5-11eb-8ad6-7326edce8d21</t>
  </si>
  <si>
    <t>Hemsley House</t>
  </si>
  <si>
    <t>Mason Site Finder Limited</t>
  </si>
  <si>
    <t>Mason Williams Accountants | Mason Williamsaccountants | Mason Williams Chartered Accountants</t>
  </si>
  <si>
    <t>Salford</t>
  </si>
  <si>
    <t>M5 4PE</t>
  </si>
  <si>
    <t>Crescent</t>
  </si>
  <si>
    <t>GB, United Kingdom, England, Norwich, NR9 5RQ, Hammond Place, 1, 52.717383999999996, 1.0629712</t>
  </si>
  <si>
    <t>Mason Williams Accountants is a professional accounting firm based in Norwich, England. The company offers a range of services including accounts, taxation, payroll services, bookkeeping, company secretarial, and business advice. They utilize the Xero cloud-based accounting system to provide clients with real-time financial information and advice. The firm is led by John Mason, a Chartered Accountant and Certified Management Accountant. Mason Williams Accountants aims to streamline business processes and improve financial performance for their clients.</t>
  </si>
  <si>
    <t>Payroll Services | Taxation Services | Secretarial Services | Bookkeeping Services | Xero Cloud Accounting | Business Advice and Services | Cloud-based Accounting Services | RTI Reporting | Payslips and Payroll Reports Production | Accounting Firm | Payrolls | Tax Deduction Management | X Software as A Service | Financial Management | Accounting Services | HMRC Filings | Financial Software | P11D Returns Preparation and Filing | CIS Subcontractor Payments Management | Software Development</t>
  </si>
  <si>
    <t>We also prepare and file P11D returns and manage CIS sub contractor payments and tax deductions.</t>
  </si>
  <si>
    <t>Let Mason Williams be your Invisible F.D. We operate Xero, a secure, easy to use cloud based accounting system that enables us to be with anytime, anywhere and provide you with crucial up to the minute financial information and advice for your business.</t>
  </si>
  <si>
    <t>Book Keeping | Payrolling Services | Business Advice | Books Keeping &amp; Accounting | Cloud Based Accounting | Chartered Accountant | Accounting | Financial Services | Payroll Services | Minutes &amp; Financials</t>
  </si>
  <si>
    <t>Accounting &amp; Bookkeeping Services</t>
  </si>
  <si>
    <t>Accountants &amp; Tax Services</t>
  </si>
  <si>
    <t>Accounting, Auditing, and Bookkeeping Services (other accounting services)</t>
  </si>
  <si>
    <t>Accountants / Auditors | Bookkeeping Services | Financial Planners / Advisors | Building Owner - Multiple Occupancy - Mixed-Use Commercial | Management Consultants</t>
  </si>
  <si>
    <t>Accounting, bookkeeping and auditing activities; tax consultancy</t>
  </si>
  <si>
    <t>641101 | 740802 | 641501 | 399101 | 641401</t>
  </si>
  <si>
    <t>0161 736 4627</t>
  </si>
  <si>
    <t>+441603872615 | +447954796660</t>
  </si>
  <si>
    <t>info@mw-accountants.co.uk</t>
  </si>
  <si>
    <t>https://www.masonwilliamsaccountants.co.uk/</t>
  </si>
  <si>
    <t>https://www.facebook.com/MasonWilliamsAccountants/</t>
  </si>
  <si>
    <t>http://www.linkedin.com/company/mason-williamsaccountants</t>
  </si>
  <si>
    <t>web servers: litespeed | javascript libraries: lodash | ui frameworks: bootstrap | web servers: empathy platform | analytics: google universal analytics | javascript frameworks: angularjs | web servers: azure app service | widgets: css | font scripts: cufon | miscellaneous: http/3 | cms: site.com | reverse proxies: nunjucks | network devices: html | miscellaneous: jquery easing | web servers: schannel | operating systems: windows server | network devices: html5 | miscellaneous: facebook | javascript libraries: jquery - 1.4.2 | web servers: iis | tag managers: google tag manager | javascript libraries: jquery | widgets: javascript | analytics: google analytics - UA | javascript libraries: moment.js | javascript frameworks: jquery | analytics: google analytics</t>
  </si>
  <si>
    <t>2019-11-24T12:40:25.000Z</t>
  </si>
  <si>
    <t>ANDCO A/S</t>
  </si>
  <si>
    <t>d7aa707f-93e4-11eb-9937-4fab995bf8ff</t>
  </si>
  <si>
    <t>Andco A/S</t>
  </si>
  <si>
    <t>Andco A/S.</t>
  </si>
  <si>
    <t>Adelgade</t>
  </si>
  <si>
    <t>DK, Denmark, Capital Region of Denmark, Copenhagen, 1304, Adelgade, 12, 55.68315749999999, 12.583641999999998</t>
  </si>
  <si>
    <t>&amp;Co. — Creative advertising agency</t>
  </si>
  <si>
    <t>marketing; branding; communication; creative campaigns; digital content</t>
  </si>
  <si>
    <t>Aarhus-based marketing and communications agency.</t>
  </si>
  <si>
    <t>ANDCO A/S is a Danish marketing and communications agency that helps brands with strategy, concept development and execution of campaigns across digital and traditional channels, including content, design and brand activation.</t>
  </si>
  <si>
    <t>brand strategy; campaign development; content production; digital marketing; design</t>
  </si>
  <si>
    <t>Marketing &amp; Communications Agencies</t>
  </si>
  <si>
    <t>Advertising, branding and communication services</t>
  </si>
  <si>
    <t>Advertising Agencies</t>
  </si>
  <si>
    <t>Public Relations | Management Consultants | Operations Consultants | Information Technology Consultants | Marketing Consultants</t>
  </si>
  <si>
    <t>Advertising</t>
  </si>
  <si>
    <t>Advertising agencies</t>
  </si>
  <si>
    <t>731301 | 641401 | 641403 | 641411 | 641405</t>
  </si>
  <si>
    <t>33 46 33 00</t>
  </si>
  <si>
    <t>http://www.andco.dk/</t>
  </si>
  <si>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</si>
  <si>
    <t>2020-02-18T22:27:42.000Z</t>
  </si>
  <si>
    <t>Annalect Denmark A/S</t>
  </si>
  <si>
    <t>bece9f0e-e4d2-11ec-a140-3f2eb8ef49f8</t>
  </si>
  <si>
    <t>ANNALECT | Annalect Solutions</t>
  </si>
  <si>
    <t>Capital Region Of Denmark</t>
  </si>
  <si>
    <t>Copenhagen</t>
  </si>
  <si>
    <t>Midtermolen</t>
  </si>
  <si>
    <t>DK, Denmark, Capital Region of Denmark, Copenhagen, 2100, Midtermolen, 3, 55.6972491, 12.5971614</t>
  </si>
  <si>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</si>
  <si>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</si>
  <si>
    <t>Facebook is a social networking platform where users create profiles, share updates, photos, and videos, and connect with friends and communities.</t>
  </si>
  <si>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</si>
  <si>
    <t>Network And Servers | Software &amp; Hardware | Data &amp; Analytics | Data-Driven Marketing | Online Advertising | Market Landscape | Cloud &amp; Computing IC | Search Engine | Messaging Apps</t>
  </si>
  <si>
    <t>Digital &amp; Marketing Agencies</t>
  </si>
  <si>
    <t>Marketing &amp; Advertising Agencies</t>
  </si>
  <si>
    <t>73.11 | 73.12</t>
  </si>
  <si>
    <t>Advertising agencies | Media representation</t>
  </si>
  <si>
    <t>dk.support@annalect.com</t>
  </si>
  <si>
    <t>https://annalect-data.info/</t>
  </si>
  <si>
    <t>https://www.facebook.com/devpolicy/</t>
  </si>
  <si>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</si>
  <si>
    <t>2022-06-05T12:38:30.000Z</t>
  </si>
  <si>
    <t>Anne Mette Lund</t>
  </si>
  <si>
    <t>02115b2b-65f6-11ef-a567-7774974824cc</t>
  </si>
  <si>
    <t>Sexolog og parterapeut Anne Mette Hansen</t>
  </si>
  <si>
    <t>Anne Mette HÃ¸y</t>
  </si>
  <si>
    <t>Southern Jutland</t>
  </si>
  <si>
    <t>Christiansfeld</t>
  </si>
  <si>
    <t>Gl Kongevej</t>
  </si>
  <si>
    <t>DK, Denmark, Region of Southern Denmark, Vejle, 7100, Junovej, 10, 55.7236842, 9.505060100000001</t>
  </si>
  <si>
    <t>researcher</t>
  </si>
  <si>
    <t>Healthcare Services | Mental Health Services</t>
  </si>
  <si>
    <t>Anne Mette HÃ¸y is a psychologists &amp; counseling services provider based in Vejle, Denmark.</t>
  </si>
  <si>
    <t>Psychologists &amp; Counseling Services</t>
  </si>
  <si>
    <t>Mental Health Specialists</t>
  </si>
  <si>
    <t>Health Care &amp; Social Assistance</t>
  </si>
  <si>
    <t>Offices and Clinics of Health Practitioners, NEC (mental health practitioners except physicians)</t>
  </si>
  <si>
    <t>Other human health activities</t>
  </si>
  <si>
    <t>23 32 07 05</t>
  </si>
  <si>
    <t>https://sexologiogterapi.dk/</t>
  </si>
  <si>
    <t>https://www.facebook.com/6annemettechristensen</t>
  </si>
  <si>
    <t>2024-08-29T10:58:32.193Z</t>
  </si>
  <si>
    <t>ANRITSU A/S</t>
  </si>
  <si>
    <t>be65c7e5-93e4-11eb-97db-273ba5953680</t>
  </si>
  <si>
    <t>Anritsu A/S</t>
  </si>
  <si>
    <t>ANRITSU CORPORATION | ANRITSU INFIVIS INC. | ANRITSU COMPANY S.A. DE C.V. | Anritsu Pty Ltd. | Anritsu EMEA GmbH | ANRITSU INFIVIS B.V. | Anritsu AB. | Anritsu EMEA Limited | Anritsu S.R.L | Anritsu GmbH | Anritsu Eletronica Ltda.</t>
  </si>
  <si>
    <t>Anritsu | ANRITSU INFIVIS | Anritsu India | Anritsu Europe</t>
  </si>
  <si>
    <t>Ørestads Boulevard</t>
  </si>
  <si>
    <t>JP, Japan, Kanagawa Prefecture, Atsugi, , , , ,  | JP, Japan, Kanagawa Prefecture, Hiratsuka, 254-0012, National Highway Route 129, 9-11-1, 35.3838185, 139.3616675 | US, United States, California, Morgan Hill, 95037, Jarvis Drive, 490, 37.145445905299106, -121.65898967495731 | IN, India, Telangana, Hyderabad, 500032, Inorbit Mall Road, Dallas Center, 17.433429718017578, 78.37826538085938 | FR, France, Ile-de-France, Villebon-sur-Yvette, 91140, Avenue du QuÃ©bec, 12, 48.688036, 2.2110894 | MX, Mexico, Mexico City, Mexico City, 11520, Boulevard Miguel de Cervantes Saavedra, 169, 19.4408482, -99.1963962 | IT, Italy, Lazio, Rome, 00157, Via Sante Bargellini, 4, 41.9101546, 12.5459403 | BR, Brazil, SÃ£o Paulo, SÃ£o Paulo, 01327-010, PraÃ§a Amadeu Amaral, 27 1, -23.568142, -46.6440301 | FI, Finland, Uusimaa, Vantaa, 01530, Teknobulevardi, 3-5, 60.3058011, 24.9663902 | US, United States, Texas, Allen, 75013, Century Parkway, 450, 33.0970665, -96.6761023</t>
  </si>
  <si>
    <t>Anritsu, legally known as ANRITSU CORPORATION, based in Atsugi, Kanagawa Prefecture, is a global provider of innovative communications test and measurement solutions. The company specializes in developing wireless, optical, microwave/RF, and digital solutions for research and development, manufacturing, installation and maintenance applications, as well as multidimensional service assurance solutions for network monitoring and optimization. With approximately 3,800 employees in over 90 countries, Anritsu supports various industries, including pharmaceuticals and food, with inspection and detection systems. The company is known for its advanced test and measurement equipment and its commitment to continuous innovation and safety.</t>
  </si>
  <si>
    <t>Optical Network Testing | Spectrum Analyzers | 5G Network Solutions | Quality Assurance Services | Test and Measurement | Optical Measuring Instruments | Wireless Communication Analysis | Telecom Conformance Testing | Component Device Testing | Signal Generation Equipment | RF and Microwave Components | Network Monitoring Solutions | Data Analysis Software</t>
  </si>
  <si>
    <t>Anritsu supplies test and measurement equipment, supporting next generation networking, as well as quality-assurance inspection equipment for food and pharma.</t>
  </si>
  <si>
    <t>Anritsu Corporation (ã‚¢ãƒ³ãƒªãƒ„æ ªå¼ä¼šç¤¾) is a Japanese multinational corporation in the telecommunications electronics equipment market. A global pioneer for producing the world's first wireless telephone network, Anritsu's revenue numbers near US$782 million.</t>
  </si>
  <si>
    <t>Test &amp; Measurement Equipment | Repair &amp; Calibration | Optical Devices | X-ray Inspection</t>
  </si>
  <si>
    <t>Instruments and Related Products Manufacturing for Measuring, Displaying, and Controlling Industrial Process Variables</t>
  </si>
  <si>
    <t>Electronical Components Manufacturing</t>
  </si>
  <si>
    <t>3663 | 3679 | 3825</t>
  </si>
  <si>
    <t>Radio and Television Broadcasting and Communications Equipment | Electronic Components, NEC (antennas) | Instruments for Measuring and Testing of Electricity and Electrical Signals (except automotive instruments)</t>
  </si>
  <si>
    <t>Scientific Instruments Manufacturing (Not Otherwise Classified) | Communications Equipment Manufacturing (Outside) | Electronic Equipment Manufacturing (No Computers / Circuit Boards) | Circuit Board / Electrical Component / Semi-Conductor Manufacturing | Electrical Products Manufacturing - Not Otherwise Classified</t>
  </si>
  <si>
    <t>Manufacture of measuring, testing, navigating, and control equipment</t>
  </si>
  <si>
    <t>Manufacture of instruments and appliances for measuring, testing and navigation</t>
  </si>
  <si>
    <t>382601 | 349401 | 349101 | 349501 | 357001</t>
  </si>
  <si>
    <t>72 11 22 00</t>
  </si>
  <si>
    <t>+61395588177 | +81462966500 | +81463514111 | +862162370898 | +862137910660 | +39065099711 | +420228885091 | +6620183525 | +861065909230 | +81462966688 | +81462258379 | +862158680228 | +525541697104 | +842432012730 | +40373550035 | +82428287783 | +85223014980 | +441582433200 | +390643362400 | +81249562112 | +33160921550 | +46853470700 | +81462231111 | +81462966630 | +551132832511 | +918067281301 | +81462966527 | +81120214012 | +82262597301 | +18002674878 | +886287511816 | +18474199729 | +43171728710 | +842432012740 | +82262597345 | +918067281300 | +31202254220 | +14087782000 | +81462966529 | +49894423080 | +862150463066 | +81462966700 | +82262597300 | +81462966736 | +97142424919 | +81448332431 | +421257780210 | +6638447180 | +358207418100 | +63273699249</t>
  </si>
  <si>
    <t>legal-notices-americas@anritsu.com</t>
  </si>
  <si>
    <t>am-ais-support@anritsu.com | actw.sales@anritsu.com | actw.service@anritsu.com | ackr.marcom@anritsu.com | acsg.service@anritsu.com | am-ais-parts@anritsu.com</t>
  </si>
  <si>
    <t>https://www.anritsu.com/</t>
  </si>
  <si>
    <t>https://www.facebook.com/AnritsuCompany/</t>
  </si>
  <si>
    <t>https://twitter.com/anritsu</t>
  </si>
  <si>
    <t>https://www.instagram.com/anritsuinspection.na/</t>
  </si>
  <si>
    <t>https://www.linkedin.com/company/anritsu</t>
  </si>
  <si>
    <t>https://www.youtube.com/@Anritsu-Product-Inspection-en</t>
  </si>
  <si>
    <t>javascript libraries: crypto-js | web servers: ibm websphere application server | javascript libraries: lodash | web servers: .net framework | analytics: doubleclick | load balancers: azure front door | load balancers: amazon alb | analytics: hotjar | ui frameworks: bootstrap | paas: azure | cms: sitecore | programming languages: typescript | web servers: empathy platform | miscellaneous: foresee results | miscellaneous: webpack | javascript libraries: slick | security: recaptcha | javascript frameworks: zone.js | ssl/tls certificate authorities: digicert | web servers: azure app service | widgets: css | web frameworks: microsoft asp.net | paas: amazon web services | advertising: google remarketing | payment processors: mul-pay | javascript frameworks: salesforce experience cloud | mobile frameworks: jquery-pjax | security: hsts | reverse proxies: nginx | crm: salesforce | video players: youtube | personalisation: coveo | video players: brightcove | cms: site.com | javascript frameworks: pjax | cdn: google hosted libraries | javascript frameworks: angular | network devices: html | miscellaneous: pyscript | miscellaneous: jquery easing | font scripts: font awesome | javascript libraries: jquery ui | marketing automation: marketo | web servers: schannel | operating systems: windows server | javascript frameworks: slick | network devices: html5 | web servers: apache http server | miscellaneous: facebook | analytics: linkedin insight tag | javascript frameworks: jquery ui | web servers: iis | programming languages: python | blogs: red hat enterprise linux server | tag managers: google tag manager | miscellaneous: linkedin | javascript libraries: jquery | cms: adobe experience manager (aem) | widgets: javascript | web mail: marketo mail | ssl/tls certificate authorities: sectigo | cookie compliance: trustarc | operating systems: red hat | web servers: nginx | search engines: coveo | programming languages: php | cdn: amazon cloudfront | javascript frameworks: jquery | analytics: google analytics | programming languages: java</t>
  </si>
  <si>
    <t>2020-04-09T13:14:13.000Z</t>
  </si>
  <si>
    <t>Aon Assessment Denmark A/S</t>
  </si>
  <si>
    <t>bf876480-93e4-11eb-8474-3bbe2d07207d</t>
  </si>
  <si>
    <t>Aon</t>
  </si>
  <si>
    <t>CANEA Partner Group ApS. | CANEA Partner Group AB. | Canea Solutions Group LLC.</t>
  </si>
  <si>
    <t>CANEA</t>
  </si>
  <si>
    <t>Århusgade</t>
  </si>
  <si>
    <t>DK, Denmark, Capital Region of Denmark, Copenhagen, 1401, Strandgade, 4, 55.672638000000006, 12.587930000000002 | SE, Sweden, Stockholm County, Stockholm, 111 20, Vasagatan, 36, 59.3327029, 18.0577157 | SE, Sweden, VÃ¤stra GÃ¶taland County, Gothenburg, 411 13, Packhusgatan, 6, 57.70775665, 11.958904000660038 | SE, Sweden, SkÃ¥ne County, Malmo, 215 32, Arenagatan, 21, 55.5635924, 12.9770862 | US, United States, Florida, Orange County, 32811, South Street, 618, 28.5378638, -81.4468334 | US, United States, Florida, Orlando, 32801, South Street, 618, 28.5384581, -81.3713503 | SE, Sweden, VÃ¤stra GÃ¶taland County, Lindome, 437 91, Norra HÃ¤llesÃ¥kersvÃ¤gen, 94, 57.605692399999995, 12.1423312279321</t>
  </si>
  <si>
    <t>Aon is in the business of better decisions.</t>
  </si>
  <si>
    <t>Process Modelling | Deviation Management | Performance Management | Change Management | Management Consulting Services | Flexible Management Platform | Risk Management | Custom Programming Services | Information Security | IT Consulting Services | Document Management | Corporate Office Services | Project Portfolio Management | Software Development and Implementation of Software | Modular and Well-integrated Management Platform | Continuous Improvement | IT Solutions Provider | Claims and Complaints Services | Software Solutions Provider | Quality Management System | Contract Management</t>
  </si>
  <si>
    <t>You know your business. We have the tools to transform and improve your organization using the CANEA ONE platform, experienced consultants, valued training courses and a broad portfolio of additional services.</t>
  </si>
  <si>
    <t>CANEA ONE er et brugervenligt system, der skaber en klar rÃ¸d trÃ¥d fra strategier og planer til arbejdet i virksomheden. Transport- og logistikbranchen er under forandring. Samtidig er bÃ¦redygtighed og klima vigtige emner for alle aktÃ¸rer i branchen. FÃ¥ fuld kontrol over afvigelser, klager og styrende dokumenter ved at konfigurere CANEA ONE efter dine behov. Systemet kan sÃ¦ttes op, sÃ¥ hver enkelt medarbejder kun varetager de processer, der er centrale for den pÃ¥gÃ¦ldendes rolle. I transport- og logistikbranchen er forbedringer af sagsgange inden for klager, afvigelser, audits og risici ofte sÃ¦rligt vigtige. Der er ogsÃ¥ en indbygget analysemotor, hvor al information kan analyseres i grafer eller eksportskabeloner. SkrÃ¦ddersyet og dokumenteret lÃ¸sning. CANEA ONE giver dig brugervenlig og komplet support til logistik- og transportbranchens behov. Der er blandt andet fleksible funktioner til hÃ¥ndtering af lokale og globale klager, samt til afvigelser. Do you know how your role impacts your company's strategic plan.</t>
  </si>
  <si>
    <t>Quality Management System | Project Portfolio Management | Project Management | Information Security | Document Management | Process Modelling | Risk Management | Software Maintenance | Transportation &amp; Logistics | Health And Social Care</t>
  </si>
  <si>
    <t>32 69 70 00</t>
  </si>
  <si>
    <t>+46733551116 | +46724547692 | +46104590069 | +46104590010 | +4527576739 | +46104590029 | +46733551126 | +46724531618 | +46761475983 | +46104590053 | +46727170055 | +46733551109 | +46733551106 | +46733551010 | +17037272416 | +46104590070 | +46727170053 | +46724531615 | +46104590059 | +46104590088 | +46104590055 | +46104599507 | +46104590016 | +46104590003 | +46104590026 | +46733551107 | +46733551103 | +46733551130 | +46104590092 | +46727170059 | +46708281279 | +46727379088 | +46733551124 | +46733551129 | +46104590009 | +46104590006 | +46733551002 | +46104590024 | +46104590037</t>
  </si>
  <si>
    <t>info.sales@canea.com</t>
  </si>
  <si>
    <t>finance@canea.com | info.sales@canea.com</t>
  </si>
  <si>
    <t>anthony.bone@canea.com</t>
  </si>
  <si>
    <t>https://www.aon.com/home/index.html</t>
  </si>
  <si>
    <t>https://www.facebook.com/Aonplc/</t>
  </si>
  <si>
    <t>https://twitter.com/aon_plc</t>
  </si>
  <si>
    <t>https://www.linkedin.com/company/aon</t>
  </si>
  <si>
    <t>https://www.youtube.com/user/CANEAPartnerGroupAB</t>
  </si>
  <si>
    <t>analytics: matomo analytics | advertising: linkedin ads | web servers: empathy platform | live chat: hubspot chat | javascript libraries: slick | issue trackers: sentry | widgets: css | cdn: cdnjs | cms: hubspot cms hub | font scripts: google font api | security: hsts | font scripts: hoefler&amp;co | miscellaneous: http/3 | video players: youtube | cms: site.com | analytics: hubspot analytics | miscellaneous: open graph | network devices: html | miscellaneous: jquery easing | font scripts: font awesome | javascript libraries: goober | seo tool: facebook friendly | cms: drupal | analytics: microsoft clarity | network devices: html5 | analytics: linkedin insight tag | tag managers: google tag manager | miscellaneous: linkedin | javascript libraries: jquery | widgets: javascript | seo tool: twitter friendly | marketing automation: hubspot | javascript libraries: preact | cdn: cloudflare | programming languages: php | security: cloudflare bot management | javascript frameworks: jquery | analytics: google analytics | cookie compliance: hubspot cookie policy banner</t>
  </si>
  <si>
    <t>2019-11-23T23:21:39.000Z</t>
  </si>
  <si>
    <t>AON NORWAY AS</t>
  </si>
  <si>
    <t>3e7d1232-93e5-11eb-8859-29e7c34dee35</t>
  </si>
  <si>
    <t>Aon Norway AS</t>
  </si>
  <si>
    <t>Eco Stor GmbH</t>
  </si>
  <si>
    <t>ECO STOR AS | ECO STOR | ECO STORs</t>
  </si>
  <si>
    <t>Stortingsgata</t>
  </si>
  <si>
    <t>NO, Norway, Oslo, Oslo, 0161, Stortingsgata, 6, 59.912759099999995, 10.737851100000002 | NO, Norway, , Oslo, 0655, EnsjÃ¸veien, 14, 59.91424560546875, 10.788582801818848</t>
  </si>
  <si>
    <t>ECO STOR, legally known as ECO STOR AS and GmbH, based in Oslo, Norway, was established in 2018 to commercialize intellectual property and knowledge gained from the development of technology for energy storage using second-life batteries from electric vehicles. The company specializes in Battery Energy Storage Systems (Bess) that utilize both repurposed and new batteries. ECO STOR focuses on delivering energy storage solutions with the lowest carbon footprint and highest ethical and environmental standards. The company operates offices in Sweden, the UK, and the US, and is committed to supporting the shift towards a circular economy by emphasizing reuse and recycling.</t>
  </si>
  <si>
    <t>Low-cost Energy-performance Buildings | Energy Consumption Monitoring | Material-innovation and Architecture Company | Seamless Integration of First Life Batteries | Performance Optimization | Ongoing Support Tools | Second-life Electric Vehicle Batteries | Renewable Energy Storage Solutions | Second-life Battery Storage System | Software Development for Energy Management | Energy Storage Systems Manufacturing | Second Life Energy Storage | Energy Storage System Design and Installation | Intellectual Property Commercialization | Renewable Energy Transition</t>
  </si>
  <si>
    <t>Agder Energi Venture invested in ECO STOR in 2019 and by providing financial security with an extensive network of partners and projects, we are now able to accelerate the market introduction of our energy storage solutions utilising "second life" electric vehicle batteries.</t>
  </si>
  <si>
    <t>ECO STOR was established in 2018 to commercialise intellectual property and knowledge gained from 'Second Life' energy storage development started in 2013. The business was founded by Incube AS , a material-innovation and architecture company headquartered in Oslo, Norway. ECO STOR has secured numerous contracts for delivery of energy storage systems and the company's technology leadership has been recognised through financial awards from Innovation Norway , ENOVA and the Research Council of Norway. To provide an affordable energy solution, ECO STOR enables the use of "second life" electric vehicle batteries as energy storage. The proprietary system introduces a complete solution for developers, builders and homeowners looking for low cost, and energy efficient buildings. At the end of their 'first life' in an electric vehicle these batteries are ideally suited to a 'second life' in energy storage applications. Eco-Stor's proprietary technology means EV batteries can be repurposed as energy storage solutions.</t>
  </si>
  <si>
    <t>Energy Storage | Electric Vehicle Batteries | Clean Energy | Sustainable City | Climate Action | Energy Security | Energy Independence | Renewable Energy Solutions | Sustainable Energy Solutions | Storage Solutions</t>
  </si>
  <si>
    <t>Batteries</t>
  </si>
  <si>
    <t>Other Nondurable Products</t>
  </si>
  <si>
    <t>Fuel Cells &amp; Industrial Batteries</t>
  </si>
  <si>
    <t>RR-FC</t>
  </si>
  <si>
    <t>3691 | 3692</t>
  </si>
  <si>
    <t>Storage Batteries | Primary Batteries, Dry and Wet</t>
  </si>
  <si>
    <t>Wholesale - Hardware / Plumbing Supplies / Electrical Supplies | Engineers | Cleaning of Sewers / Drains (Residential) | Electrical Contractors - Commercial (No Industrial) | Electrical Contractors - Residential</t>
  </si>
  <si>
    <t>Manufacture of batteries and accumulators</t>
  </si>
  <si>
    <t>509201 | 891601 | 152701 | 173102 | 173101</t>
  </si>
  <si>
    <t>67 11 22 00</t>
  </si>
  <si>
    <t>+4745802152 | +4790065274 | +4790885561</t>
  </si>
  <si>
    <t>lr@eco-stor.com</t>
  </si>
  <si>
    <t>hello@eco-stor.com | info@eco-stor.com</t>
  </si>
  <si>
    <t>https://eco-stor.com/</t>
  </si>
  <si>
    <t>http://www.linkedin.com/company/eco-stor-as</t>
  </si>
  <si>
    <t>website builders: squarespace | web server extensions: google pagespeed | javascript frameworks: yui | maps: google maps | cms: squarespace | miscellaneous: webpack | issue trackers: sentry | programming languages: pagespeed module | web servers: mod_pagespeed | font scripts: google font api | performance: google pagespeed | javascript libraries: modernizr | font scripts: typekit | javascript libraries: yui | javascript frameworks: modernizr | seo tool: facebook friendly | web servers: apache http server | operating systems: ubuntu | seo tool: twitter friendly | caching: google pagespeed</t>
  </si>
  <si>
    <t>2020-02-24T16:17:07.000Z</t>
  </si>
  <si>
    <t>APPDYNAMICS UK LTD</t>
  </si>
  <si>
    <t>f7b252d4-fa1c-11ec-83db-47cce081a4ab</t>
  </si>
  <si>
    <t>AppDynamics</t>
  </si>
  <si>
    <t>AppDynamics International Ltd.</t>
  </si>
  <si>
    <t>AppDynamic | Appdynamics</t>
  </si>
  <si>
    <t>EC2M 2PF</t>
  </si>
  <si>
    <t>Finsbury Avenue</t>
  </si>
  <si>
    <t>GB, United Kingdom, England, Feltham, TW14 8HA, New Square, 9-11, 51.447027500000004, -0.4463798324175777 | US, United States, California, San Francisco, 94158, Terry A. FranÃ§ois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</si>
  <si>
    <t>Get unified observability across any environment, any stack. Ensure resilience of digital systems, identify problems proactively, find root causes, and resolve them fast.</t>
  </si>
  <si>
    <t>Business Observability Platform | Application Performance Monitoring | Cloud Infrastructure Management | Full-stack Observability | Network Security Automation and Adaptation Solutions | Real-time Business Revenue Insights | Digital Transformation</t>
  </si>
  <si>
    <t>The AppDynamics Business Observability Platform helps you see, understand, and optimize your back end operations to accelerate your organizationâ€™s evolution</t>
  </si>
  <si>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</si>
  <si>
    <t>+33158045471 | +442088241600 | +4686859000</t>
  </si>
  <si>
    <t>privacy@appdynamics.com</t>
  </si>
  <si>
    <t>http://www.appdynamics.com/</t>
  </si>
  <si>
    <t>https://www.facebook.com/splunk</t>
  </si>
  <si>
    <t>https://x.com/splunk</t>
  </si>
  <si>
    <t>https://www.instagram.com/splunk/</t>
  </si>
  <si>
    <t>https://www.linkedin.com/company/splunk</t>
  </si>
  <si>
    <t>https://www.youtube.com/user/splunkvideos</t>
  </si>
  <si>
    <t>javascript libraries: lodash | security: recaptcha | reverse proxies: nginx | video players: brightcove | miscellaneous: open graph | javascript libraries: jquery | web servers: nginx</t>
  </si>
  <si>
    <t>2022-06-30T22:17:06.000Z</t>
  </si>
  <si>
    <t>72b33d10-1afd-11ec-9842-212d1c52ad77</t>
  </si>
  <si>
    <t>Apple Distribution International</t>
  </si>
  <si>
    <t>Munster</t>
  </si>
  <si>
    <t>Cork</t>
  </si>
  <si>
    <t>T23 N250</t>
  </si>
  <si>
    <t>Hollyhill Lane</t>
  </si>
  <si>
    <t>Hollyhill, Cork, Ireland</t>
  </si>
  <si>
    <t>Private subsidiary of Apple Inc focused on distribution and logistics in Ireland.</t>
  </si>
  <si>
    <t>Distribution/logistics operations within Apple’s European structure; minimal publicly disclosed operational detail.</t>
  </si>
  <si>
    <t>Computer and Computer Peripheral Equipment and Software Merchant Wholesalers</t>
  </si>
  <si>
    <t>Technology &amp; Distribution</t>
  </si>
  <si>
    <t>Electronics Distribution</t>
  </si>
  <si>
    <t>Information Technology</t>
  </si>
  <si>
    <t>Custom Computer Programming</t>
  </si>
  <si>
    <t>Information Technology and Services</t>
  </si>
  <si>
    <t>Retail &amp; Distribution</t>
  </si>
  <si>
    <t>Computers and Computer Peripheral Equipment and Software</t>
  </si>
  <si>
    <t>Wholesale of computers, peripheral equipment and software</t>
  </si>
  <si>
    <t>Wholesale of computers, computer peripheral equipment and software</t>
  </si>
  <si>
    <t>(021) 428 4000</t>
  </si>
  <si>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</si>
  <si>
    <t>info@translations.com</t>
  </si>
  <si>
    <t>http://www.apple.com/</t>
  </si>
  <si>
    <t>2025-01-23T02:52:06.000Z</t>
  </si>
  <si>
    <t>Apple Malaysia Sdn. Bhd.</t>
  </si>
  <si>
    <t>50c0e708-22bf-11ec-9024-ef7bc13965aa</t>
  </si>
  <si>
    <t>Apple Malaysia Sdn Bhd</t>
  </si>
  <si>
    <t>Federal Territory of Kuala Lumpur</t>
  </si>
  <si>
    <t>Jalan Stesen Sentral 2</t>
  </si>
  <si>
    <t>MY, Malaysia, Kuala Lumpur, Kuala Lumpur, 50470, Jalan Stesen Sentral 2, , 3.1363304999999992, 101.6865576</t>
  </si>
  <si>
    <t>Malaysian subsidiary of Apple responsible for sales, marketing and distribution of Apple products and services.</t>
  </si>
  <si>
    <t>consumer electronics; smartphones; computers; software; services</t>
  </si>
  <si>
    <t>Kuala Lumpur-based Apple entity managing Malaysian operations.</t>
  </si>
  <si>
    <t>Apple Malaysia Sdn. Bhd. is a subsidiary of Apple Inc. focusing on sales, marketing, distribution and support for Apple hardware, software and services in Malaysia through authorised resellers and online channels.</t>
  </si>
  <si>
    <t>iPhone; Mac; iPad; Apple services; channel management; marketing</t>
  </si>
  <si>
    <t>443142</t>
  </si>
  <si>
    <t>Consumer Electronics &amp; Software – Regional Operations</t>
  </si>
  <si>
    <t>Distribution and marketing of consumer electronics and software</t>
  </si>
  <si>
    <t>Wholesale / Retail / ICT</t>
  </si>
  <si>
    <t>03-2265 7000</t>
  </si>
  <si>
    <t>http://www.apple.com/my/</t>
  </si>
  <si>
    <t>2021-12-14T20:04:56.000Z</t>
  </si>
  <si>
    <t>Apple South Asia (Thailand) Co Ltd</t>
  </si>
  <si>
    <t>005fd430-0d14-11ec-b1bc-c95da0ffc7aa</t>
  </si>
  <si>
    <t>Apple South Asia (Thailand) Limited</t>
  </si>
  <si>
    <t>Apple Zeed | APPLE ZEED WEBSITE CREATIVE</t>
  </si>
  <si>
    <t>TH</t>
  </si>
  <si>
    <t>Thailand</t>
  </si>
  <si>
    <t>Krung Thep Maha Nakhon</t>
  </si>
  <si>
    <t>Bangkok</t>
  </si>
  <si>
    <t>Rama I Road</t>
  </si>
  <si>
    <t>999/9</t>
  </si>
  <si>
    <t>TH, Thailand, Bangkok, Wang Thonglang, 10310, Chumchon Phlapphla Soi 2, 84, 13.778925699999998, 100.6104556</t>
  </si>
  <si>
    <t>APPLE ZEED WEBSITE CREATIVE is a multifaceted company based in Bangkok, Thailand. The company operates in various sectors including website design, architecture, computer sales, graphic design, interior construction, printing services, professional organization, software development, travel agency, and web hosting.</t>
  </si>
  <si>
    <t>IT Services | Packaging Services | Joomla Design Services Provider | Computer Sales &amp; Services | Web Design Services | Design Services for Websites and Tours | Digital Marketing Services | Software Development Services | Printing Services | Travel Agency Services | Web Hosting Services | Network Design Services | Interior Construction Services | Professional Organization Services | Architectural Services</t>
  </si>
  <si>
    <t>Apple Zeed is a web development agency based in Wang Thonglang, Thailand.</t>
  </si>
  <si>
    <t>à¸šà¸£à¸´à¸à¸²à¸£à¸£à¸±à¸šà¸—à¸³à¹€à¸§à¹‡à¸šà¹„à¸‹à¸•à¹Œ Website à¸ªà¸³à¸«à¸£à¸±à¸šà¸šà¸£à¸´à¸©à¸±à¸—à¸—à¸±à¸§à¸£à¹Œ à¸—à¸µà¹ˆà¹„à¸”à¹‰à¸£à¸±à¸šà¸„à¸§à¸²à¸¡à¸§à¸²à¸‡à¹ƒà¸ˆà¸¡à¸²à¸à¸§à¹ˆà¸² 100 à¸šà¸£à¸´à¸©à¸±à¸—à¸—à¸±à¸§à¸£à¹Œ Apple Zeed</t>
  </si>
  <si>
    <t>Web Development Agencies</t>
  </si>
  <si>
    <t>Digital Agencies</t>
  </si>
  <si>
    <t>Technology Customer Support Services (For others) | Software Developers (Pre-Packaged) | Software Developers (Custom) | Graphic Design (No Web Design) | Web Design</t>
  </si>
  <si>
    <t>740809 | 891801 | 891802 | 731302 | 731303</t>
  </si>
  <si>
    <t>1800 019 900</t>
  </si>
  <si>
    <t>+6621152811 | +66952494936</t>
  </si>
  <si>
    <t>sale.applezeed@gmail.com</t>
  </si>
  <si>
    <t>https://www.apple.co.th/</t>
  </si>
  <si>
    <t>https://www.facebook.com/applezeedthailand/</t>
  </si>
  <si>
    <t>widgets: flexslider | ui frameworks: bootstrap | widgets: addthis | maps: google maps | photo galleries: slider revolution | font scripts: google font api | miscellaneous: http/3 | analytics: facebook pixel - 2.9.134 | authentication: facebook login | cdn: google hosted libraries | miscellaneous: open graph | font scripts: font awesome | javascript libraries: core-js - 3.0.0 | javascript libraries: modernizr - 2.6.2 | widgets: slider revolution | javascript libraries: jquery - 1.9.0 | javascript libraries: fancybox - 2.1.4 | cdn: cloudflare | programming languages: php - 5.6.31 | analytics: google analytics</t>
  </si>
  <si>
    <t>2021-09-03T12:17:46.000Z</t>
  </si>
  <si>
    <t>ARELION NORWAY AS</t>
  </si>
  <si>
    <t>0233ab52-aa7c-11ec-bce7-45193b30c3a8</t>
  </si>
  <si>
    <t>Arelion Sweden AB</t>
  </si>
  <si>
    <t>Mixto AS</t>
  </si>
  <si>
    <t>Solna</t>
  </si>
  <si>
    <t>169 79</t>
  </si>
  <si>
    <t>Gustav III:s Boulevard</t>
  </si>
  <si>
    <t>NO, Norway, Oslo, Oslo, 0277, Drammensveien, 127, 59.9218182, 10.6882796</t>
  </si>
  <si>
    <t>We connect the world's largest network operators and content providers on our global fiber backbone. In other words, we carry the big ideas of tomorrow.</t>
  </si>
  <si>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</si>
  <si>
    <t>Vi er offisiell distributÃ¸r av Thermomix i Norge siden 2017, og vÃ¥r visjon er Ã¥ inspirere nordmenn til Ã¥ lage ren og naturlig mat.</t>
  </si>
  <si>
    <t>Enten du Ã¸nsker Ã¥ kjÃ¸pe produkter, oppleve en demonstrasjon av Thermomix, trenger teknisk support eller har andre spÃ¸rsmÃ¥l, sÃ¥ er vi her for Ã¥ hjelpe! Showroom, butikk og serviceavdeling kan hjelpe deg med alle din Thermomix henvendelser. Vennligst se vÃ¥r nettbutikk for mer detaljert informasjon eller kontakt vÃ¥r kundeservice pÃ¥ kundeservice@mixto.no eller vÃ¥rt showroom pÃ¥ telefon 21 42 06 06. Vi gjÃ¸r oppmerksom reduserte Ã¥pningstider/sommerÃ¥pent fra uke 21: Torsdag 10-18 og fredag 08-16.</t>
  </si>
  <si>
    <t>Natural Foods | Slow Cooking</t>
  </si>
  <si>
    <t>Restaurant Equipment</t>
  </si>
  <si>
    <t>Commercial Equipment &amp; Supplies</t>
  </si>
  <si>
    <t>Food Products Machinery</t>
  </si>
  <si>
    <t>2819 | 2825</t>
  </si>
  <si>
    <t>Manufacture of other general-purpose machinery | Manufacture of machinery for food, beverage and tobacco processing</t>
  </si>
  <si>
    <t>28.93 | 28.29 | 28.25</t>
  </si>
  <si>
    <t>Manufacture of machinery for food, beverage and tobacco processing | Manufacture of other general-purpose machinery n.e.c. | Manufacture of non-domestic cooling and ventilation equipment</t>
  </si>
  <si>
    <t>077-119 11 70</t>
  </si>
  <si>
    <t>+18888679375 | +4721420606 | +4791797466</t>
  </si>
  <si>
    <t>kundeservice@mixto.no</t>
  </si>
  <si>
    <t>kundeservice@mixto.no | unsubscribe@mixto.no | kontakt@mixto.no</t>
  </si>
  <si>
    <t>henriette@mixto.no | dina@mixto.no | kyrre@mixto.no | eva@mixto.no</t>
  </si>
  <si>
    <t>https://www.arelion.com/</t>
  </si>
  <si>
    <t>https://www.facebook.com/thermomixno/</t>
  </si>
  <si>
    <t>https://www.instagram.com/thermomixno/</t>
  </si>
  <si>
    <t>http://www.linkedin.com/company/mixto-as</t>
  </si>
  <si>
    <t>2021-12-14T13:39:38.000Z</t>
  </si>
  <si>
    <t>Arelion AB</t>
  </si>
  <si>
    <t>34818680-89c1-11ec-a621-3f13cdb5ccc4</t>
  </si>
  <si>
    <t>Arelion | Arelion France | Twelve99 | TSIC</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</si>
  <si>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CalÃ©ndula, 93, 40.5272145, -3.6463602999999996 | EE, Estonia, Harju maakond, Tallinn, 10611, SÃµle, 14, 59.4326165, 24.716328 | DE, Germany, Hesse, Frankfurt, 60326, RebstÃ¶cker StraÃŸe, 55, 50.1005483, 8.629062560003746 | FR, France, Ile-de-France, Paris, 75017, Rue Fortuny, 42, 48.8827752, 2.3079103 | GB, United Kingdom, England, London, EC2A 4NW, Paul Street, , 51.5248551, -0.0845946 | IT, Italy, Lombardy, Milan, 20123, Via Vincenzo Monti, 8, 45.4669086, 9.1746734</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</si>
  <si>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</si>
  <si>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</si>
  <si>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</si>
  <si>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</si>
  <si>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7375 | 4899</t>
  </si>
  <si>
    <t>Information Retrieval Services (Internet service providers and Internet access providers) | Communications Services, NEC (except ship to shore broadcasting, satellite communications, pay telephone concession operators)</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</si>
  <si>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</si>
  <si>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</si>
  <si>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</si>
  <si>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</si>
  <si>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</si>
  <si>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</si>
  <si>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</si>
  <si>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</si>
  <si>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</si>
  <si>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2021-10-01T04:55:41.000Z</t>
  </si>
  <si>
    <t>ARY COMMUNICATIONS LIMITED</t>
  </si>
  <si>
    <t>009bb39c-93e5-11eb-8e19-198fb02d6f96</t>
  </si>
  <si>
    <t>ARY News Block</t>
  </si>
  <si>
    <t>ARY News | ARY News HD | ARY News Urdu | ARY NETWORK</t>
  </si>
  <si>
    <t>PK</t>
  </si>
  <si>
    <t>Pakistan</t>
  </si>
  <si>
    <t>Sindh</t>
  </si>
  <si>
    <t>Karachi</t>
  </si>
  <si>
    <t>Abdullah Haroon Road</t>
  </si>
  <si>
    <t>PK, Pakistan, Sindh, Karachi Division, , , , ,  | PK, Pakistan, Sindh, Karachi, 74400, Abdullah Haroon Road (Victoria Road), , 24.854625600000002, 67.02875329999999 | PK, Pakistan, Punjab, Lahore, 54010, G Block, 57, 31.5036754, 74.3402862 | PK, Pakistan, Sindh, Karachi, 74400, Water Course Road, , 24.8557898, 67.0087798 | PK, Pakistan, Islamabad Capital Territory, Islamabad, 44000, Street 62, , 33.723045299999995, 73.0650711 | PK, Pakistan, Punjab, Lahore, 54010, Gurumangat Road, , 31.520390600000002, 74.35881669999999 | PK, Pakistan, Punjab, Okara, 56300, New Choudhary Colony Street, , 30.808027199999998, 73.43698119999999</t>
  </si>
  <si>
    <t>ARY News is a Pakistani news channel committed to bring you latest Pakistan news &amp; featured stories from around Pakistan &amp; all over the world.</t>
  </si>
  <si>
    <t>Media Distribution Services | Bilingual News Broadcasting | Multimedia News Platforms | Investigative Journalism | Global News Reporting | Editorial News Content | Media Content Production | Journalistic Reporting | Digital Media Network | Current Affairs Coverage | Public Information Services | Television News Services | Broadcast News Analysis | Live News Streaming</t>
  </si>
  <si>
    <t>This is the official Video Portal of ARY Digital Network</t>
  </si>
  <si>
    <t>ARY News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 ARY News is biggest and most watched news channel in Pakistan and all around the world. ARY head office located in Karachi, Pakistan.</t>
  </si>
  <si>
    <t>Business &amp; Politics | Money &amp; Finances</t>
  </si>
  <si>
    <t>Media Companies</t>
  </si>
  <si>
    <t>Publishers &amp; Media Companies</t>
  </si>
  <si>
    <t>Media &amp; Entertainment</t>
  </si>
  <si>
    <t>SV-ME</t>
  </si>
  <si>
    <t>Television Broadcasting Stations</t>
  </si>
  <si>
    <t>Building Owner - Multiple Occupancy - Mixed-Use Commercial | Newspaper / Magazine Publishing / Printing | Motion Picture / Television Production (incl Commercials) | Building Owner - Multiple Occupancy - Office | Building Owner - Multiple Occupancy - Retail (Not Enclosed Mall)</t>
  </si>
  <si>
    <t>6020 | 6120</t>
  </si>
  <si>
    <t>Television programming and broadcasting activities | Wireless telecommunications activities</t>
  </si>
  <si>
    <t>60.2 | 61.2</t>
  </si>
  <si>
    <t>399101 | 271001 | 781101 | 651101 | 529101</t>
  </si>
  <si>
    <t>0345 8160624</t>
  </si>
  <si>
    <t>+923336970530 | +922132637154 | +923362805214 | +922134155226 | +923352442050 | +923458160624 | +923105999903 | +924235840785</t>
  </si>
  <si>
    <t>info@aryservices.com</t>
  </si>
  <si>
    <t>http://arynews.tv/</t>
  </si>
  <si>
    <t>https://www.facebook.com/arynewsasia/#</t>
  </si>
  <si>
    <t>https://twitter.com/ARYNEWSOFFICIAL</t>
  </si>
  <si>
    <t>https://www.instagram.com/arynewstv/?hl=en</t>
  </si>
  <si>
    <t>http://www.linkedin.com/company/arynewsofficial</t>
  </si>
  <si>
    <t>https://apps.apple.com/us/app/ary-news-pro/id1164931041</t>
  </si>
  <si>
    <t>https://play.google.com/store/apps/details?id=com.aryservices.arynews.en</t>
  </si>
  <si>
    <t>https://www.youtube.com/channel/UCMmpLL2ucRHAXbNHiCPyIyg</t>
  </si>
  <si>
    <t>web servers: ibm websphere application server | wordpress plugins: wpbakery | social login: google sign-in | analytics: doubleclick | widgets: twitter | ui frameworks: bootstrap - 4.0.0 | caching: wp rocket | advertising networks: google doubleclick ad exchange (adx) | static site generator: next.js | analytics: hotjar | miscellaneous: rss | ui frameworks: bootstrap | wordpress plugins: metronet profile picture | javascript libraries: webp | advertising: adform | marketing automation: onesignal | web servers: empathy platform | web frameworks: bootstrap | analytics: google universal analytics | miscellaneous: webpack | javascript libraries: slick | video players: videojs | seo: yoast seo | javascript frameworks: angularjs | widgets: css | javascript frameworks: hammer.js | paas: wp engine | advertising networks: doubleclick ad exchange (adx) | analytics: histats | live chat: whatsapp business chat | javascript frameworks: amp | miscellaneous: twitter emoji (twemoji) | javascript frameworks: react | ui frameworks: animate.css | cdn: cdnjs | web frameworks: animate.css | javascript libraries: hammer.js | rum: cloudflare browser insights | font scripts: google font api | analytics: google analytics - GA4 | reverse proxies: nginx | advertising: google publisher tag | blogging platforms: wordpress | miscellaneous: http/3 | video players: youtube | analytics: quantcast | javascript libraries: modernizr | databases: mysql | web servers: phusion passenger | issue trackers: really simple discovery | cookie compliance: funding choices | analytics: statcounter | javascript frameworks: moment.js | page builders: wpbakery | javascript libraries: jquery - 3.7.0 | cms: site.com | widgets: facebook | advertising networks: google doubleclick for publishers (dfp) | javascript libraries: select2 | authentication: facebook login | miscellaneous: gravatar | miscellaneous: open graph | captchas: recaptcha | widgets: facebook comments | seo: yoast seo premium | seo: yoast seo - 21.2 | network devices: html | miscellaneous: jquery easing | cdn: jsdelivr | font scripts: font awesome | seo: yoast seo premium - 21.2 | javascript libraries: jquery ui | javascript frameworks: jquery migrate | webmail: facebook login button | web servers: schannel | javascript frameworks: modernizr | seo tool: facebook friendly | advertising networks: google adsense | javascript frameworks: slick | network devices: html5 | miscellaneous: facebook | social login: facebook sign-in | javascript libraries: jquery migrate - 3.4.1 | cms: wordpress | hosting: wp engine | blogs: wordpress | javascript frameworks: jquery ui | retargeting: google doubleclick for publishers (dfp) | analytics: cloudflare browser insights | widgets: google plus | analytics: quantcast measure | javascript libraries: lodash - 1.13.6 | advertising networks: doubleclick for publishers (dfp) | web servers: next.js | miscellaneous: simplyscroll | tag managers: google tag manager | wordpress plugins: metaslider | web frameworks: next.js | analytics: facebook analytics | javascript libraries: hammer.js - 2.0.8 | wordpress plugins: yoast seo - 21.2 | javascript libraries: jquery | widgets: owl carousel | retargeting: facebook | advertising: prebid | widgets: javascript | widgets: metronet profile picture | retargeting: google doubleclick ad exchange (adx) | font scripts: twitter emoji (twemoji) | seo tool: twitter friendly | javascript frameworks: next.js | analytics: google interactive media ads | web servers: nginx | wordpress plugins: wp rocket | cdn: cloudflare | wordpress plugins: yoast seo | programming languages: php | advertising: doubleclick for publishers (dfp) | javascript libraries: jquery migrate | javascript libraries: moment.js | segmentation: oracle bluekai | advertising: google adsense | miscellaneous: instagram | javascript frameworks: jquery | analytics: google analytics | cookie compliance: quantcast choice | a/b testing: onesignal</t>
  </si>
  <si>
    <t>2019-11-24T01:50:53.000Z</t>
  </si>
  <si>
    <t>Ascio Technologies, Corp. Danmark - Filial af Ascio Technologies Corp. Canada</t>
  </si>
  <si>
    <t>c7288490-93e4-11eb-8859-29e7c34dee35</t>
  </si>
  <si>
    <t>Ascio</t>
  </si>
  <si>
    <t>Ascio Technologies</t>
  </si>
  <si>
    <t>DK, Denmark, Capital Region of Denmark, Copenhagen, 2300, Ã˜restads Boulevard, 108, 55.627383, 12.577879 | DE, Germany, North Rhine-Westphalia, Bonn, 53111, RabinstraÃŸe, 1, 50.73298605, 7.0944784594387755 | DK, Denmark, Capital Region of Denmark, Gentofte Municipality, 2930, Strandvejen, 125, 55.7705717, 12.5951897 | DK, Denmark, Capital Region of Denmark, Copenhagen, 2900, Strandvejen, 123A, 55.725739, 12.57622</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</si>
  <si>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</si>
  <si>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</si>
  <si>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</si>
  <si>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</si>
  <si>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</si>
  <si>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33 88 61 00</t>
  </si>
  <si>
    <t>+4533886100 | +4533886101 | +4922830401501</t>
  </si>
  <si>
    <t>help@ascio.com</t>
  </si>
  <si>
    <t>help@ascio.com | sales@ascio.com</t>
  </si>
  <si>
    <t>http://www.ascio.com/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</si>
  <si>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</si>
  <si>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</si>
  <si>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</si>
  <si>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</si>
  <si>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2019-11-24T11:08:26.000Z</t>
  </si>
  <si>
    <t>ASIAINFO DENMARK ApS</t>
  </si>
  <si>
    <t>039ae9d7-93e5-11eb-86dd-ffbd1b53140e</t>
  </si>
  <si>
    <t>Nordic Institute of Asian Studies</t>
  </si>
  <si>
    <t>Drys Denmark</t>
  </si>
  <si>
    <t>Øster Farimagsgade</t>
  </si>
  <si>
    <t>DK, Denmark, Central Denmark Region, Viborg, 8800, Mariendalsvej, 11B, 56.455721999999994, 9.3571331</t>
  </si>
  <si>
    <t>Drys Denmark is a company that specializes in women's clothing, offering a range of fashionable tops, t-shirts, shirts, blouses, pants, jeans, skirts, and dresses. Their product line caters to young, mature, and plus-size women. The company is known for its Danish design and aims to provide stylish and comfortable clothing options.</t>
  </si>
  <si>
    <t>Fashion Design and Production | Curvy/plus Size Clothing | Denim Jeans | Scandinavian Design Clothing | Fashion Tops | Styrene Skirts | Cut and Sew Manufacturing | W Clothing Store | Fashion Blouses</t>
  </si>
  <si>
    <t>Here you can find fashionable tops, t-shirts, shirts, blouses, pants, jeans, skirts, dresses for both young, mature and plussize / curvy women.</t>
  </si>
  <si>
    <t>Women's clothing from Drys and Define. Here you can find fashionable tops, t-shirts, shirts, blouses, pants, jeans, skirts, dresses for both young, mature and plussize / curvy women.</t>
  </si>
  <si>
    <t>Clothing And Fashion | Designing Women | Tops ,t Shirt &amp; Shirts | Skirt &amp; Dress | Pants &amp; Jeans</t>
  </si>
  <si>
    <t>Clothing Stores</t>
  </si>
  <si>
    <t>Clothing</t>
  </si>
  <si>
    <t>Apparel, Accessories &amp; Footwear</t>
  </si>
  <si>
    <t>CG-AA</t>
  </si>
  <si>
    <t>Apparel &amp; Textiles</t>
  </si>
  <si>
    <t>CG.1</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</si>
  <si>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</si>
  <si>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Infantsâ€™ Wear Stores | Women's, Children's and Infants' Clothing and Accessories (selling a general line of children's and infants' clothing via retail method) | Family Clothing Stores | Women's Accessory and Specialty Stores (accessories) | Menâ€™s and Boysâ€™ Clothing and Accessory Stores (accessories) | Miscellaneous Apparel and Accessory Stores (accessories) | Grocery Stores (frozen food and freezer plan providers) | Women's Clothing Stores (dress shops and bridal shops) | Womenâ€™s, Childrenâ€™s, and Infantsâ€™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Womenâ€™s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</si>
  <si>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Retail - Clothing (Men's, no Children's) | Retail - Clothing (Family, incl Children's) | Retail - Clothing (Women's, no Children's) | Clothing Manufacturing (Men's / Women's Wear) | Clothing Manufacturing (Accessories / Misc)</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</si>
  <si>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</si>
  <si>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</si>
  <si>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</si>
  <si>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</si>
  <si>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569501 | 569301 | 569401 | 231001 | 231101</t>
  </si>
  <si>
    <t>35 32 95 00</t>
  </si>
  <si>
    <t>+4531472083 | +4587250100</t>
  </si>
  <si>
    <t>drys@drysdenmark.dk</t>
  </si>
  <si>
    <t>outluo@utu.fi</t>
  </si>
  <si>
    <t>http://nias.ku.dk/</t>
  </si>
  <si>
    <t>https://www.facebook.com/NordicInstituteofAsianStudies</t>
  </si>
  <si>
    <t>https://twitter.com/NIAS_1968</t>
  </si>
  <si>
    <t>https://www.instagram.com/university_of_copenhagen/</t>
  </si>
  <si>
    <t>https://www.linkedin.com/company/nordic-institute-of-asian-studies/mycompany/?viewAsMember=true</t>
  </si>
  <si>
    <t>https://www.youtube.com/user/CopenhagenUniversity</t>
  </si>
  <si>
    <t>web servers: .net framework | ui frameworks: bootstrap | web servers: empathy platform | web frameworks: bootstrap | web servers: azure app service | widgets: css | web frameworks: microsoft asp.net | font scripts: google font api | cms: site.com | cdn: google hosted libraries | network devices: html | miscellaneous: jquery easing | font scripts: font awesome | web servers: schannel | operating systems: windows server | javascript libraries: lightbox | network devices: html5 | miscellaneous: facebook | web servers: iis | javascript libraries: jquery | widgets: javascript | javascript frameworks: lightbox | miscellaneous: instagram | javascript frameworks: jquery</t>
  </si>
  <si>
    <t>2019-11-24T00:43:15.000Z</t>
  </si>
  <si>
    <t>Atea A/S</t>
  </si>
  <si>
    <t>431d0020-93e5-11eb-be5a-4f810ab55f2e</t>
  </si>
  <si>
    <t>Atea Danmark | Atea Aalborg</t>
  </si>
  <si>
    <t>Ballerup</t>
  </si>
  <si>
    <t>Lautrupvang</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</si>
  <si>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</si>
  <si>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Som Danmarks bredeste it-leverandør til offentlige og private virksomheder er vi specialister i it-infrastruktur, og kan hjælpe med værdiskabende it-løsninger.</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</si>
  <si>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</si>
  <si>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</si>
  <si>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leverandÃ¸r af it-produkter. Atea leverer viden til at lÃ¸se hverdagens udfordringer. Atea giver svar pÃ¥ svÃ¦re spÃ¸rgsmÃ¥l og rÃ¥d til vÃ¦kst. Ateai deler de lette lÃ¸sninger, der fÃ¥r arbejdsdagen til at glide. Og Atea deler bord med de dygtigste beslutningstagere, nÃ¥r den strategiske it-kurs skal sÃ¦ttes. Atea har et omfattende udbud af produkter og lÃ¸sninger og hjÃ¦lper dig med hele paletten â€“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</si>
  <si>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</si>
  <si>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Hardware</t>
  </si>
  <si>
    <t>TC-HW</t>
  </si>
  <si>
    <t>Communication Equipment Installation - Residential | Data Processing Centres / Server Farms | Software Developers (Pre-Packaged) | Software Developers (Custom) | Cloud Computing</t>
  </si>
  <si>
    <t>153401 | 740701 | 891801 | 891802 | 740808</t>
  </si>
  <si>
    <t>70 25 25 50</t>
  </si>
  <si>
    <t>+4570252550 | +4551519522 | +4598194714 | +4570266366 | +4525511484</t>
  </si>
  <si>
    <t>salgssupport@atea.dk</t>
  </si>
  <si>
    <t>dpo@atea.dk | info@atea.dk</t>
  </si>
  <si>
    <t>dk.dg.security@atea.dk | license@atea.dk | konsulent@atea.dk | salgssupport@atea.dk</t>
  </si>
  <si>
    <t>https://www.atea.dk/</t>
  </si>
  <si>
    <t>https://www.facebook.com/ateadanmark/</t>
  </si>
  <si>
    <t>https://twitter.com/AteaDanmark/</t>
  </si>
  <si>
    <t>https://www.instagram.com/ateadanmark/?hl=en</t>
  </si>
  <si>
    <t>https://www.linkedin.com/company/3121259?trk=tyah&amp;trkInfo=clickedVertical%3Acompany%2CentityType%3AentityHistoryName%2CclickedEntityId%3Acompany_3121259%2Cidx%3A0</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</si>
  <si>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</si>
  <si>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</si>
  <si>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2019-11-24T11:35:06.000Z</t>
  </si>
  <si>
    <t>ATEA AS</t>
  </si>
  <si>
    <t>c9fab753-93e4-11eb-919a-b3f9a5ad205c</t>
  </si>
  <si>
    <t>Atea Oslo</t>
  </si>
  <si>
    <t>Atea Logistics | Atea AS</t>
  </si>
  <si>
    <t>Karvesvingen</t>
  </si>
  <si>
    <t>NO, Norway, Oslo, Oslo, 0579, Karvesvingen, 5, 59.9277164, 10.7985519 | NO, Norway, Oslo, Oslo, 0667, BrynsallÃ©en, 2, 59.91107177734375, 10.815818786621094</t>
  </si>
  <si>
    <t>IT infrastructure company</t>
  </si>
  <si>
    <t>IT Security Solutions | Software and Cloud Licenses | Data Center Networking | It Recycling | Logistics Management | IT Procurement | Sustainable IT Solutions | IT Infrastructure Solutions Provider | Hardware and Software Solutions | IT Service Provider | Digital Workplace | IT Stocking | IT Product Management | Data-driven Innovation | Largest Competence Center for IT Professionals</t>
  </si>
  <si>
    <t>Get maximum value from your IT investments.</t>
  </si>
  <si>
    <t>Atea er spesialister innen teknologi og IT og bruker vår kompetanse til å forme et enda bedre Norge. Vi tilbyr et heldekkende tilbud av produkter og tjenester.</t>
  </si>
  <si>
    <t>IT Consulting Services | IT Infrastructure</t>
  </si>
  <si>
    <t>22 09 50 00</t>
  </si>
  <si>
    <t>+4684774700 | +4722095000</t>
  </si>
  <si>
    <t>https://www.atea.no/</t>
  </si>
  <si>
    <t xml:space="preserve">https://www.facebook.com/AteaNorge </t>
  </si>
  <si>
    <t>https://www.instagram.com/ateanorge/</t>
  </si>
  <si>
    <t xml:space="preserve">https://www.linkedin.com/company/atea </t>
  </si>
  <si>
    <t>https://www.youtube.com/channel/UCwzsv8TJaW6coRVF_Hb_JgA</t>
  </si>
  <si>
    <t>javascript libraries: jquery - 2.2.4 | javascript libraries: lodash | miscellaneous: babel | javascript libraries: core-js | ui frameworks: bootstrap | paas: azure | web servers: empathy platform | javascript frameworks: angularjs | widgets: css | ui frameworks: bootstrap - 3.4.1 | analytics: ibm tealeaf | javascript frameworks: react | miscellaneous: onetrust | font scripts: google font api | security: hsts | miscellaneous: optanon | javascript libraries: jquery ui - 1.10.4 | cms: site.com | javascript libraries: select2 | cdn: owl carousel | customer data platform: wootric | miscellaneous: open graph | reverse proxies: nunjucks | javascript frameworks: react router | cookie compliance: onetrust | network devices: html | miscellaneous: jquery easing | javascript libraries: jquery ui | seo tool: facebook friendly | network devices: html5 | javascript frameworks: angularjs - 1.4.8 | tag managers: google tag manager | javascript libraries: jquery | widgets: javascript | miscellaneous: prism | javascript libraries: preact | javascript libraries: moment.js | analytics: acoustic experience analytics | javascript frameworks: jquery | analytics: google analytics | programming languages: java</t>
  </si>
  <si>
    <t>2019-11-24T02:22:40.000Z</t>
  </si>
  <si>
    <t>Atea Sverige AB</t>
  </si>
  <si>
    <t>f0c60d30-93e4-11eb-91fb-73d498260b10</t>
  </si>
  <si>
    <t>New Skies Satellites B.V.</t>
  </si>
  <si>
    <t>Atea Sverige</t>
  </si>
  <si>
    <t>Kista</t>
  </si>
  <si>
    <t>164 46</t>
  </si>
  <si>
    <t>Kronborgsgränd</t>
  </si>
  <si>
    <t>SE, Sweden, Stockholm County, Stockholm, 164 21, Ã„rvingevÃ¤gen, 7, 59.3976301, 17.9461867 | SE, Sweden, SkÃ¥ne County, Helsingborg, 252 25, , , 56.03827580826087, 12.700953890000001 | SE, Sweden, VÃ¤stra GÃ¶taland County, BorÃ¥s, 504 51, Katrinedalsgatan, 13b, 57.71105194091797, 12.94762897491455 | SE, Sweden, VÃ¤stra GÃ¶taland County, Skara, 532 37, Skaraborgsgatan, 34d, 58.384254455566406, 13.44275188446045 | SE, Sweden, VÃ¤stra GÃ¶taland County, MÃ¶lndal, 431 37, KrokslÃ¤tts Fabriker, 14, 57.67076110839844, 12.0099458694458 | SE, Sweden, Ã–stergÃ¶tland County, LinkÃ¶ping, 582 78, Gjuterigatan, 5, 58.41701126098633, 15.62644100189209 | SE, Sweden, SkÃ¥ne County, Malmo, 211 46, PildammsvÃ¤gen, 6b, 55.59334182739258, 12.99764347076416 | SE, Sweden, JÃ¶nkÃ¶ping County, JÃ¶nkÃ¶ping, 553 05, Bataljonsgatan, 12, 57.770751953125, 14.200472831726074 | SE, Sweden, SkÃ¥ne County, Kristianstad, 291 32, SpannmÃ¥lsgatan, 9, 56.030723571777344, 14.150361061096191 | SE, Sweden, Kalmar County, Kalmar, 392 35, Norra vÃ¤gen, 40, 56.66850662231445, 16.353214263916016</t>
  </si>
  <si>
    <t>Atea är den ledande leverantören av it-infrastruktur i Norden och Baltikum. Vi stöttar er verksamhet på den digitala resan.</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</si>
  <si>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</si>
  <si>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tÃ¤nker vi vara med och forma ett Ã¤nnu bÃ¤ttre Sverige.</t>
  </si>
  <si>
    <t>Med vÃ¥ra 1 000 konsulter och 4 500 certifieringar Ã¤r vi en ledande leverantÃ¶r inom teknik, infrastruktur och systemintegration. Hos oss fÃ¥r du vara med att bidra till ett smartare, effektivare och mer hÃ¥llbart samhÃ¤lle. Din framtid som konsult. Genom att skapa en it-infrastruktur i vÃ¤rldsklass Ã¤r Atea med och lÃ¤gger grunden till ett smartare och mer innovativt Sverige. Som Nordens stÃ¶rsta leverantÃ¶r av it-infrastruktur har vi bestÃ¤mt oss fÃ¶r att vara drivande i branschen nÃ¤r det gÃ¤ller hÃ¥llbarhetsfrÃ¥gor. Du kan t.ex. se order- och fakturahistorik samt leveransstatus. BestÃ¤llningar, produktrÃ¥dgivning, mjukvara, fÃ¶rsÃ¤kring skoldator, fÃ¶rbrukningsmaterial till skrivare. Hitta ditt nÃ¤rmaste kontor, vi finns Ã¶ver hela Sverige pÃ¥ ett trettiotal orter. Digitalisering som mÃ¶ter framtidens behov. VÃ¥rt mÃ¥l Ã¤r att vara en mÃ¶jliggÃ¶rare fÃ¶r din verksamhet pÃ¥ er digitaliseringsresa. Genom vÃ¥ra konsulters breda och djupa expertis hjÃ¤lper vi dig att utforma, implementera, driva och underhÃ¥lla den it-infrastruktur som din verksamhet behÃ¶ver och Ã¤r beroende av fÃ¶r att lyckas.</t>
  </si>
  <si>
    <t>IT Infrastructure | User Experience | Social Media Services | Design &amp; Development | Targeted Advertising | System Integration | I.T. Consulting | School Management | Mobile Device Management</t>
  </si>
  <si>
    <t>08-477 47 00</t>
  </si>
  <si>
    <t>+4620446600 | +4684774700</t>
  </si>
  <si>
    <t>kundreskontra@atea.se</t>
  </si>
  <si>
    <t>dpo@atea.se</t>
  </si>
  <si>
    <t>garanti@atea.se | kundreskontra@atea.se | kundtjanst@atea.se</t>
  </si>
  <si>
    <t>https://www.atea.se/</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</si>
  <si>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</si>
  <si>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</si>
  <si>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</si>
  <si>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</si>
  <si>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</si>
  <si>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</si>
  <si>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2019-11-24T00:49:55.000Z</t>
  </si>
  <si>
    <t>NP Investment A/S</t>
  </si>
  <si>
    <t>030c8c8e-93e5-11eb-b997-8dd98d09cf25</t>
  </si>
  <si>
    <t>NPV</t>
  </si>
  <si>
    <t>Investment Fund for Developing Countries</t>
  </si>
  <si>
    <t>Charlottenlund</t>
  </si>
  <si>
    <t>Jægersborg Alle</t>
  </si>
  <si>
    <t>DK, Denmark, Capital Region of Denmark, Copenhagen, 1310, Fredericiagade, 27, 55.685779, 12.590194 | IN, India, Delhi, New Delhi, 110037, Underpass, , 28.5528258, 77.12214374641682 | GH, Ghana, Greater Accra Region, Accra, GA-222-2148, Dr. Issert Road, , 5.5706703, -0.1968599 | KE, Kenya, Nairobi County, Nairobi, 00100, Kinyanjui Street, , -1.2777962, 36.8354136 | BR, Brazil, SÃ£o Paulo, SÃ£o Paulo, 01424-004, Alameda Lorena, 800, -23.568154200000002, -46.66047276113106 | BR, Brazil, SÃ£o Paulo, SÃ£o Paulo, 01426-000, Rua Oscar Freire, , -23.566578800000002, -46.66560752533333 | BR, Brazil, SÃ£o Paulo, SÃ£o Paulo, 01426-001, Rua Oscar Freire, 379, -23.56656915, -46.665626448616266 | KE, Kenya, Nairobi County, Nairobi, 97104, Muthangari Drive, 12, -1.2598415, 36.7806057</t>
  </si>
  <si>
    <t>Bygger med indsigt og omtanke Vi skaber rum til mennesker med fokus på funktion, innovation, æstetik og ansvarlighed. Projekter Nyheder Om NPV Seneste nyt I ...</t>
  </si>
  <si>
    <t>Healthcare Sector Funding | Investment Guarantees Issuance | Sustainable Energy Financing | Commercial Investment Terms | Infrastructure Project Financing | Portfolio Management Services | Equity Capital Provision | Development Finance Loans | Impact Investment Services | Sdg-aligned Investment Strategies | Emerging Markets Investing | Financial Sector Investments | Agricultural Development Financing</t>
  </si>
  <si>
    <t>Other focus areas are investments into financial institutions lending to small and medium-sized enterprises as well as development and regional banks financing local banks and institutions.</t>
  </si>
  <si>
    <t>Investment Fund for Developing Countries (Investeringsfonden for Udviklingslande) (IFU), is a Development Financial Institution owned by the Government of Denmark. IFU is a self-governing, state-owned fund, whose objective is to promote economic and social development in developing countries. The Fund provides risk capital and advice to companies wanting to do business in parts of Europe, Asia, Latin America and Africa. Investments are made on commercial terms in the form of loans and equity, with the purpose of contribution to economic and social development in the investment countries and support the attainment of the United Nations Sustainable Development Goals.</t>
  </si>
  <si>
    <t>Climate Finance | Institutional Investor</t>
  </si>
  <si>
    <t>Open-End Investment Funds</t>
  </si>
  <si>
    <t>Investment Firms &amp; Venture Capital</t>
  </si>
  <si>
    <t>Investment Firms &amp; Consultants</t>
  </si>
  <si>
    <t>Asset Management &amp; Custody Activities</t>
  </si>
  <si>
    <t>FN-AC</t>
  </si>
  <si>
    <t>Capital Markets</t>
  </si>
  <si>
    <t>FN.1</t>
  </si>
  <si>
    <t>6371 | 6798 | 6726</t>
  </si>
  <si>
    <t>Pension, Health, and Welfare Funds (profit sharing funds) | Real Estate Investment Trusts | Unit Investment Trusts, Face-Amount Certificate Offices, and Closed-End Management Investment Offices</t>
  </si>
  <si>
    <t>Community / Civic / Special Interest Groups (Non-Medical) | Financial Planners / Advisors | Fundraising Organizations (Charitable / Religious) | Accountants / Auditors | Labour Unions</t>
  </si>
  <si>
    <t>Trusts, funds and similar financial entities</t>
  </si>
  <si>
    <t>864401 | 641501 | 867301 | 641101 | 863001</t>
  </si>
  <si>
    <t>70 21 01 13</t>
  </si>
  <si>
    <t>+4533441258 | +4533441279 | +4533441200 | +4533441213 | +4533441233 | +4533441283 | +4533441203 | +4533637504 | +4533441218 | +4533441222 | +254204253000 | +4533637508 | +4533637500 | +4533441221 | +4533637542 | +4522687599 | +4533441242 | +4533637544 | +4533441204 | +4533637591 | +4533637598 | +4533441226 | +4533441202 | +4533637502 | +4533637579 | +4533637545 | +4533637597 | +4533637588 | +4533441220 | +4533637527 | +4533441206 | +4533637503 | +4533637543 | +4533441210 | +4533637531 | +4533441266 | +4533441214 | +4533441254 | +4533637522 | +4533411241 | +4533637578 | +4533441269 | +4533441246 | +4533441207 | +4533441274 | +4533441290 | +4533441211 | +4533441232 | +4533441208 | +4533441224</t>
  </si>
  <si>
    <t>ifu@ifu.dk</t>
  </si>
  <si>
    <t>info@npv.as</t>
  </si>
  <si>
    <t>http://www.npv.as/</t>
  </si>
  <si>
    <t>https://www.facebook.com/NPV.AS</t>
  </si>
  <si>
    <t>https://www.linkedin.com/company/npv-a-s</t>
  </si>
  <si>
    <t>cookie compliance: cookie information | miscellaneous: rss | ui frameworks: bootstrap | widgets: addthis | web frameworks: bootstrap | seo: yoast seo | javascript frameworks: angularjs | miscellaneous: twitter emoji (twemoji) | ui frameworks: animate.css | cdn: cdnjs | web frameworks: animate.css | font scripts: google font api | reverse proxies: nginx | blogging platforms: wordpress | databases: mysql | reverse proxy: nginx | javascript graphics: d3 | miscellaneous: open graph | seo tool: yoast seo | caching: redis object cache | font scripts: font awesome | javascript frameworks: jquery migrate | seo tool: facebook friendly | cms: wordpress | databases: redis | blogs: wordpress | caching: varnish | lead generation: mailchimp | javascript libraries: jquery | javascript graphics: amcharts | form builders: contact form 7 | seo tool: twitter friendly | web servers: nginx | cdn: cloudflare | wordpress plugins: yoast seo | programming languages: php | marketing automation: mailchimp | javascript libraries: jquery migrate | wordpress plugins: contact form 7 | javascript frameworks: jquery | analytics: google analytics</t>
  </si>
  <si>
    <t>2019-11-24T00:29:11.000Z</t>
  </si>
  <si>
    <t>ATREBO SL</t>
  </si>
  <si>
    <t>1db2c0e7-93e5-11eb-86dd-ffbd1b53140e</t>
  </si>
  <si>
    <t>Atrebo</t>
  </si>
  <si>
    <t>Hotel LD Sevilla</t>
  </si>
  <si>
    <t>ES</t>
  </si>
  <si>
    <t>Spain</t>
  </si>
  <si>
    <t>Andalucía</t>
  </si>
  <si>
    <t>Sevilla</t>
  </si>
  <si>
    <t>Virgen de Lujan</t>
  </si>
  <si>
    <t>30-A</t>
  </si>
  <si>
    <t>ES, Spain, Andalusia, Guillena, 41219, AutovÃ­a Ruta de la Plata, , 37.571363999999996, -6.107664199999999</t>
  </si>
  <si>
    <t>Get to know how we are helping global companies achieve operational excellence. Solution for digital transformation in asset and infrastructure management.</t>
  </si>
  <si>
    <t>Accommodation Services | 24-hour Cafeteria Service | Free Private Parking Spaces | Comfortable Accommodations | Spacious Rooms | Chill-out Terrace | Cleanrooms | Clean and Comfortable Rooms | Hotel Sevilla | Restaurant Services | COVID-19 Protocols</t>
  </si>
  <si>
    <t>CafeterÃ­a y restaurante abiertos las 24 horas , aparcamiento exterior gratuito y terraza Chill Out.</t>
  </si>
  <si>
    <t>Nuestro Hotel LD estÃ¡ situado en Las Pajanosas , a menos de 30 kilÃ³metros de la ciudad de Sevilla, junto a la A-66. CafeterÃ­a y restaurante abiertos las 24 horas , aparcamiento exterior gratuito y terraza Chill Out. AsÃ­ como amplias habitaciones con vistas a la ciudad de Sevilla , perfectas para descansar tanto si viajas por motivos de trabajo como por placer por AndalucÃ­a. Descubre nuestras instalaciones del Hotel LD Sevilla y reserva en nuestra web para beneficiarte de las mejores ofertas.</t>
  </si>
  <si>
    <t>Safety Protocols | Cafeteria</t>
  </si>
  <si>
    <t>Hotels</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</si>
  <si>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</si>
  <si>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</si>
  <si>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</si>
  <si>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</si>
  <si>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</si>
  <si>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</si>
  <si>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+34955480487 | +34955480489</t>
  </si>
  <si>
    <t>recepcion@ldsevillahotel.com</t>
  </si>
  <si>
    <t>marketing@atrebo.com</t>
  </si>
  <si>
    <t>https://www.atrebo.com/</t>
  </si>
  <si>
    <t>es</t>
  </si>
  <si>
    <t>https://twitter.com/atrebotree</t>
  </si>
  <si>
    <t>https://www.instagram.com/aslaspajanosas/</t>
  </si>
  <si>
    <t>https://www.linkedin.com/company/atrebo/</t>
  </si>
  <si>
    <t>https://www.youtube.com/watch?v=vYtVcqofdlM</t>
  </si>
  <si>
    <t>cms: wordpress - 6.3.2 | miscellaneous: rss | ui frameworks: bootstrap | maps: google maps | wordpress plugins: divi - 4.21.0 | performance: priority hints | cdn: cdnjs | font scripts: google font api | reverse proxies: nginx | databases: mysql | wordpress themes: divi - 4.21.0 | page builders: divi - 4.21.0 | javascript libraries: jquery - 3.7.0 | wordpress plugins: cookie notice - 2.4.8 | wordpress plugins: themeisle menu icons | font scripts: font awesome | javascript frameworks: alertifyjs | programming languages: php - 7.4.33 | javascript libraries: jquery migrate - 3.4.1 | blogs: wordpress - 6.3.2 | cookie compliance: cookie notice - 2.4.8 | web servers: nginx | cdn: cloudflare</t>
  </si>
  <si>
    <t>2020-06-09T14:37:26.000Z</t>
  </si>
  <si>
    <t>AV CENTER AALBORG ApS</t>
  </si>
  <si>
    <t>b011b872-93e4-11eb-b4a6-27899be4e45d</t>
  </si>
  <si>
    <t>AV Center Aalborg ApS</t>
  </si>
  <si>
    <t>AV CENTER | AV CENTER Aalborg | AV CENTER Aarhus</t>
  </si>
  <si>
    <t>Nørresundby</t>
  </si>
  <si>
    <t>Stenholm</t>
  </si>
  <si>
    <t>DK, Denmark, Capital Region of Denmark, BrÃ¸ndbyvester, 2605, SÃ¸ndre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VesterlÃ¸kken, 2, 56.144753, 10.152049 | DK, Denmark, Region of Southern Denmark, Odense, 5260, Egelykkevej, 16, 55.359221, 10.393952 | DK, Denmark, Capital Region of Denmark, Albertslund Municipality, , , , ,</t>
  </si>
  <si>
    <t>Adresse og anden kontaktinfo for AV CENTER Aalborg. Du er velkommen til at besøge vores showroom for inspiration.</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</si>
  <si>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</si>
  <si>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landsdÃ¦kkende leverandÃ¸r af professionelt AV-udstyr. Vi omfatter alt lige fra salg og service til udlejning af AV-lÃ¸sninger.</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</si>
  <si>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Vi er Ã©n af Danmarks fÃ¸rende virksomheder indenfor salg, installation, service og udlejning af audiovisuelle (AV) installationer, og vi tilbyder dig en professionel og nÃ¦rvÃ¦rende kontakt med dine Ã¸nsker i fokus. Vi beskÃ¦ftiger mere end 180 medarbejdere, hvoraf mange har over 20 Ã¥rs erfaring med professionelt AV udstyr, og derfor kan vi med sikker hÃ¥nd lÃ¸fte enhver opgave pÃ¥ omrÃ¥det. Herunder finder du en rÃ¦kke omrÃ¥der, der pÃ¥ den ene eller den anden mÃ¥de omhandler eller relaterer sig til AV CENTER. LandsdÃ¦kkende salg, service, undervisning og udlejning af AV-udstyr og AV-lÃ¸sninger.</t>
  </si>
  <si>
    <t>A/V Equipment | Targeted Advertising | Online Marketing | Microsoft Azure | Outdoor Audio | Barco Clickshare | Hybrid Workplace | Cloud Management | Computer &amp; Tablets | Installation Services</t>
  </si>
  <si>
    <t>Computer Repair &amp; Service</t>
  </si>
  <si>
    <t>Rental, Repair &amp; Maintenance</t>
  </si>
  <si>
    <t>70 20 29 99</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</si>
  <si>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</si>
  <si>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</si>
  <si>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aalborg@avcenter.dk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</si>
  <si>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</si>
  <si>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https://www.avcenter.dk/kontakt/aalborg/</t>
  </si>
  <si>
    <t>https://facebook.com/avcenterdk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</si>
  <si>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</si>
  <si>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</si>
  <si>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2019-11-24T10:58:11.000Z</t>
  </si>
  <si>
    <t>aviat networks bangladesh ltd.</t>
  </si>
  <si>
    <t>0cc55696-0c02-11ec-a2e4-ff4cf03aa39d</t>
  </si>
  <si>
    <t>Aviat Networks Bangladesh</t>
  </si>
  <si>
    <t>BD</t>
  </si>
  <si>
    <t>Bangladesh</t>
  </si>
  <si>
    <t>Dhaka Division</t>
  </si>
  <si>
    <t>Dhaka</t>
  </si>
  <si>
    <t>Gulshan Badda Link Road</t>
  </si>
  <si>
    <t>US, United States, Florida, , , , , 27.7567667, -81.4639835</t>
  </si>
  <si>
    <t>Aviat Inc. is a company based in Florida that specializes in the sales, training, and management of turbine aircraft. The company offers advanced training programs and professional pilot services, with a particular focus on the Pilatus PC-12 aircraft.</t>
  </si>
  <si>
    <t>T Consulting Services | Turbine Aircraft Sales and Acquisition | Pilatus PC-12 Specialists</t>
  </si>
  <si>
    <t>Aviat Inc. is a flight training school based in Florida, United States.</t>
  </si>
  <si>
    <t>Flight Training</t>
  </si>
  <si>
    <t>Professional Schools</t>
  </si>
  <si>
    <t>8299 | 8249</t>
  </si>
  <si>
    <t>Schools and Educational Services, NEC (flying instruction) | Vocational Schools, NEC (aviation schools, excluding flying instruction)</t>
  </si>
  <si>
    <t>Aircraft Maintenance / Repair / Storage (incl Hangars) | Wholesale - Aircraft Supplies | Operations Consultants | Information Technology Consultants | Management Consultants</t>
  </si>
  <si>
    <t>8522 | 8549</t>
  </si>
  <si>
    <t>Technical and vocational secondary education | Other education n.e.c.</t>
  </si>
  <si>
    <t>85.53 | 85.59 | 85.32</t>
  </si>
  <si>
    <t>Driving school activities | Other education n.e.c. | Technical and vocational secondary education</t>
  </si>
  <si>
    <t>458001 | 510401 | 641403 | 641411 | 641401</t>
  </si>
  <si>
    <t>info@aviatinc.com</t>
  </si>
  <si>
    <t>https://www.aviatinc.com/</t>
  </si>
  <si>
    <t>web servers: ibm websphere application server | web servers: litespeed | javascript frameworks: mootools | miscellaneous: rss | ui frameworks: bootstrap | javascript libraries: spin.js | javascript libraries: uri.js | web servers: empathy platform | widgets: css | miscellaneous: http/3 | databases: mysql | issue trackers: really simple discovery | network devices: html | miscellaneous: jquery easing | web servers: schannel | network devices: html5 | cms: wordpress | blogs: wordpress | javascript libraries: jquery | widgets: javascript | font scripts: twitter emoji (twemoji) | programming languages: php | javascript libraries: jquery migrate</t>
  </si>
  <si>
    <t>2021-09-02T13:53:33.000Z</t>
  </si>
  <si>
    <t>Aviat Networks Japan LLC</t>
  </si>
  <si>
    <t>a3b73ba0-c4fc-11ec-b6cb-fdc55dfeae3a</t>
  </si>
  <si>
    <t>AT&amp;T Japan K.K.</t>
  </si>
  <si>
    <t>Aviat Networks | AVIAT NETWORKS Official Wireless Transmission Blog</t>
  </si>
  <si>
    <t>JP</t>
  </si>
  <si>
    <t>Japan</t>
  </si>
  <si>
    <t>Tokyo</t>
  </si>
  <si>
    <t>Chiyoda City</t>
  </si>
  <si>
    <t>100-0005</t>
  </si>
  <si>
    <t>Akasaka</t>
  </si>
  <si>
    <t>Aviat Networks is a wireless transmission company that focuses on sharing experiences and insights on trends, technology, and business in the wireless industry. They have an official wireless transmission blog that covers topics such as network evolution, software usability, and services. One of their partners, MIMP Connecting Solutions, uses Aviat Networks microwave solutions to reach remote customers beyond the NBN fiber footprint, providing an affordable method to extend the benefits of wireless broadband internet into the bush. The company also offers an integrated microwave-IP/MPLS solution that reduces latency, which is important to all network operators.</t>
  </si>
  <si>
    <t>Wireless Transmission | Software Usability</t>
  </si>
  <si>
    <t>While the main purpose of this blog is to talk about wireless transmission, we will also cover topics such as network evolution, software usability, services, and more.</t>
  </si>
  <si>
    <t>This leaves it to alternative access providers to fill the gap. One of these providers, Aviat partner MIMP Connecting Solutions , decided to use Aviat Networks microwave solutions to reach remote customers beyond the NBN fiber footprint. Microwave radio provides an affordable method to extend the benefits of the wireless broadband internet into the bush, according to Allan Aitchison, MIMP telecommunications expert. Simply known as the Aviat CTR platform, this next-generation microwave router delivers eight key benefits that make designing and implementing a modern backhaul network easier and more cost effective than ever. With all these robust benefits, the Aviat CTR platform can enable a new flat network architecture for VPN services for enterprise, government and mobile. When using IRU 600 EHP extra high power radios, microwave backhaul networks can use fewer large antennas and more small antennas. There's an economy of scale linked to filling a truck. Here at Aviat Networks we are focused on everything that is wireless transmission.</t>
  </si>
  <si>
    <t>Wireless Transmission | High Speed Internet | Microwave Radio | Cisco Routers | Microwave Links | Engine &amp; Transmission | Switching &amp; Routing | Converged Networks | Power Over Ethernet | Internet Services Provider</t>
  </si>
  <si>
    <t>4812 | 4899 | 4812</t>
  </si>
  <si>
    <t>Radiotelephone Communications (cellular carriers) | Communications Services, NEC (ship to shore broadcasting carriers) | Radiotelephone Communications (paging carriers)</t>
  </si>
  <si>
    <t>Wireless telecommunications activities</t>
  </si>
  <si>
    <t>03-5545-9700</t>
  </si>
  <si>
    <t>https://www.corp.att.com/jp/about/factsheet/</t>
  </si>
  <si>
    <t>https://www.facebook.com/ATTSmallBiz/</t>
  </si>
  <si>
    <t>https://twitter.com/ATTBusiness</t>
  </si>
  <si>
    <t>https://www.instagram.com/attbusiness/</t>
  </si>
  <si>
    <t>https://www.linkedin.com/company/at&amp;tsmallbusiness</t>
  </si>
  <si>
    <t>https://www.youtube.com/user/ATTEnterprise</t>
  </si>
  <si>
    <t>widgets: twitter | miscellaneous: rss | font scripts: google font api | security: hsts | reverse proxies: nginx | video players: youtube | databases: mysql | miscellaneous: gravatar | miscellaneous: open graph | paas: wordpress.com | cms: wordpress | blogs: wordpress | ssl/tls certificate authorities: sectigo | web servers: nginx | advertising: twitter ads | programming languages: php</t>
  </si>
  <si>
    <t>2022-04-26T03:41:15.000Z</t>
  </si>
  <si>
    <t>AWAN DISTRIBUTION FZC</t>
  </si>
  <si>
    <t>85513392-93e4-11eb-90d2-e3355a7e800b</t>
  </si>
  <si>
    <t>Awan Distribution</t>
  </si>
  <si>
    <t>ISDF | International Supply &amp; Distribution FZC</t>
  </si>
  <si>
    <t>AE, United Arab Emirates, Sharjah Emirate, Sharjah, , , , 25.3461498, 55.4210633</t>
  </si>
  <si>
    <t>awan distribution</t>
  </si>
  <si>
    <t>Plumbing Items | Audio Visual | Fitness Equipment | Value Distributor | Enterprise Computing | Personal Protective Equipment | Unified Communications Solutions | Channel Development Services | Implementation Services | Janitorial Supplies | Marketing Services | Automotive Spare Parts | Disposable Food Packaging | Consulting Services | Training and Support Services | Hardware And Tools</t>
  </si>
  <si>
    <t>International Supply &amp; Distribution is a well-established Distribution Company established in the year 2014 with the idea of procuring and distributing a wide range of products to customers across the globe.</t>
  </si>
  <si>
    <t>ISDF is a value added distributor (VAD) that provides tangible solutions across essential areas of enterprise computing: unified communications, unified collaboration, audio-visual, information &amp; Communication Technology spare parts. With over 11 years of cross-domain expertise since our formation at the turn of the millennium, we are passionate about creating value in all that we deliver. We empower our partners, vendors and clients with the next generation of technology that delivers results for them today. We add value at every stage from consulting, sales, marketing, channel development, implementation to support and training. We build true partnerships, so clients get the maximum value on their investments. We go the extra mile, so they don't need to. As regional governments turn to e-governance, ISDF's wide range of solutions empower governments.. Voice, data and wireless solutions from ISDF provide enhanced interactivity between guests' mobile devices.. From prognosis to diagnosis, ISDF has a range of innovative solutions for the healthcare industry that go.</t>
  </si>
  <si>
    <t>Personal Protective Equipment | Tools And Hardware | Automotive Spare Parts | Janitorial Supply | Plumbing Items | Government &amp; Defense | Oil And Gas | Health Care | Supply &amp; Distribution | Help &amp; Services</t>
  </si>
  <si>
    <t>Computer Stores</t>
  </si>
  <si>
    <t>3679 | 3663</t>
  </si>
  <si>
    <t>Electronic Components, NEC (antennas) | Radio and Television Broadcasting and Communications Equipment</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</si>
  <si>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</si>
  <si>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</si>
  <si>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</si>
  <si>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</si>
  <si>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(021) 32786679</t>
  </si>
  <si>
    <t>rogey.john@isdfuae.com</t>
  </si>
  <si>
    <t>info@awandistribution.com</t>
  </si>
  <si>
    <t>http://www.awandistribution.com/</t>
  </si>
  <si>
    <t>http://www.facebook.com/awandistributionpk</t>
  </si>
  <si>
    <t>https://citrix.com/</t>
  </si>
  <si>
    <t>https://www.linkedin.com/company/awandistributionpk</t>
  </si>
  <si>
    <t>javascript libraries: owl carousel | javascript libraries: aos | miscellaneous: popper | ui frameworks: bootstrap - 4.1.3 | font scripts: google font api | javascript libraries: jquery ui - 1.12.1 | javascript libraries: jquery - 3.3.1 | javascript libraries: fancybox - 3.5.6 | javascript libraries: jquery migrate - 3.0.1 | programming languages: php</t>
  </si>
  <si>
    <t>2020-11-10T01:20:31.000Z</t>
  </si>
  <si>
    <t>Axteq ApS</t>
  </si>
  <si>
    <t>79b2afc2-9ba7-11ec-81bb-a98020a63841</t>
  </si>
  <si>
    <t>Axteq</t>
  </si>
  <si>
    <t>Greve</t>
  </si>
  <si>
    <t>Nimbusvej</t>
  </si>
  <si>
    <t>1B</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</si>
  <si>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</si>
  <si>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</si>
  <si>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</si>
  <si>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fokusomrÃ¥de er primÃ¦rt mobilnetvÃ¦rk.</t>
  </si>
  <si>
    <t>Med styrke fra et erfarent team hjÃ¦lper Axteq virksomheder, operatÃ¸rer og systemleverandÃ¸rer med at projektere, bygge og implementere ICT-lÃ¸sninger og hjÃ¦lper dem i deres digitale transformation. Axteq henvender sig til virksomheder og organisationer, der stiller de stÃ¸rste krav til kundeservice og specialistviden. Gennem professionel rÃ¥dgivning, installation og service sikrer vi vores kunder det bedste fundament for optimale lÃ¸sninger. Vi udfÃ¸rer arbejder indenfor installation, drift og vedligehold.</t>
  </si>
  <si>
    <t>Maintenance Services | Telecommunications Services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</si>
  <si>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</si>
  <si>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</si>
  <si>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6110 | 6130</t>
  </si>
  <si>
    <t>Wired telecommunications activities | Satellite telecommunications activities</t>
  </si>
  <si>
    <t>61.1 | 61.3</t>
  </si>
  <si>
    <t>31 10 16 26</t>
  </si>
  <si>
    <t>job@axteq.dk</t>
  </si>
  <si>
    <t>http://www.axteq.dk/</t>
  </si>
  <si>
    <t>https://www.facebook.com/AxteqApS/</t>
  </si>
  <si>
    <t>https://www.linkedin.com/company/axteq-aps</t>
  </si>
  <si>
    <t>reverse proxies: nginx | web servers: nginx | web servers: openresty</t>
  </si>
  <si>
    <t>2021-10-01T18:32:04.000Z</t>
  </si>
  <si>
    <t>Az-Technology Sdn. Bhd.</t>
  </si>
  <si>
    <t>eea35cb5-1206-11ec-a59d-d5061f333c7e</t>
  </si>
  <si>
    <t>AZ-Technology Sdn Bhd</t>
  </si>
  <si>
    <t>AZ Technology | Az-Tech Malaysia | Aztech Group</t>
  </si>
  <si>
    <t>Petaling Jaya</t>
  </si>
  <si>
    <t>Jalan SS 7/2</t>
  </si>
  <si>
    <t>MY, Malaysia, Selangor, Petaling Jaya, 47301, Jalan SS 7/2, 97, 3.0951972999999997, 101.5920271</t>
  </si>
  <si>
    <t>AZ Technology has you covered with high-speed internet, entertainment upgrades, smart home devices, and cybersecurity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</si>
  <si>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</si>
  <si>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High Speed Internet | Smart Home Devices | Cyber Security Solution</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</si>
  <si>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</si>
  <si>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</si>
  <si>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</si>
  <si>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</si>
  <si>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</si>
  <si>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03-7804 8450</t>
  </si>
  <si>
    <t>techsupport@az-tech.my</t>
  </si>
  <si>
    <t>salest@az-tech.my</t>
  </si>
  <si>
    <t>http://www.az-tech.my/</t>
  </si>
  <si>
    <t>https://www.instagram.com/aztech126/%20</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</si>
  <si>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</si>
  <si>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2021-09-10T05:16:27.000Z</t>
  </si>
  <si>
    <t>BAE SYSTEMS APPLIED INTELLIGENCE (INTERNATIONAL) LIMITED</t>
  </si>
  <si>
    <t>3ea0da62-8ab7-11ec-ac1c-2de22eb6a532</t>
  </si>
  <si>
    <t>BAE Systems Digital Intelligence</t>
  </si>
  <si>
    <t>BAE Systems Applied Intelligence</t>
  </si>
  <si>
    <t>Guildford</t>
  </si>
  <si>
    <t>GU2 7RQ</t>
  </si>
  <si>
    <t>Priestley Road</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</si>
  <si>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</si>
  <si>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</si>
  <si>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</si>
  <si>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</si>
  <si>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</si>
  <si>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</si>
  <si>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Cybersecurity</t>
  </si>
  <si>
    <t>0330 158 5268</t>
  </si>
  <si>
    <t>https://www.baesystems.com/en/digital/home</t>
  </si>
  <si>
    <t>2022-02-04T15:10:48.000Z</t>
  </si>
  <si>
    <t>BASICO P/S</t>
  </si>
  <si>
    <t>bb360bc2-93e4-11eb-b89f-536884b3e7dd</t>
  </si>
  <si>
    <t>Basico P/S</t>
  </si>
  <si>
    <t>Basico</t>
  </si>
  <si>
    <t>Hellerup</t>
  </si>
  <si>
    <t>Philip Heymans Alle</t>
  </si>
  <si>
    <t>DK, Denmark, Capital Region of Denmark, Gentofte Municipality, 2900, Philip Heymans Alle, 3, 55.724029, 12.580224</t>
  </si>
  <si>
    <t>Basico er konsulenthuset, som hjælper supportfunktionerne til succes og vedvarende forandringer. Hos os får du rådgivning, interimsløsninger og projektassistance. Læs mere om os her.</t>
  </si>
  <si>
    <t>Project Assistance | Digitalization of Month-end Closing | Legal Services | Legal Consultancy | Process Management | Real Estate And Transactions | Accounting Consultancy | Project Management | ERP System Upgrades | Interim Solutions | Relocation Projects | CSR Consultancy in Waste Sorting | Construction | Facility Management Consulting | Human Capital Consulting | Business Support Functions | Process Automation | IT Systems Development</t>
  </si>
  <si>
    <t>We specialize in four areas, each contributing to the path of development and success for your company. Learn more here.</t>
  </si>
  <si>
    <t>I Basico er vi en smeltedigel af fagligheder â€“ fastansatte sÃ¥vel som associates. Du finder: Ã¸konomikonsulenter med interesse for IT; regnskabskonsulenter, som kender finansfunktionen som deres egen bukselomme; legal- og facility konsulenter, der kan omsÃ¦tte lovsamlingen og affaldssortering til praksis; og people &amp; payroll-konsulenter, som er 100-metermestre i matchmaking og lÃ¸nadministration. Og sÃ¥ er der vores egen supportfunktion, der knokler bag linjerne for at fÃ¥ maskinrummet til at kÃ¸re. Det ligger i vores DNA at gÃ¥ skridtet videre end blot leverancen af supportaktiviteter â€“ vi hjÃ¦lper og inspirerer til forandring og udvikling, udfordrer og skaber perspektiv. Det er vores vision. For vi mener, at supportfunktionernes rolle er langt vigtigere og rÃ¦kker langt udover blot support. Det gÃ¸r vi helt konkret ved at understÃ¸tte supportfunktionerne i deres udvikling mod at tage rollen som Business Partner med stÃ¦rke menneskelige kompetencer, faglig erfaring og forretningsindsigt. Og ikke mindst, hvordan de gÃ¥r fra intention til handling. Det er vores mission, hver dag vi gÃ¥r pÃ¥ arbejde.</t>
  </si>
  <si>
    <t>Legalization Services | Payrolling Services | Cfo Service | IT Services | Data &amp; Protection | Facility Management Consulting | Finance &amp; Business | Risk Assessment | Financial Compliance | Erp Consultancy</t>
  </si>
  <si>
    <t>70 27 03 71</t>
  </si>
  <si>
    <t>+4570270371 | +4553511125 | +4525102233 | +4535852190 | +4530917040 | +4525102217</t>
  </si>
  <si>
    <t>info@basico.dk</t>
  </si>
  <si>
    <t>ghlarsen@basico.dk | mbille@basico.dk | tvissing@basico.dk</t>
  </si>
  <si>
    <t>http://www.basico.dk/</t>
  </si>
  <si>
    <t>https://www.facebook.com/basicops/</t>
  </si>
  <si>
    <t>https://twitter.com/basicointerim</t>
  </si>
  <si>
    <t>https://www.instagram.com/basico_dk/</t>
  </si>
  <si>
    <t>https://www.linkedin.com/company/basico-ps</t>
  </si>
  <si>
    <t>cms: umbraco | web servers: ibm websphere application server | javascript libraries: lodash | cookie compliance: cookie control | javascript frameworks: requirejs | web servers: .net framework | cdn: google cloud cdn | miscellaneous: rss | ui frameworks: bootstrap | cdn: unpkg | paas: azure | web servers: empathy platform | javascript frameworks: alpine.js | performance: priority hints | web frameworks: bootstrap | miscellaneous: webpack | issue trackers: sentry | widgets: css | web frameworks: microsoft asp.net | javascript frameworks: react | miscellaneous: pwa | ecommerce: wix ecommerce | javascript frameworks: lo-dash | website builders: wix | font scripts: google font api | security: hsts | cms: wix | miscellaneous: http/3 | video players: youtube | miscellaneous: module federation | javascript frameworks: moment.js | advertising: doubleclick floodlight | javascript libraries: zepto | cms: site.com | font scripts: adobe fonts | font scripts: typekit | cdn: google hosted libraries | miscellaneous: open graph | network devices: html | font scripts: font awesome | javascript frameworks: zepto | web servers: schannel | operating systems: windows server | seo tool: facebook friendly | javascript frameworks: webfont loader | network devices: html5 | video players: vimeo | miscellaneous: facebook | web servers: iis | tag managers: google tag manager | miscellaneous: linkedin | analytics: google campaign manager 360 | cookie compliance: cookiebot | javascript libraries: jquery | widgets: javascript | ssl/tls certificate authorities: sectigo | seo tool: twitter friendly | analytics: leadfeeder | cdn: cloudflare | iaas: google cloud | blogs: wix | javascript libraries: polyfill | javascript libraries: moment.js | miscellaneous: instagram | javascript frameworks: jquery | analytics: google analytics</t>
  </si>
  <si>
    <t>2020-08-21T06:59:44.000Z</t>
  </si>
  <si>
    <t>BB CONNECT CO.,LTD.</t>
  </si>
  <si>
    <t>d57e2265-193a-11f0-abd2-b1121b4598c4</t>
  </si>
  <si>
    <t>BT Connect Co.,Ltd</t>
  </si>
  <si>
    <t>Bb connect</t>
  </si>
  <si>
    <t>Thanon Pracha Ruam Chai</t>
  </si>
  <si>
    <t>ZA, South Africa, , , , , , -28.8166236, 24.991639</t>
  </si>
  <si>
    <t>จำหน่ายเครื่องสำรองไฟฟ้า (UPS) แบตเตอรี่ และเครื่องปรับแรงดันไฟฟ้า ทุกขนาด พร้อมติดตั้งทั่วประเทศ รับประกันนาน ดูแลระบบสำรองไฟครอบคลุมทุกอุตสาหกรรม</t>
  </si>
  <si>
    <t>Our expert digital marketing solutions are designed to drive real results for your business.</t>
  </si>
  <si>
    <t>Turn leads into loyal customers with automated messaging that boosts engagement and sales. Get a sleek, high-performing website that converts visitors into paying customers. We don't just run ads ,we create profit-driven strategies that help businesses scale fast. Whether it's generating leads, increasing sales, or automating your marketing, we provide the solutions you need to grow. Why Partner With Us? â€¢ Construction-Specific Expertise: We know what works for builders, roofers, and contractors. â€¢ Data-Driven Results: We track every lead, click, and conversion to ensure your marketing delivers ROl. â€¢ Local Market Knowledge: We understand the unique needs of businesses in your local surroundings. Our expert digital marketing solutions are designed to drive real results for your business. Let's get startedâ€”fill out the form below, and we'll reach out to discuss how we can scale your success. More Leads &amp; Conversions Proven Marketing Strategies Tailored Solutions for Your Business.</t>
  </si>
  <si>
    <t>02 374 5460</t>
  </si>
  <si>
    <t>connectbbconnectza@gmail.com</t>
  </si>
  <si>
    <t>info@btconnect.co.th</t>
  </si>
  <si>
    <t>http://www.btconnect.co.th/</t>
  </si>
  <si>
    <t>https://www.facebook.com/share/15ezddLVtE/?mibextid=wwXIfr</t>
  </si>
  <si>
    <t>2025-03-04T19:00:42.000Z</t>
  </si>
  <si>
    <t>Bb Technology Co Ltd</t>
  </si>
  <si>
    <t>6e4bcefd-115f-11ec-bd3c-8d2e345be4e0</t>
  </si>
  <si>
    <t>บริษัท บีบี เทคโนโลยี จำกัด</t>
  </si>
  <si>
    <t>BBtec | BBTEC UDON | BBTEC Center Khon Kaen Branch KKN | BBTEC Center Lampang Sub-Branch LPG</t>
  </si>
  <si>
    <t>Thanon Vibhavadi Rangsit</t>
  </si>
  <si>
    <t>TH, Thailand, Bangkok, Chatuchak, 10900, Kamphaeng Phet 1 Road, 499, 13.8116839, 100.5589324 | TH, Thailand, Udon Thani Province, Udon Thani, 41000, Phithaksarit Road, , 17.418831900000004, 102.795576 | TH, Thailand, Bangkok, Chatuchak, 10900, Vibhavadi Rangsit Road, 499, 13.8511434, 100.56177059999999 | TH, Thailand, Nakhon Sawan Province, Nakhon Sawan, 60000, Phahon Yothin Road, 282, 15.709607399999998, 100.11717519999999 | TH, Thailand, Chiang Rai Province, Chiang Rai, 57000, Topaiboon Road, 404, 19.9073509, 99.8291024 | TH, Thailand, Lampang Province, Mueang Pan, 50210, Kaewnawarat Road, 25/46, 18.2843908, 99.4780419 | TH, Thailand, Khon Kaen Province, Khon Kaen, 40000, Soi Benja, 224, 16.4336406, 102.86256429999999 | TH, Thailand, Phra Nakhon Si Ayutthaya Province, Uthai District, , , , 14.348572, 100.61224419999999</t>
  </si>
  <si>
    <t>BBTEC, legally known as BB Technology Co. Ltd., is a company that provides comprehensive telecommunication services. These services include consulting, surveying, designing, and system analysis for the implementation, installation, and maintenance of fiber-optic network exchanges, telecommunication towers, and underground cables. BBTEC operates with a highly-experienced engineering team and a nationwide 24-hour service center network, aiming to drive business seamlessly in the digital era.</t>
  </si>
  <si>
    <t>Telecommunications Services | Installation and Maintenance Services | Network Exchange | Telecommunication Towers Installations | Surveying Services | Installation and Maintenance of Underground Cables | Electrical Appliance Retailer | Towers for Contracting | Fiber-optic Network Exchange Implementation/maintenance | Communication Systems Installation | Electric Power Supply | 24-hour Service Center | Telecommunications Installation Works | System Analysis Services | Design Services | Highly-qualified Engineers for Digital Solutions | Consulting Services</t>
  </si>
  <si>
    <t>BBTEC realize the benefits of technology that impact businesses and our lifestyle, especially cloud and IoT solutions.</t>
  </si>
  <si>
    <t>Fiber Optic Networks | Quality Management System | Iso 9001 | Project Management And Software | Smart Cities | IoT Solutions</t>
  </si>
  <si>
    <t>Power and Communication Line and Related Structures Construction</t>
  </si>
  <si>
    <t>02 953 1111</t>
  </si>
  <si>
    <t>+6620165444 | +6629531111 | +6642325150</t>
  </si>
  <si>
    <t>info@benchachinda.co.th</t>
  </si>
  <si>
    <t>http://www.bbtec.co.th/</t>
  </si>
  <si>
    <t>th</t>
  </si>
  <si>
    <t>https://www.facebook.com/BenchachindaHolding/</t>
  </si>
  <si>
    <t>web servers: .net framework | web servers: imperva securesphere | web servers: azure app service | widgets: css | web frameworks: microsoft asp.net | security: hsts | network devices: html | security: imperva | web servers: schannel | cdn: imperva | operating systems: windows server | network devices: html5 | web servers: apache http server | web servers: iis | widgets: javascript | operating systems: ubuntu | programming languages: php</t>
  </si>
  <si>
    <t>2021-09-09T09:46:25.000Z</t>
  </si>
  <si>
    <t>BCD TRAVEL ASIA PACIFIC PTE. LTD.</t>
  </si>
  <si>
    <t>19b7bf64-6a16-11ec-b931-3729d84df188</t>
  </si>
  <si>
    <t>BCD Travel</t>
  </si>
  <si>
    <t>BCD Engineering Pte Ltd.</t>
  </si>
  <si>
    <t>BCD Engineering</t>
  </si>
  <si>
    <t>McCallum Street</t>
  </si>
  <si>
    <t>SG, Singapore, Central, Singapore, 567761, Ang Mo Kio Industrial Park 2A, 20, 1.3770745, 103.8706352</t>
  </si>
  <si>
    <t>BCD Engineering Pte Ltd. is a company based in Singapore that specializes in the design and installation of air conditioning and mechanical ventilation systems for both residential and commercial applications. The company offers a comprehensive range of services including air conditioning maintenance, installation, and servicing, as well as mechanical ventilation projects. is known for its in-house design and review processes, which aim to provide clients with a complete design-construct package, thereby reducing costs and construction time while ensuring high-quality projects that meet client requirements.</t>
  </si>
  <si>
    <t>Complete Design Package | Mechanical Ventilation Systems Design | In-house Design | ACMV Contractor | Procurement and Field Operation | Air Conditioning Installation and Maintenance | Plumbing, Heating, and Air-conditioning Contractors | Construction Knowledge Integration | Planning of Air Conditioning Systems | Maintenance Services</t>
  </si>
  <si>
    <t>BCD Engineering Pte Ltd undertakes Air Conditioning &amp; Mechanical Ventilation projects ranging from residential to commercial applications.</t>
  </si>
  <si>
    <t>Air conditioning projects ranging from resiedential to commercial applications. The Company's in house design and review carried out by experienced design teams can offer clients a complete design-construct package, resulting in saving of both cost and construction time, and assuring a high quality project that meets client's requirement as well as achieving overall project objective. Our ability to integrate construction knowledge and our experience in Air Conditioning planning, design, procurement and field operation provide the opportunity to optimise and improve constructability, making the project technically and economically feasible, and increasing the company competitiveness in the ACMV industry. We have evolved into our current position as one of the specialist contractor in the design and installation of Air Conditioning &amp; Mechanical Ventilation for private residential and commercial applications.</t>
  </si>
  <si>
    <t>Aircon Installation | Aircon Servicing | Mechanical Ventilation | Air Conditioning | Air-conditioning Systems | Duct System</t>
  </si>
  <si>
    <t>Heating &amp; Air Conditioning</t>
  </si>
  <si>
    <t>Heating / Air Conditioning Equipment Installation / Service - Commercial | Wholesale - Hardware / Plumbing Supplies / Electrical Supplies | Heating / Air Conditioning Equipment Installation / Service - Residential | Engineers | Architects</t>
  </si>
  <si>
    <t>171502 | 509201 | 171501 | 891601 | 891501</t>
  </si>
  <si>
    <t>6222 4222</t>
  </si>
  <si>
    <t>+6564812808 | +6564822808 | +6590928605</t>
  </si>
  <si>
    <t>aircon@bcdglobal.com.sg</t>
  </si>
  <si>
    <t>https://www.bcdtravel.com/sg/placemarks/singapore/?utm_source=googlemaps&amp;utm_medium=organic&amp;utm_campaign=googlemaps&amp;utm_content=singapore</t>
  </si>
  <si>
    <t>https://www.facebook.com/BCD-Engineering-Pte-Ltd-100068641654747/</t>
  </si>
  <si>
    <t>web servers: ibm websphere application server | javascript libraries: lodash | web servers: empathy platform | performance: priority hints | security: classic asp | issue trackers: sentry | page builders: webflow | widgets: css | javascript frameworks: react | ecommerce: wix ecommerce | appointment scheduling: sirvoy | font scripts: google font api | cms: wix | javascript libraries: modernizr | cms: site.com | cdn: google hosted libraries | miscellaneous: open graph | network devices: html | network devices: html5 | web servers: apache http server | javascript libraries: jquery | widgets: javascript | programming languages: php | blogs: wix | analytics: google analytics</t>
  </si>
  <si>
    <t>2021-12-29T18:22:23.000Z</t>
  </si>
  <si>
    <t>BCD N.V.</t>
  </si>
  <si>
    <t>05804ba6-93e5-11eb-8859-29e7c34dee35</t>
  </si>
  <si>
    <t>BCD Travel LLC. | BCD Travel Europe Holding B.V. | BCD Travel Services B.V. | Business Travel GmbH</t>
  </si>
  <si>
    <t>BCD</t>
  </si>
  <si>
    <t>NL</t>
  </si>
  <si>
    <t>Netherlands</t>
  </si>
  <si>
    <t>Utrecht</t>
  </si>
  <si>
    <t>3526 KS</t>
  </si>
  <si>
    <t>Europalaan</t>
  </si>
  <si>
    <t>NL, Netherlands, Utrecht, Utrecht, 3526 KS, Europalaan, 300, 52.0636661, 5.1079397 | ES, Spain, Catalonia, Barcelona, 08038, Passeig de la Zona Franca, 105, 41.357101400000005, 2.1407059999999998 | BR, Brazil, SÃ£o Paulo, SÃ£o Paulo, 01156-060, Rua Julio Gonzales, 132, -23.526055300000003, -46.671063 | SG, Singapore, Central, Singapore, 069046, McCallum Street, 20, 1.279305, 103.848025 | RO, Romania, Bucharest, Bucharest, 010991, Strada Sevastopol, 13-17, 44.449944099999996, 26.0851553 | MX, Mexico, Mexico City, Mexico City, 11550, Calle ArquÃ­medes, 130, 19.4339451, -99.19121129999999 | CO, Colombia, Bogota\, Capital District, Bogota, 111111, Templo MormÃ³n de BogotÃ¡, 93-08, 4.677266599999999, -74.0525013 | JO, Jordan, Amman, Wadi Essier Sub-District, 11194, , , 31.94457402222222, 35.868784866666665 | LT, Lithuania, Vilnius County, Vilnius, LT-01111, Gediminas Avenue, 64, 54.69002965, 25.261339153951223 | UA, Ukraine, Kyiv, Kyiv, 04071, Bratska Street, 7, 50.4622358, 30.52292093015837</t>
  </si>
  <si>
    <t>BCD Travel is a global business travel management company based in Utrecht, Netherlands. The company offers a range of solutions for corporate travel programs, including meetings and events, travel consulting, and virtual travel management tools. BCD Travel specializes in serving various industries such as media and entertainment, aerospace and defense, life sciences, energy, resources, and marine. The company is recognized for its innovative travel management solutions and has a global network spanning over 100 countries.</t>
  </si>
  <si>
    <t>Travel Agency Services | Tour Operator Services | Wheelchair Accessible Entrance | Wheelchair Accessible Parking Lot | 24/7 Risk Management Advice | Tour Operator | Digital-based Travel Management Solution | T&amp;E Spend Management | Program Adoption | Thought-leader Analysis | Digital Travel Experiences | Travel Services | BCD Invite | Wheelchair Parking | Personalized Travel Experiences | Talent Attraction and Retention | API Tool Provider | Industry Insights | Smart Travel Solution for Corporations | Cost Savings Services | Wheelchair Accessible Travel Specialist Services | Meetings &amp; Events | Travel Solution | Onsite Passport Photos | Meeting and Event Organization | BCD Developer Hub | Guadalajara, Mexico | Dev Tools | Cost &amp; Savings | Developer Hub</t>
  </si>
  <si>
    <t>BCD's leading meetings and events management and global consultancy services complete our comprehensive suite of solutions for all aspects of corporate travel.</t>
  </si>
  <si>
    <t>We simplify the conversation around managed business travel, showing you how to combine capabilities and services to deliver or improve on your program goals. Wherever you are today, there's a solution to help you get where you want to go tomorrow. Contact us if you have any questions, or if you'd like to know more about our solutions for business travel management. We're honored that our work, members and company are repeatedly recognized by the travel industry and organizations. It's the largest exhibition and conference for the European corporate travel community. Baars returns with a vision of building on the company's success. We explore their interest in the employers' support helping to alleviate stress and assess what's currently on offer. With travel risks and requirements seemingly changing by the minute, real-time information is a must-have for confident decision-making. That's why we've created the COVID-19 Information Hubâ€”a newly launched resource to help travelers and travel managers make smart, confident decisions in a constantly changing business travel landscape.</t>
  </si>
  <si>
    <t>Business Travellers | Business Travel Management | Travel Manager | Travel Management Companies | Corporate Travel Management | Targeted Advertising | Corporate Travel Services | Corporate Travels | Music Tours | Meetings &amp; Events</t>
  </si>
  <si>
    <t>Travel Agencies</t>
  </si>
  <si>
    <t>Other Consumer Services</t>
  </si>
  <si>
    <t>Travel Agencies | Meeting and event planner | Business Services - Not Otherwise Classified | Ticket Agencies | Resort Properties</t>
  </si>
  <si>
    <t>Travel agency activities</t>
  </si>
  <si>
    <t>729801 | 740803 | 740801 | 797001 | 704301</t>
  </si>
  <si>
    <t>020 204 7100</t>
  </si>
  <si>
    <t>+390871803810 | +59122792828 | +243818555016 | +35929433011 | +242069272765 | +358942723200 | +351218366205 | +37052490900 | +3614299720 | +420227054009 | +2348168416321 | +61892817800 | +15148667592 | +96265605706 | +15098922101 | +529933103801 | +25821487665 | +38516176127 | +33180986242 | +38612342160 | +421232111560 | +4570715200 | +40213001215 | +37052490946 | +26347984101 | +390236104000 | +254202203000 | +351213175900 | +2348147322181 | +16417921011 | +37167365320 | +442032387599 | +35315681301 | +16784415200 | +237222201385 | +46850546060 | +528442420190 | +302130181000 | +442032387270 | +25722222321 | +27112744000 | +20222416779 | +420224500000 | +233302239377 | +22245240422 | +4721537740 | +31202047100 | +13147194400</t>
  </si>
  <si>
    <t>social.media@bcdtravel.com</t>
  </si>
  <si>
    <t>social.media@bcdtravel.com | sales.travel@bcdtravel.com.qa | travel.09@bcdtravel.com.qa | privacy@bcdtravel.com</t>
  </si>
  <si>
    <t>http://www.bcdtravel.com/placemarks/the-netherlands/?utm_source=googlemaps&amp;utm_medium=organic&amp;utm_campaign=googlemaps&amp;utm_content=utrecht</t>
  </si>
  <si>
    <t>https://www.facebook.com/bcdtravel/</t>
  </si>
  <si>
    <t>https://twitter.com/BCDTravel</t>
  </si>
  <si>
    <t>https://www.instagram.com/bcdtravel/</t>
  </si>
  <si>
    <t>https://www.linkedin.com/company/bcd-travel</t>
  </si>
  <si>
    <t>https://www.youtube.com/@bcd-travel</t>
  </si>
  <si>
    <t>retargeting: wpml | javascript libraries: lodash | analytics: matomo analytics | wordpress plugins: wpbakery | javascript libraries: core-js | javascript libraries: jquery - 3.7.1 | web servers: imperva securesphere | javascript libraries: core-js - 3.32.0 | cdn: hostinger cdn | ui frameworks: bootstrap - 3.3.7 | miscellaneous: rss | ui frameworks: bootstrap | miscellaneous: azure edge network | wordpress plugins: perfmatters | seo tool: wpml | wordpress plugins: gravity forms | web servers: empathy platform | performance: priority hints | javascript libraries: swiper | miscellaneous: webpack | javascript libraries: slick | ssl/tls certificate authorities: digicert | wordpress plugins: elementor | widgets: css | paas: wp engine | web frameworks: microsoft asp.net | miscellaneous: twitter emoji (twemoji) | javascript frameworks: fingerprintjs | miscellaneous: pwa | javascript frameworks: jquery mousewheel | marketing automation: salesforce marketing cloud | miscellaneous: onetrust | font scripts: google font api | security: cloudflare turnstile | security: hsts | blogging platforms: wordpress | lead generation: salesforce | form builders: gravity forms | crm: salesforce | miscellaneous: http/3 | video players: youtube | miscellaneous: optanon | databases: mysql | miscellaneous: module federation | reverse proxy: nginx | javascript libraries: jquery ui - 1.13.3 | hosting: wordpress multisite | page builders: wpbakery | cms: site.com | cdn: google hosted libraries | wordpress themes: generatepress | miscellaneous: open graph | page builders: elementor - 3.24.0 | cookie compliance: onetrust | network devices: html | miscellaneous: jquery easing | javascript libraries: jquery ui | live chat: liveagent | javascript frameworks: jquery migrate | security: imperva | web servers: schannel | translation: wpml | analytics: ahrefs | cdn: imperva | seo tool: facebook friendly | javascript libraries: lightbox | network devices: html5 | web servers: apache http server | miscellaneous: facebook | javascript libraries: imagesloaded | seo: ahrefs | miscellaneous: gravity forms | lead generation: gravity forms | cms: wordpress | hosting: wp engine | cdn: bunny | blogs: wordpress | javascript libraries: jquery - 3.2.1 | tag managers: google tag manager | miscellaneous: linkedin | javascript frameworks: mustache | website builders: salesforce marketing cloud | javascript libraries: jquery | wordpress plugins: the seo framework | wordpress plugins: wpml | widgets: javascript | form builders: contact form 7 | page builders: apexpages | seo tool: twitter friendly | web servers: nginx | cdn: cloudflare | wordpress themes: generatepress - 3.5.1 | programming languages: php | wordpress plugins: elementor - 3.24.0 | seo: the seo framework | javascript libraries: jquery migrate | javascript libraries: fingerprintjs | page builders: elementor | wordpress plugins: contact form 7 | miscellaneous: instagram | javascript frameworks: jquery | performance: perfmatters | analytics: google analytics | programming languages: java | font scripts: bunny fonts</t>
  </si>
  <si>
    <t>2019-11-24T10:58:09.000Z</t>
  </si>
  <si>
    <t>BEAT A/S</t>
  </si>
  <si>
    <t>c62a45a0-6cf1-11ec-bd63-974170f7dbf6</t>
  </si>
  <si>
    <t>Beat A/S</t>
  </si>
  <si>
    <t>Beat A/S.</t>
  </si>
  <si>
    <t>Beat</t>
  </si>
  <si>
    <t>Klingseyvej</t>
  </si>
  <si>
    <t>15B</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</si>
  <si>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</si>
  <si>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cafÃ©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</si>
  <si>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</si>
  <si>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t>
  </si>
  <si>
    <t>Med vores lÃ¸sning kan du spille musik med god samvittighed for dine kunder og gÃ¦ster. Beat er markedets fÃ¸rende leverandÃ¸r af professionelle lÃ¸sninger inden for Business Music og Digital Signage â€” vi er eksperter i at skabe den helt rigtige atmosfÃ¦re. Vores lÃ¸sninger bruges i de stÃ¸rste danske detailkÃ¦der med over 5000 butikker i hele verden, og vi har leveret musik til bar- og cafÃ©livet i Danmark gennem de sidste 20 Ã¥r. Bar, CafÃ© eller Restaurant â€“ VÃ¦lg blandt millioner af sange direkte pÃ¥ stedet eller planlÃ¦g spillelister nÃ¸je fra hjemmet eller kontoret. Vores musikeksperter har mange Ã¥rs erfaring i at udvÃ¦lge den rigtige musik. Beat har skabt musikprofiler til nogle af de stÃ¸rste detailkÃ¦der med butikker i hele verden â€” Vi kan hjÃ¦lpe dit brand til at fÃ¥ den helt rigtige lyd, der inkorporerer jeres brands DNA. Vi har 20 Ã¥rs erfaring i at rÃ¥dgive og finde den helt rigtige lÃ¸sning for vores kunder i hele verden. Beat er pro-leverandÃ¸r af blandt andet Bose, Samsung, LG og Bosch. Vi producerer egen hardware i form af lydanlÃ¦g og medieafspillere.</t>
  </si>
  <si>
    <t>Digital Signage | Business Music | Brand And Identity | Live Musicians</t>
  </si>
  <si>
    <t>Art &amp; Music Publishers</t>
  </si>
  <si>
    <t>Business Services, NEC (recording studios)</t>
  </si>
  <si>
    <t>Sound recording and music publishing activities</t>
  </si>
  <si>
    <t>89 88 37 00</t>
  </si>
  <si>
    <t>+4525874692 | +4589883700</t>
  </si>
  <si>
    <t>info@beat.dk</t>
  </si>
  <si>
    <t>info@beat.dk | support@beat.dk</t>
  </si>
  <si>
    <t>b2bkundeservice@beat.dk</t>
  </si>
  <si>
    <t>http://www.beat.dk/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</si>
  <si>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</si>
  <si>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</si>
  <si>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Beijing Dynamic Power Co., Ltd</t>
  </si>
  <si>
    <t>2be6c530-93e5-11eb-8859-29e7c34dee35</t>
  </si>
  <si>
    <t>Beijing Electric Power Equipment General Factory</t>
  </si>
  <si>
    <t>DYNAMIC POWER CO. LTD.</t>
  </si>
  <si>
    <t>Beijing Dynamic Power Co. Ltd Myanmar Branch</t>
  </si>
  <si>
    <t>Bei Jing Shi</t>
  </si>
  <si>
    <t>Beijing</t>
  </si>
  <si>
    <t>Kai Xuan Da Jie</t>
  </si>
  <si>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</si>
  <si>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mÂ² smart factory, and its extensive research and development capabilities, with four R&amp;D centers and 231 R&amp;D engineers. The company has also established itself as a key supplier to the North American and global markets, particularly in the telecommunications sector.</t>
  </si>
  <si>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</si>
  <si>
    <t>Manufacture Base in AnhuiNew 110, 000ãŽ¡ smart factory, 216, 000ãŽ¡ in total, Managed by Cisco platform, Automatic Production, Intelligent Management.</t>
  </si>
  <si>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â€¢ China first public listed company in power supply industry (code: 600405). â€¢ Registered capital: US$ 88.3 million. â€¢ Headquartered in Beijing, China, Employees: 2000+. â€¢ 8 subsidiary companies, 30 service &amp; support centers in China. â€¢ Global offices in South America, Europe, Asia abroad, include one India company.</t>
  </si>
  <si>
    <t>Power Supplies | Industrial And Commercial | Ev Charging | Dc Dc Converters | Energy Storage | Power System | Telecom Operators | Telecom Power | Power Electronics | Electric Vehicle</t>
  </si>
  <si>
    <t>3699 | 3629</t>
  </si>
  <si>
    <t>Electrical Machinery, Equipment, and Supplies, NEC (other electrical industrial apparatus) | Electrical Industrial Apparatus, NEC</t>
  </si>
  <si>
    <t>Manufacture of other electrical equipment</t>
  </si>
  <si>
    <t>+861063704818 | +861083682266 | +862019100911 | +959790638496</t>
  </si>
  <si>
    <t>enquiry@dpc.com.cn</t>
  </si>
  <si>
    <t>deepak@dpc.com.cn</t>
  </si>
  <si>
    <t>http://www.dpc.com.cn/</t>
  </si>
  <si>
    <t>https://www.facebook.com/DPCMyanmar/</t>
  </si>
  <si>
    <t>http://www.linkedin.com/company/dpc_2</t>
  </si>
  <si>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</si>
  <si>
    <t>2019-11-24T03:00:51.000Z</t>
  </si>
  <si>
    <t>BIGID INC.</t>
  </si>
  <si>
    <t>db47e29b-93e4-11eb-8ad6-7326edce8d21</t>
  </si>
  <si>
    <t>BigID Inc</t>
  </si>
  <si>
    <t>BigID Trust | BigID Inc. | BigID Schweiz GmbH</t>
  </si>
  <si>
    <t>BigID</t>
  </si>
  <si>
    <t>New York</t>
  </si>
  <si>
    <t>6th Avenue</t>
  </si>
  <si>
    <t>US, United States, New York, New York, 10011, 6th Avenue, 641, 40.740998, -73.9944619 | US, United States, New York, New York, 10012, West Broadway, 379, 40.7237069, -74.0024706 | US, United States, New York, Mamaroneck, 10543, Pirates Cove, 1, 40.93081585, -73.72905809795854</t>
  </si>
  <si>
    <t>Know your enterprise data and take action for data-centric security, privacy, compliance, AI risk, and governance.</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</si>
  <si>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</si>
  <si>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</si>
  <si>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</si>
  <si>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</si>
  <si>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Custom Computer Programming Services</t>
  </si>
  <si>
    <t>Data Solutions</t>
  </si>
  <si>
    <t>Technology Customer Support Services (For others) | Software Implementation Integration | Management Consultants | Software Developers (Pre-Packaged) | Software Developers (Custom)</t>
  </si>
  <si>
    <t>740809 | 740810 | 641401 | 891801 | 891802</t>
  </si>
  <si>
    <t>(917) 765-5727</t>
  </si>
  <si>
    <t>+19177655727 | +18778779392 | +18005529963 | +18608085440 | +18004816896</t>
  </si>
  <si>
    <t>info@bigid.com</t>
  </si>
  <si>
    <t>privacy@bigid.com | support@bigid.com | press@bigid.com | partners@bigid.com | jobs@bigid.com | info@bigid.com | websupport@bigid.com | legal@bigid.com</t>
  </si>
  <si>
    <t>http://bigid.com/</t>
  </si>
  <si>
    <t>https://www.facebook.com/bigidsecure</t>
  </si>
  <si>
    <t>https://twitter.com/bigidsecure</t>
  </si>
  <si>
    <t>https://www.linkedin.com/company/bigid</t>
  </si>
  <si>
    <t>https://www.youtube.com/@bigidnext/videos</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</si>
  <si>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</si>
  <si>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2019-11-24T00:45:02.000Z</t>
  </si>
  <si>
    <t>Binkies Holding B.V.</t>
  </si>
  <si>
    <t>8bd572a1-01b3-11ef-a950-57d6400676e3</t>
  </si>
  <si>
    <t>Binkies Den Haag</t>
  </si>
  <si>
    <t>Binkies | Binkies Den Haag | Binkies diner starts</t>
  </si>
  <si>
    <t>Zuid-Holland</t>
  </si>
  <si>
    <t>Den Haag</t>
  </si>
  <si>
    <t>2585 AX</t>
  </si>
  <si>
    <t>Javastraat</t>
  </si>
  <si>
    <t>NL, Netherlands, South Holland, The Hague, 2585 AX, Javastraat, 142, 52.089601099999996, 4.3111809</t>
  </si>
  <si>
    <t>Binkies is een heerlijke plek waar je kan ontspannen, lunchen of borrelen en waar de kinderen zich geen moment hoeven te vervelen. Tot snel!</t>
  </si>
  <si>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</si>
  <si>
    <t>Binkies is een heerlijke plek waar je kan ontspannen, lunchen of borrelen en waar de kinderen zich geen moment hoeven te vervelen. Tot snel !</t>
  </si>
  <si>
    <t>Bij Binkies organiseren we de leukste feestjes. Binkies is een heerlijke plek waar je kan ontspannen, lunchen of borrelen en waar de kinderen zich geen moment hoeven te vervelen.</t>
  </si>
  <si>
    <t>Eat &amp; Drinks | Dance &amp; Music | Large Parties</t>
  </si>
  <si>
    <t>Pubs &amp; Bars</t>
  </si>
  <si>
    <t>Leisure Facilities</t>
  </si>
  <si>
    <t>SV-LF</t>
  </si>
  <si>
    <t>5812 | 5461</t>
  </si>
  <si>
    <t>Eating Places (snack and nonalcoholic beverage bars) | Retail Bakeries (snacks)</t>
  </si>
  <si>
    <t>5610 | 5630</t>
  </si>
  <si>
    <t>Restaurants and mobile food service activities | Beverage serving activities</t>
  </si>
  <si>
    <t>56.3 | 56.1</t>
  </si>
  <si>
    <t>Beverage serving activities | Restaurants and mobile food service activities</t>
  </si>
  <si>
    <t>070 212 4000</t>
  </si>
  <si>
    <t>https://www.binkiesdenhaag.nl/</t>
  </si>
  <si>
    <t>nl</t>
  </si>
  <si>
    <t>https://www.instagram.com/binkiesdenhaag/</t>
  </si>
  <si>
    <t>2024-04-14T06:06:18.949Z</t>
  </si>
  <si>
    <t>BLACKWOOD SEVEN A/S</t>
  </si>
  <si>
    <t>0cb674d5-93e5-11eb-aa66-9b8d95e2171b</t>
  </si>
  <si>
    <t>Blackwood Seven</t>
  </si>
  <si>
    <t>Blackwood Seven | Blackwood SevenBlackwood | Blackwood Seven145</t>
  </si>
  <si>
    <t>Livjægergade</t>
  </si>
  <si>
    <t>17B</t>
  </si>
  <si>
    <t>DK, Denmark, Capital Region of Denmark, Copenhagen, 2100, LivjÃ¦gergade, 17B, 55.6970179, 12.587682400000002 | DK, Denmark, Capital Region of Denmark, Copenhagen, 1550, RÃ¥dhuspladsen,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</si>
  <si>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</si>
  <si>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</si>
  <si>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</si>
  <si>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
AI. By providing actionable key business insights, Hamilton
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</si>
  <si>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B2bâ€™s | Enterprise Software Solution</t>
  </si>
  <si>
    <t>Prepackaged Software (software publishing)</t>
  </si>
  <si>
    <t>Software Developers (Pre-Packaged) | Software Developers (Custom) | Technology Customer Support Services (For others) | Software Implementation Integration | Graphic Design (No Web Design)</t>
  </si>
  <si>
    <t>Software publishing</t>
  </si>
  <si>
    <t>58.21 | 58.29</t>
  </si>
  <si>
    <t>Publishing of computer games | Other software publishing</t>
  </si>
  <si>
    <t>891801 | 891802 | 740809 | 740810 | 731302</t>
  </si>
  <si>
    <t>53 66 07 77</t>
  </si>
  <si>
    <t>info@blackwoodseven.com</t>
  </si>
  <si>
    <t>tb@blackwoodseven.com | hb@blackwoodseven.com | mih@blackwoodseven.com | sa@blackwoodseven.com</t>
  </si>
  <si>
    <t>https://www.blackwoodseven.com/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</si>
  <si>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</si>
  <si>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</si>
  <si>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</si>
  <si>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</si>
  <si>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</si>
  <si>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Blom Soefeldt - Erhvervspsykologisk radgivning</t>
  </si>
  <si>
    <t>1f377b2b-0c41-11ec-b09d-95ba7b1bb140</t>
  </si>
  <si>
    <t>Blom Søefeldt - Erhvervspsykologisk Rådgivning</t>
  </si>
  <si>
    <t>Blom Søefeldt - Erhvervspsykologisk rådgivning</t>
  </si>
  <si>
    <t>Blom SÃ¸efeldt - Erhvervspsykologisk RÃ¥dgivning | Blom SÃ¸efeldt | Blomsoefeldt</t>
  </si>
  <si>
    <t>August Bournonvilles Passage</t>
  </si>
  <si>
    <t>DK, Denmark, Capital Region of Denmark, Copenhagen, 1055, August Bournonvilles Passage, 1, 55.679603, 12.586807</t>
  </si>
  <si>
    <t>Blom SÃ¸efeldt - Erhvervspsykologisk RÃ¥dgivning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</si>
  <si>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</si>
  <si>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SÃ¸efeldt Din partner til Ã¸get trivsel og vÃ¦kst â€“ for den enkelte, for gruppen og organisationen. At sikre trivsel og vÃ¦kst krÃ¦ver viden, inspiration og prioritering. Vi tilbyder RÃ¥dgivning og virksomhedsordning NÃ¥r en ansat ikke trives, er det afgÃ¸rende at yde kvalificeret hjÃ¦lp og stÃ¸tte, og den findes ikke altid i virksomheden.</t>
  </si>
  <si>
    <t>Din partner til Ã¸get trivsel og vÃ¦kst â€“ for den enkelte, for gruppen og organisationen. At sikre trivsel og vÃ¦kst krÃ¦ver viden, inspiration og prioritering. Virksomheder, der lykkes med at skabe trivsel og forebygge stress, oplever stÃ¸rre engagement og produktivitet, lavere sygefravÃ¦r og Ã¸get arbejdsglÃ¦de. Et Ã¸get fokus pÃ¥ dette omrÃ¥de giver mÃ¦rkbare resultater, ogsÃ¥ pÃ¥ bundlinjen. Trivsel skaber vÃ¦kst â€“ for den enkelte og for virksomheden. Ledelse og lederudvikling er helt centrale fokusomrÃ¥der, nÃ¥r virksomheder mÃ¥lrettet skal arbejde med at sikre og hÃ¸jne trivsel og vÃ¦kst. Det er vigtigt at holde sig opdateret og sikre, at man har korrekt og relevant viden om det felt, man beskÃ¦ftiger sig med. Vedligeholdelse og udvikling af kompetencer samt den enkeltes personlige og faglige udvikling i arbejdet giver dygtigere ansatte og bedre resultater. Har du brug for hjÃ¦lp.</t>
  </si>
  <si>
    <t>Lawyers / Barristers / Solicitors | Social / Counselling / Consulting Services | Management Consultants | Operations Consultants | Information Technology Consultants</t>
  </si>
  <si>
    <t>811101 | 808501 | 641401 | 641403 | 641411</t>
  </si>
  <si>
    <t>60 40 72 10</t>
  </si>
  <si>
    <t>+4533920458 | +4560407210</t>
  </si>
  <si>
    <t>mail@blomsoefeldt.dk</t>
  </si>
  <si>
    <t>mail@blomsoefeldt.dk%20</t>
  </si>
  <si>
    <t>http://www.blomsoefeldt.dk/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</si>
  <si>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</si>
  <si>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</si>
  <si>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2021-09-02T21:50:12.000Z</t>
  </si>
  <si>
    <t>BOOST AI AS</t>
  </si>
  <si>
    <t>f6ae0b86-93e4-11eb-91fb-73d498260b10</t>
  </si>
  <si>
    <t>boost.ai</t>
  </si>
  <si>
    <t>Boost AI AS | Boost</t>
  </si>
  <si>
    <t>Rogaland</t>
  </si>
  <si>
    <t>Sandnes</t>
  </si>
  <si>
    <t>Grenseveien</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</si>
  <si>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</si>
  <si>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your self-service rates and reach new heights of customer satisfaction using our end-to-end conversational AI platform!</t>
  </si>
  <si>
    <t>conversational AI; chatbots; virtual agents; customer service; automation; NLP</t>
  </si>
  <si>
    <t>Stavanger-based provider of enterprise conversational AI and virtual agents.</t>
  </si>
  <si>
    <t>Boost AI AS is a Norwegian software company that develops a conversational AI platform enabling organisations to deploy virtual agents for customer service, internal support and citizen services, with strong presence in the Nordics and beyond.</t>
  </si>
  <si>
    <t>virtual customer assistants; self-service automation; contact centre integration; AI chatbots; knowledge management</t>
  </si>
  <si>
    <t>Conversational AI &amp; Virtual Agent Software</t>
  </si>
  <si>
    <t>AI-powered customer service and support automation software</t>
  </si>
  <si>
    <t>Prepackaged Software</t>
  </si>
  <si>
    <t>Other software publishing</t>
  </si>
  <si>
    <t>privacy@boost.ai</t>
  </si>
  <si>
    <t>http://boost.ai/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</si>
  <si>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</si>
  <si>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</si>
  <si>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</si>
  <si>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</si>
  <si>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</si>
  <si>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</si>
  <si>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Bording Danmark A/S</t>
  </si>
  <si>
    <t>e84cb5a0-93e4-11eb-8e19-198fb02d6f96</t>
  </si>
  <si>
    <t>Bording Danmark | Bording Group</t>
  </si>
  <si>
    <t>Hovedstaden</t>
  </si>
  <si>
    <t>Glostrup</t>
  </si>
  <si>
    <t>Ejby Industrivej</t>
  </si>
  <si>
    <t>DK, Denmark, Capital Region of Denmark, RÃ¸dovre Municipality, 2610, HvidsvÃ¦rmervej, 119, 55.6974014, 12.4426322 | DK, Denmark, Capital Region of Denmark, Glostrup, 2605, BrÃ¸ndby Stadion, 20, 55.647327, 12.417826 | DK, Denmark, Central Denmark Region, Aarhus, 8210, Bredskifte AllÃ©, 11, 56.179619, 10.132315 | DK, Denmark, Central Denmark Region, Odder, 8300, Skovdalsvej, 4, 55.986624, 10.152558 | DK, Denmark, North Denmark Region, Aalborg, 9000, Porsvej, 2, 57.023927, 9.892773 | DK, Denmark, Region of Southern Denmark, Kolding, 6000, Birkemose AllÃ©, 31, 55.513151, 9.504219 | DK, Denmark, Capital Region of Denmark, Glostrup, 2600, Hovedvejen, 107, 55.665509, 12.395359 | DK, Denmark, Region of Southern Denmark, Middelfart Municipality, 5500, Industrivej, 91, 55.5038274, 9.7500779</t>
  </si>
  <si>
    <t>Danish company providing marketing production, communication services and customer communication solutions.</t>
  </si>
  <si>
    <t>marketing production; customer communication; print; digital; omnichannel</t>
  </si>
  <si>
    <t>Aarhus-based provider of marketing production and customer communication solutions.</t>
  </si>
  <si>
    <t>Bording Danmark A/S is a Danish company that helps organisations with marketing production and customer communication across print and digital channels, including campaign execution, transactional communication and marketing logistics.</t>
  </si>
  <si>
    <t>print management; direct marketing; transactional print; omnichannel communication; campaign execution</t>
  </si>
  <si>
    <t>541810</t>
  </si>
  <si>
    <t>Marketing Production &amp; Customer Communication</t>
  </si>
  <si>
    <t>Marketing production, print and omnichannel communication services</t>
  </si>
  <si>
    <t>Professional, Scientific &amp; Technical Services / Manufacturing</t>
  </si>
  <si>
    <t>Commercial Printing, Not Elsewhere Classified</t>
  </si>
  <si>
    <t>Other printing</t>
  </si>
  <si>
    <t>70 11 50 11</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</si>
  <si>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</si>
  <si>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</si>
  <si>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</si>
  <si>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</si>
  <si>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</si>
  <si>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</si>
  <si>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</si>
  <si>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</si>
  <si>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</si>
  <si>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2019-11-24T00:38:16.000Z</t>
  </si>
  <si>
    <t>Braathens Regional Airways AB</t>
  </si>
  <si>
    <t>6d7bab68-93e4-11eb-b4a6-27899be4e45d</t>
  </si>
  <si>
    <t>Braathens Renavia</t>
  </si>
  <si>
    <t>BRA Sverige AB.</t>
  </si>
  <si>
    <t>BRA | Braathens Regional Airlines | BRA Braathens Regional Airlines | BRA ãƒ–ãƒ©ãƒ¼ãƒ†ãƒ³ã‚¹ãƒ»ãƒªãƒ¼ã‚¸ãƒ§ãƒŠãƒ«ãƒ»ã‚¨ã‚¢ãƒ©ã‚¤ãƒ³ã‚º</t>
  </si>
  <si>
    <t>Bromma</t>
  </si>
  <si>
    <t>168 67</t>
  </si>
  <si>
    <t>Köpsvängen</t>
  </si>
  <si>
    <t>SE, Sweden, Stockholm County, Stockholm, , , , ,</t>
  </si>
  <si>
    <t>Swedish regional airline; operating for BRA Braathens Regional Airlines</t>
  </si>
  <si>
    <t>regional airline; domestic flights; aviation; passenger transport; charter</t>
  </si>
  <si>
    <t>Swedish regional airline providing domestic and regional air services.</t>
  </si>
  <si>
    <t>Braathens Renavia is rethinking Sustainable Aviation Fuel (SAF) by utilizing clean energy, waste, and forestry residuals. Focused on decarbonizing the airline industry, the company delivers innovative solutions to meet the growing demand for sustainable air travel and reduce emissions globally.</t>
  </si>
  <si>
    <t>scheduled flights; regional routes; domestic air travel; charter operations; aviation services</t>
  </si>
  <si>
    <t>Scheduled Freight Air Transportation</t>
  </si>
  <si>
    <t>Airlines – Regional Passenger</t>
  </si>
  <si>
    <t>Regional passenger air transportation services</t>
  </si>
  <si>
    <t>Transportation and Warehousing</t>
  </si>
  <si>
    <t>Airlines</t>
  </si>
  <si>
    <t>TR-AL</t>
  </si>
  <si>
    <t>Air Transportation</t>
  </si>
  <si>
    <t>TR.1</t>
  </si>
  <si>
    <t>Transportation</t>
  </si>
  <si>
    <t>TR</t>
  </si>
  <si>
    <t>Air Transportation, Scheduled</t>
  </si>
  <si>
    <t>Aircraft Maintenance / Repair / Storage (incl Hangars) | Business Services - Not Otherwise Classified | Building Owner - Multiple Occupancy - Mixed-Use Commercial | Travel Agencies | Freight Brokers</t>
  </si>
  <si>
    <t>Passenger air transport</t>
  </si>
  <si>
    <t>458001 | 740801 | 399101 | 729801 | 487101</t>
  </si>
  <si>
    <t>contact@renavia.com</t>
  </si>
  <si>
    <t>http://www.renavia.com/</t>
  </si>
  <si>
    <t>https://www.facebook.com/FlygBRA/</t>
  </si>
  <si>
    <t>https://www.instagram.com/flygbra/</t>
  </si>
  <si>
    <t>http://www.linkedin.com/company/bra---braathens-regional-airlines</t>
  </si>
  <si>
    <t>cms: umbraco | web servers: .net framework | load balancers: azure front door | analytics: facebook custom audiences | miscellaneous: azure edge network | paas: azure | javascript frameworks: vue.js | widgets: css | javascript libraries: jquery - 1.19.0 | web frameworks: microsoft asp.net | security: hsts | javascript libraries: glide.js | widgets: facebook | retargeting: facebook custom audiences | javascript libraries: core-js - 2.5.7 | cookie compliance: onetrust | network devices: html | web servers: schannel | operating systems: windows server | network devices: html5 | web servers: iis | tag managers: google tag manager | cdn: microsoft ajax content delivery network | retargeting: facebook | widgets: javascript | ssl/tls certificate authorities: sectigo | javascript frameworks: vue.js - 2.5.17 | javascript libraries: polyfill | javascript frameworks: jquery | analytics: google analytics</t>
  </si>
  <si>
    <t>2019-11-24T02:00:44.000Z</t>
  </si>
  <si>
    <t>BRAINCHILD COMMUNICATIONS PAKISTAN (PVT.) LIMITED</t>
  </si>
  <si>
    <t>efc08410-93e4-11eb-a746-fdabd18be9c6</t>
  </si>
  <si>
    <t>Brainchild Communications Pakistan (Pvt.) Limited</t>
  </si>
  <si>
    <t>Brainchild Communications Pakistan Pvt Limited</t>
  </si>
  <si>
    <t>Brainchild Communications Pakistan | Brainchild</t>
  </si>
  <si>
    <t>43-J/1</t>
  </si>
  <si>
    <t>PK, Pakistan, Sindh, Karachi Division, 75600, , , 24.81660369090909, 67.03483922272727 | PK, Pakistan, Islamabad Capital Territory, Islamabad, 44000, , , 33.6938118, 73.0651511</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</si>
  <si>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</si>
  <si>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</si>
  <si>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</si>
  <si>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</si>
  <si>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</si>
  <si>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(021) 35309046</t>
  </si>
  <si>
    <t>+922135309041 | +92512099119</t>
  </si>
  <si>
    <t>info@brainchild.net</t>
  </si>
  <si>
    <t>http://brainchild.net/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</si>
  <si>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</si>
  <si>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</si>
  <si>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</si>
  <si>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</si>
  <si>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</si>
  <si>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2019-11-29T11:58:08.000Z</t>
  </si>
  <si>
    <t>Brobizz A/S</t>
  </si>
  <si>
    <t>f6c033f6-93e4-11eb-8859-29e7c34dee35</t>
  </si>
  <si>
    <t>Brobizz A/S.</t>
  </si>
  <si>
    <t>BroBizz</t>
  </si>
  <si>
    <t>Vester Søgade</t>
  </si>
  <si>
    <t>DK, Denmark, Capital Region of Denmark, Copenhagen, 1601, Vester SÃ¸gade, 10, 55.675968170166016, 12.559292793273926 | DK, Denmark, Region Zealand, HolbÃ¦k Municipality, 4440, Kagerupvej, , 55.63405236211195, 11.55032841759252</t>
  </si>
  <si>
    <t>Danish company providing electronic toll collection and mobility payment solutions for bridges, ferries, roads and parking.</t>
  </si>
  <si>
    <t>toll payment; electronic toll collection; mobility; payments; transponders</t>
  </si>
  <si>
    <t>Copenhagen-based provider of electronic toll and mobility payment services.</t>
  </si>
  <si>
    <t>Brobizz A/S is a Danish company that offers electronic toll collection and automatic payment solutions using on-board units and license plate recognition, used on bridges, ferries, motorways and parking facilities in Denmark and neighbouring countries.</t>
  </si>
  <si>
    <t>toll tags; automatic payment; road user charging; mobility services; interoperability</t>
  </si>
  <si>
    <t>Toll Collection &amp; Mobility Payment Services</t>
  </si>
  <si>
    <t>Electronic toll and mobility payment services</t>
  </si>
  <si>
    <t>Transportation and Warehousing / Financial Services</t>
  </si>
  <si>
    <t>Transportation Services, Not Elsewhere Classified</t>
  </si>
  <si>
    <t>Travel Agencies | Software Developers (Pre-Packaged) | Software Developers (Custom) | Motorcoaches / Charter Bus Operations | Technology Customer Support Services (For others)</t>
  </si>
  <si>
    <t>Other transportation support activities</t>
  </si>
  <si>
    <t>729801 | 891801 | 891802 | 411902 | 740809</t>
  </si>
  <si>
    <t>+4531854822 | +4533443400 | +4570808081</t>
  </si>
  <si>
    <t>truck@brobizz.com</t>
  </si>
  <si>
    <t>info@brobizz.com | no-reply@info.brobizz.com | info@dialog.brobizz.com | no-reply@dialog.brobizz.com</t>
  </si>
  <si>
    <t>persondata@brobizz.com | btb@brobizz.com | truck@brobizz.com</t>
  </si>
  <si>
    <t>https://brobizz.com/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</si>
  <si>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</si>
  <si>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</si>
  <si>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</si>
  <si>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</si>
  <si>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</si>
  <si>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</si>
  <si>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BUNDGAARD KOLETEKNIK. VEJLE A/S</t>
  </si>
  <si>
    <t>91a6c984-27a7-11ef-ba21-2b94af863263</t>
  </si>
  <si>
    <t>Bundgaard Køleteknik A/S</t>
  </si>
  <si>
    <t>Bundgaard KÃ¸leteknik A/S.</t>
  </si>
  <si>
    <t>Vejle</t>
  </si>
  <si>
    <t>Sadelmagervej</t>
  </si>
  <si>
    <t>DK, Denmark, Region of Southern Denmark, Vejle, 7100, Sadelmagervej, 19, 55.6805599, 9.5865221</t>
  </si>
  <si>
    <t>Kølegruppen er en landsdækkende servicevirksomhed, som tilbyder service, reparation, udskiftning og vedligehold af alle typer køleanlæg og varmepumper.</t>
  </si>
  <si>
    <t>Installation Services | Refurbishment Services | Surgical Appliance and Supplies Manufacturing | Support Services | Refrigeration and Heat Pump Systems Installation</t>
  </si>
  <si>
    <t>Bundgaard KÃ¸leteknik er landsdÃ¦kkende med installation, service og support af kÃ¸leanlÃ¦g og varmepumper i Danmark.</t>
  </si>
  <si>
    <t>Bundgaard KÃ¸leteknik er landsdÃ¦kkende med installation, service og support af kÃ¸leanlÃ¦g og varmepumper i Danmark. Ring til os pÃ¥ 75 85 73 11</t>
  </si>
  <si>
    <t>Installation Services</t>
  </si>
  <si>
    <t>75 85 73 11</t>
  </si>
  <si>
    <t>ho@coolcare.dk</t>
  </si>
  <si>
    <t>info@koelegruppen.dk</t>
  </si>
  <si>
    <t>http://www.coolcare.dk/</t>
  </si>
  <si>
    <t>https://www.facebook.com/koeleteknik/</t>
  </si>
  <si>
    <t>https://www.linkedin.com/company/kølegruppen/</t>
  </si>
  <si>
    <t>2024-04-15T07:35:41.331Z</t>
  </si>
  <si>
    <t>Bynder Holding B.V.</t>
  </si>
  <si>
    <t>2a0c38dd-93e5-11eb-8474-3bbe2d07207d</t>
  </si>
  <si>
    <t>Bynder</t>
  </si>
  <si>
    <t>Bynder BV. | Bynder Pty Ltd. | Bynder Limited</t>
  </si>
  <si>
    <t>Bynder | Bynder Trademark</t>
  </si>
  <si>
    <t>Noord-Holland</t>
  </si>
  <si>
    <t>Amsterdam</t>
  </si>
  <si>
    <t>1054 HJ</t>
  </si>
  <si>
    <t>Overtoom</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</si>
  <si>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</si>
  <si>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Dutch software company providing a cloud-based digital asset management (DAM) platform for brands.</t>
  </si>
  <si>
    <t>digital asset management; DAM; brand management; content management; SaaS</t>
  </si>
  <si>
    <t>Amsterdam-based provider of digital asset management software.</t>
  </si>
  <si>
    <t>Bynder Holding B.V. is the Dutch parent company behind Bynder, a cloud-based digital asset management platform that helps brands manage, organise and distribute marketing and brand assets such as images, video and documents.</t>
  </si>
  <si>
    <t>brand portal; content library; creative workflows; marketing content; SaaS platform</t>
  </si>
  <si>
    <t>Digital Asset &amp; Brand Management Software</t>
  </si>
  <si>
    <t>Digital asset management and brand content platforms</t>
  </si>
  <si>
    <t>Technology Customer Support Services (For others) | Software Implementation Integration | Graphic Design (No Web Design) | Software Developers (Custom) | Software Developers (Pre-Packaged)</t>
  </si>
  <si>
    <t>740809 | 740810 | 731302 | 891802 | 891801</t>
  </si>
  <si>
    <t>020 809 0232</t>
  </si>
  <si>
    <t>+971556267808 | +31208090232 | +61370678288 | +34932205749 | +18574966646 | +18774602314 | +31208203740 | +442070432555 | +31108990800 | +14153295068</t>
  </si>
  <si>
    <t>legal@bynder.com</t>
  </si>
  <si>
    <t>info@bynder.com | legal@bynder.com | privacy@bynder.com | security@bynder.com</t>
  </si>
  <si>
    <t>https://www.bynder.com/en/</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</si>
  <si>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</si>
  <si>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</si>
  <si>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</si>
  <si>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</si>
  <si>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</si>
  <si>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</si>
  <si>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</si>
  <si>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</si>
  <si>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C&amp;W Services (S) Pte. Ltd.</t>
  </si>
  <si>
    <t>2d5be122-0a6a-11ec-b841-af64738d2bcd</t>
  </si>
  <si>
    <t>C&amp;W Services</t>
  </si>
  <si>
    <t>CW Aero Services Pte Ltd.</t>
  </si>
  <si>
    <t>CW Aero Services</t>
  </si>
  <si>
    <t>Chai Chee Road</t>
  </si>
  <si>
    <t>750A</t>
  </si>
  <si>
    <t>SG, Singapore, Central, Singapore, 797547, Seletar Aerospace Heights, 1, 1.40536645, 103.86553568337663 | PH, Philippines, Metro Manila, Manila, , , , 14.5904492, 120.9803621 | MY, Malaysia, Kuala Lumpur, , , , , 3.1516964, 101.6942371</t>
  </si>
  <si>
    <t>A global commercial real estate services leader, we will never settle for the world that’s been built, but relentlessly drive it forward.</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</si>
  <si>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</si>
  <si>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</si>
  <si>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</si>
  <si>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</si>
  <si>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Other Support Activities for Air Transportation</t>
  </si>
  <si>
    <t>Aerospace &amp; Defense</t>
  </si>
  <si>
    <t>RT-AE</t>
  </si>
  <si>
    <t>Aircraft Parts and Auxiliary Equipment, NEC (except fluid power aircraft subassemblies, target drones, and research and development not producing prototypes)</t>
  </si>
  <si>
    <t>Manufacture of air and spacecraft and related machinery</t>
  </si>
  <si>
    <t>6876 0088</t>
  </si>
  <si>
    <t>accounts@cw.com.sg</t>
  </si>
  <si>
    <t>https://www.cushmanwakefield.com/en/singapore</t>
  </si>
  <si>
    <t>https://www.facebook.com/CushmanWakefield</t>
  </si>
  <si>
    <t>https://twitter.com/cushwakeasia</t>
  </si>
  <si>
    <t>http://instagram.com/cushwake</t>
  </si>
  <si>
    <t>https://www.linkedin.com/company/cushman-&amp;-wakefield</t>
  </si>
  <si>
    <t>https://www.youtube.com/user/theCushmanWakefield</t>
  </si>
  <si>
    <t>reverse proxies: nginx | databases: mysql | cms: wordpress | blogs: wordpress | web servers: nginx | programming languages: php</t>
  </si>
  <si>
    <t>2021-08-31T13:41:08.000Z</t>
  </si>
  <si>
    <t>CAMPANA GROUP PTE. LTD.</t>
  </si>
  <si>
    <t>73d641b5-93e4-11eb-91fb-73d498260b10</t>
  </si>
  <si>
    <t>Campana Group Pte Ltd</t>
  </si>
  <si>
    <t>Campana Group Private Limited</t>
  </si>
  <si>
    <t>Campana Group</t>
  </si>
  <si>
    <t>Changi Business Park Central 2</t>
  </si>
  <si>
    <t>SG, Singapore, Southeast, , 486066, Changi Business Park Central 2, 51, 1.335066, 103.96555522992392 | TH, Thailand, Bangkok, Khlong Toei, 10110, Na Ranong Road, 102/99, 13.715460499999999, 100.5589313296705 | MM, Myanmar, Yangon, Yangon, 11143, Strand Road, , 16.7695782, 96.1609749</t>
  </si>
  <si>
    <t>Singapore-based telecom and connectivity company providing subsea cable capacity and network services, primarily in Southeast Asia.</t>
  </si>
  <si>
    <t>subsea cable; connectivity; telecom; capacity services; network services</t>
  </si>
  <si>
    <t>Telecom infrastructure company focusing on subsea cable and connectivity in Southeast Asia.</t>
  </si>
  <si>
    <t>Campana Group Pte. Ltd. is a telecommunications company that develops and operates subsea cable systems and provides international connectivity, capacity and network services for carriers, content providers and enterprises in Southeast Asia.</t>
  </si>
  <si>
    <t>subsea fibre; international capacity; carrier services; IP transit; network infrastructure</t>
  </si>
  <si>
    <t xml:space="preserve">Wired Telecommunications Carriers </t>
  </si>
  <si>
    <t>Telecom Infrastructure &amp; Connectivity</t>
  </si>
  <si>
    <t>Subsea cable and international connectivity services</t>
  </si>
  <si>
    <t>Telephone Communications, Except Radiotelephone</t>
  </si>
  <si>
    <t>Wired telecommunications activities</t>
  </si>
  <si>
    <t>+6565145582 | +6623488906 | +951394748</t>
  </si>
  <si>
    <t>info@campanaworks.com</t>
  </si>
  <si>
    <t>https://campanaworks.com/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</si>
  <si>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</si>
  <si>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</si>
  <si>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</si>
  <si>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</si>
  <si>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CBRE AS</t>
  </si>
  <si>
    <t>9dc12706-93e4-11eb-8e19-198fb02d6f96</t>
  </si>
  <si>
    <t>CBRE</t>
  </si>
  <si>
    <t>CBRE Norway | CBRE Global Workplace Solutions AS | Cbre AS</t>
  </si>
  <si>
    <t>Bryggegata</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</si>
  <si>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</si>
  <si>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Norwegian entity of CBRE providing commercial real estate advisory, brokerage and property management services.</t>
  </si>
  <si>
    <t>real estate advisory; brokerage; property management; valuation; investment</t>
  </si>
  <si>
    <t>Oslo-based CBRE company delivering commercial real estate services.</t>
  </si>
  <si>
    <t>CBRE AS is the Norwegian company of CBRE Group, offering commercial real estate services including leasing and investment brokerage, valuations, tenant representation and property management for investors and occupiers.</t>
  </si>
  <si>
    <t>office leasing; investment transactions; valuations; asset services; tenant advisory</t>
  </si>
  <si>
    <t>531312</t>
  </si>
  <si>
    <t>Nonresidential Property Managers</t>
  </si>
  <si>
    <t>Commercial Real Estate Services</t>
  </si>
  <si>
    <t>Real estate advisory, brokerage and management services</t>
  </si>
  <si>
    <t>Real Estate Activities</t>
  </si>
  <si>
    <t>Real Estate</t>
  </si>
  <si>
    <t>IF-RE</t>
  </si>
  <si>
    <t>IF.3</t>
  </si>
  <si>
    <t>Real Estate Agents and Managers</t>
  </si>
  <si>
    <t>Real estate agencies</t>
  </si>
  <si>
    <t>40 00 57 66</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</si>
  <si>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</si>
  <si>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</si>
  <si>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</si>
  <si>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https://www.facebook.com/cbre/</t>
  </si>
  <si>
    <t>https://twitter.com/cbre</t>
  </si>
  <si>
    <t>https://www.instagram.com/cbre_norway/</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</si>
  <si>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</si>
  <si>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</si>
  <si>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2019-11-24T12:06:45.000Z</t>
  </si>
  <si>
    <t>CBRE Teknisk Servicepartner A/S</t>
  </si>
  <si>
    <t>57918a20-a8bb-11ed-9a6b-af642bb25f66</t>
  </si>
  <si>
    <t>CBRE – Teknisk servicepartner, Aalborg</t>
  </si>
  <si>
    <t>CBRE Teknisk servicepartner A/S.</t>
  </si>
  <si>
    <t>CBRE Teknisk servicepartner</t>
  </si>
  <si>
    <t>Blytækkervej</t>
  </si>
  <si>
    <t>DK, Denmark, North Denmark Region, Aalborg, 9000, BlytÃ¦kkervej,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</si>
  <si>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Med CBRE får du en landsdækkende partner med +1.300 ansatte. Vi sikrer dig høj faglighed inden for både teknisk service, facility management og projekter.</t>
  </si>
  <si>
    <t>facility management; technical services; building operations; maintenance; HVAC; electrical</t>
  </si>
  <si>
    <t>Denmark-based provider of technical facility management and building services.</t>
  </si>
  <si>
    <t>CBRE Teknisk Servicepartner A/S delivers technical facility management and building services, including operation and maintenance of technical installations, HVAC, electrical systems and other critical building infrastructure for commercial and industrial properties.</t>
  </si>
  <si>
    <t>hard FM; technical maintenance; building operations; energy optimisation; service contracts</t>
  </si>
  <si>
    <t>Engineering Services</t>
  </si>
  <si>
    <t>Technical Facility Management &amp; Building Services</t>
  </si>
  <si>
    <t>Technical FM and building operations services</t>
  </si>
  <si>
    <t>Administrative and Support Services / Real Estate</t>
  </si>
  <si>
    <t>Facilities Support Management Services</t>
  </si>
  <si>
    <t>Combined facilities support activities</t>
  </si>
  <si>
    <t>99 36 40 00</t>
  </si>
  <si>
    <t>+4541737387 | +4599364000</t>
  </si>
  <si>
    <t>tekniskservicepartner@cbre.com</t>
  </si>
  <si>
    <t>http://cbre-tekniskservicepartner.dk/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</si>
  <si>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</si>
  <si>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</si>
  <si>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</si>
  <si>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</si>
  <si>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</si>
  <si>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CELLUSYS LIMITED</t>
  </si>
  <si>
    <t>f0e66671-93e4-11eb-b4a6-27899be4e45d</t>
  </si>
  <si>
    <t>Cellusys</t>
  </si>
  <si>
    <t>Cellusys Limited</t>
  </si>
  <si>
    <t>Dublin 1</t>
  </si>
  <si>
    <t>D01 NH93</t>
  </si>
  <si>
    <t>Bachelors Walk</t>
  </si>
  <si>
    <t>IE, Ireland, Leinster, Dublin, D01 H304, Bachelors Walk, 7, 53.3468892, -6.2626233 | HR, Croatia, Split-Dalmatia County, Split, 21000, LovaÄki put, 1a, 43.5124308, 16.4846774 | ES, Spain, Catalonia, Barcelona, 08004, Carrer de MÃ¨xic, 3 2-1, 41.3713904, 2.1502882 | MY, Malaysia, Kuala Lumpur, Kuala Lumpur, 59200, Jalan Bangsar, , 3.1170379, 101.672047 | DE, Germany, Berlin, Berlin, 10435, KollwitzstraÃŸe, 69, 52.5369503, 13.4184391</t>
  </si>
  <si>
    <t>We create and deliver systems to make mobile networks more Secure,Intelligent&amp; Profitable See How Find out how Cellusys can help secure, analyse,</t>
  </si>
  <si>
    <t>signalling security; SS7; Diameter; firewall; roaming; SMS firewall; telecom</t>
  </si>
  <si>
    <t>Dublin-based provider of signalling security and roaming control solutions.</t>
  </si>
  <si>
    <t>Cellusys Limited is an Ireland-based telecom solutions provider specialising in signalling security and control platforms that protect SS7, Diameter and GTP traffic, as well as roaming steering and SMS firewall solutions for mobile network operators.</t>
  </si>
  <si>
    <t>signalling firewalls; roaming steering; SMS firewall; anti-fraud; signalling analytics; mobile security</t>
  </si>
  <si>
    <t>All Other Telecommunications</t>
  </si>
  <si>
    <t>Telecom Signalling Security &amp; Roaming Solutions</t>
  </si>
  <si>
    <t>Signalling security, roaming and messaging control platforms</t>
  </si>
  <si>
    <t>(01) 642 5000</t>
  </si>
  <si>
    <t>+97143608577 | +35316425000 | +493065763580 | +34935992277 | +385953750787</t>
  </si>
  <si>
    <t>sales@cellusys.com</t>
  </si>
  <si>
    <t>info@cellusys.com | sales@cellusys.com</t>
  </si>
  <si>
    <t>tua@cellusys.com</t>
  </si>
  <si>
    <t>http://www.cellusys.com/</t>
  </si>
  <si>
    <t>https://www.facebook.com/theroamingpeople</t>
  </si>
  <si>
    <t>https://twitter.com/cellusys</t>
  </si>
  <si>
    <t>https://www.linkedin.com/company/cellusys</t>
  </si>
  <si>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</si>
  <si>
    <t>2019-11-25T18:07:28.000Z</t>
  </si>
  <si>
    <t>CENTERFORENINGEN FISKETORVET SHOPPING CENTER F.M.B.A.</t>
  </si>
  <si>
    <t>0729a734-69ff-11ec-a83b-a57bf486820a</t>
  </si>
  <si>
    <t>Centerforeningen Fisketorvet Shopping Center F.m.b.a</t>
  </si>
  <si>
    <t>Centerforeningen for Nyvangsparken | Centerforeningen Nyvangsparken | Nyvangsparken</t>
  </si>
  <si>
    <t>Havneholmen</t>
  </si>
  <si>
    <t>DK, Denmark, , , , , , 55.670249, 10.3333283</t>
  </si>
  <si>
    <t>Danish centre association representing tenants and marketing activities at Fisketorvet Shopping Center in Copenhagen.</t>
  </si>
  <si>
    <t>shopping centre; retail association; marketing; events; tenant coordination</t>
  </si>
  <si>
    <t>Tenant and marketing association for Fisketorvet Shopping Center in Copenhagen.</t>
  </si>
  <si>
    <t>Centerforeningen Fisketorvet Shopping Center Forening is an association for the tenants of Fisketorvet Shopping Center in Copenhagen, handling joint marketing, events and collaboration activities to promote the shopping centre.</t>
  </si>
  <si>
    <t>mall marketing; retail promotions; centre events; tenant collaboration; shopping centre association</t>
  </si>
  <si>
    <t>Retail &amp; Shopping Centre Associations</t>
  </si>
  <si>
    <t>Tenant association and marketing coordination for shopping centre</t>
  </si>
  <si>
    <t>Membership Organisations / Retail</t>
  </si>
  <si>
    <t>Community / Civic / Special Interest Groups (Non-Medical) | Fundraising Organizations (Charitable / Religious) | Professional Associations | Community Centres | Senior Citizen Assisted Living Facilities (No Nursing Homes)</t>
  </si>
  <si>
    <t>864401 | 867301 | 862001 | 864301 | 807301</t>
  </si>
  <si>
    <t>33 36 64 00</t>
  </si>
  <si>
    <t>f.jensen.teknik@gmail.com</t>
  </si>
  <si>
    <t>http://www.fisketorvet.dk/</t>
  </si>
  <si>
    <t>web servers: ibm websphere application server | analytics: matomo analytics | miscellaneous: rss | web servers: empathy platform | widgets: css | network devices: html | miscellaneous: jquery easing | web servers: schannel | javascript libraries: lightbox | network devices: html5 | miscellaneous: swfobject | web servers: apache http server | javascript libraries: jquery | widgets: javascript | operating systems: ubuntu | programming languages: php</t>
  </si>
  <si>
    <t>2021-12-30T09:30:44.000Z</t>
  </si>
  <si>
    <t>CETIN Hungary Zrt.</t>
  </si>
  <si>
    <t>ffcc1654-120e-11ec-8f83-091abf327b82</t>
  </si>
  <si>
    <t>CETIN Hungary | CETIN Hungary ZÃ¡rtkÃ¶rÅ±en MÅ±kÃ¶dÅ‘ RÃ©szvÃ©nytÃ¡rsasÃ¡g</t>
  </si>
  <si>
    <t>HU</t>
  </si>
  <si>
    <t>Hungary</t>
  </si>
  <si>
    <t>Törökbálint</t>
  </si>
  <si>
    <t>Pannon út</t>
  </si>
  <si>
    <t>HU, Hungary, Pest, TÃ¶rÃ¶kbÃ¡lint, 2045, Pannon Ãºt, 1, 47.430462600000006, 18.936269499999998</t>
  </si>
  <si>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HungÃ¡ria. CETINHungary focuses on driving digital transformation by offering cutting-edge communication infrastructure solutions and operates with a customer-driven approach.</t>
  </si>
  <si>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</si>
  <si>
    <t>We are one of the largest telecommunications networks across Central and Eastern Europe.</t>
  </si>
  <si>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pillars:â€¢ People â€“ we work with highly skilled, highly motivated, world class expertsâ€¢ Customers â€“ as a customer-driven organization we seek to anticipate our customers' needsâ€¢ Technology - we develop, build, operate and innovate cutting-edge communication infrastructureâ€¢ Partnership - we aim to create innovative partnership models in order to achieve best service quality and efficiency
Business enquiries: uzleti@cetin.huCETIN Hungary is owned by a joint venture between PPF Group (75 %) and Corvinus NemzetkÃ¶zi BefektetÃ©si Zrt. (25 %).</t>
  </si>
  <si>
    <t>Telecom Infrastructure | Safety Services | IT Services | Sovereign Wealth Funds | Leased Line | Secure Sd Wan | Telecom Networks | Network Devices | Mobile Technologies | Security Services</t>
  </si>
  <si>
    <t>06 20 952 5555</t>
  </si>
  <si>
    <t>+36209525555 | +36209995261</t>
  </si>
  <si>
    <t>info@cetin.hu</t>
  </si>
  <si>
    <t>visszaeles@cetin.hu</t>
  </si>
  <si>
    <t>https://www.cetin.hu/</t>
  </si>
  <si>
    <t>https://www.facebook.com/profile.php?id=61567253907263</t>
  </si>
  <si>
    <t>https://hu.linkedin.com/company/cetin-hungary</t>
  </si>
  <si>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</si>
  <si>
    <t>2021-09-10T06:36:19.000Z</t>
  </si>
  <si>
    <t>CHINA TELECOM GLOBAL LTD</t>
  </si>
  <si>
    <t>26c39d80-93e5-11eb-be5a-4f810ab55f2e</t>
  </si>
  <si>
    <t>China Telecom Global Limited</t>
  </si>
  <si>
    <t>Innovic Technology Corporation Limited</t>
  </si>
  <si>
    <t>China Telecom Global | Innovic Technology</t>
  </si>
  <si>
    <t>HK</t>
  </si>
  <si>
    <t>Hong Kong</t>
  </si>
  <si>
    <t>Hong Kong Island</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</si>
  <si>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</si>
  <si>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å®‹çŽ‰ç”Ÿå»£å ´ Alameda Dr. Carlos d'AssumpÃ§Ã£o, 398, 22.1910546, 113.5493719 | SG, Singapore, Central, Singapore, 178957, , , 1.33041305, 104.40611358446014</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</si>
  <si>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</si>
  <si>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international carrier; wholesale; IP transit; data services; cloud; telecom</t>
  </si>
  <si>
    <t>Global arm of China Telecom offering international telecom and network services.</t>
  </si>
  <si>
    <t>China Telecom Global Limited is the international business unit of China Telecom, providing wholesale voice and data, IP transit, cloud and ICT services, and enterprise network solutions connecting China with the rest of the world.</t>
  </si>
  <si>
    <t>global backbone; MPLS VPN; data centres; cloud services; international wholesale; enterprise connectivity</t>
  </si>
  <si>
    <t>International Telecom Carrier &amp; ICT Services</t>
  </si>
  <si>
    <t>Global wholesale and enterprise telecom services</t>
  </si>
  <si>
    <t>2877 9777</t>
  </si>
  <si>
    <t>+85225829199 | +85228770988 | +85225825832 | +85231000000 | +62215721386 | +85228233050 | +85228779777</t>
  </si>
  <si>
    <t>ffos.dengchg@chinatelecom.cn</t>
  </si>
  <si>
    <t>cs@chinatelecomglobal.com</t>
  </si>
  <si>
    <t>ivanchen@chinatelecomglobal.com | emea.marketing@chinatelecomglobal.com | pscm_support@chinatelecomglobal.com | supervision@chinatelecomglobal.com</t>
  </si>
  <si>
    <t>https://www.chinatelecomglobal.com/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</si>
  <si>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</si>
  <si>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</si>
  <si>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</si>
  <si>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</si>
  <si>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</si>
  <si>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CHINA UNICOM (SINGAPORE) OPERATIONS PTE. LTD.</t>
  </si>
  <si>
    <t>c12f14b6-b6bc-11ef-b7fc-31383e76ec39</t>
  </si>
  <si>
    <t>China Unicom (Singapore) Operations Pte. Ltd.</t>
  </si>
  <si>
    <t>China Unicom Singapore Operations Limited</t>
  </si>
  <si>
    <t>Temasek Boulevard</t>
  </si>
  <si>
    <t>SG, Singapore, Central, Singapore, 178957, , , 1.33041305, 104.40611358446014</t>
  </si>
  <si>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</si>
  <si>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</si>
  <si>
    <t>China Unicom Singapore Operations Limited is a cable &amp; internet provider based in Singapore.</t>
  </si>
  <si>
    <t>sg-cs@cuniq.com</t>
  </si>
  <si>
    <t>https://sg.chinaunicomglobal.com/</t>
  </si>
  <si>
    <t>https://www.instagram.com/cuniqsg/</t>
  </si>
  <si>
    <t>security: hsts</t>
  </si>
  <si>
    <t>2024-12-02T07:15:49.000Z</t>
  </si>
  <si>
    <t>CHUBB GLOBAL RISK ADVISORS PTE. LTD.</t>
  </si>
  <si>
    <t>4db78ad2-c000-11ec-8d01-9b40ae94c55f</t>
  </si>
  <si>
    <t>Chubb Insurance Singapore Limited</t>
  </si>
  <si>
    <t>Chubb Global Risk Advisors Pte Ltd.</t>
  </si>
  <si>
    <t>Chubb Global Risk Advisors | CGRA</t>
  </si>
  <si>
    <t>Market Street</t>
  </si>
  <si>
    <t>SG, Singapore, Central, Singapore, 178957, , , 1.2829435, 103.8441517</t>
  </si>
  <si>
    <t>Chubb is the world’s largest publicly traded property &amp; casualty insurance company, serving consumers &amp; companies of all sizes. Get a quote today.</t>
  </si>
  <si>
    <t>Chubb Global Risk Advisors Pte Ltd is a leading provider of Health, Safety and Environmental (HSE) consulting and compliance services.</t>
  </si>
  <si>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</si>
  <si>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</si>
  <si>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</si>
  <si>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Financial Planners / Advisors | Building Owner - Multiple Occupancy - Mixed-Use Commercial | Management Consultants | Insurance Agents / Brokers / Adjusters | Professional Associations</t>
  </si>
  <si>
    <t>74.9 | 74.3</t>
  </si>
  <si>
    <t>Other professional, scientific and technical activities n.e.c. | Translation and interpretation activities</t>
  </si>
  <si>
    <t>641501 | 399101 | 641401 | 641201 | 862001</t>
  </si>
  <si>
    <t>+6597378315 | +6598634506</t>
  </si>
  <si>
    <t>enquries.sg@chubb.com</t>
  </si>
  <si>
    <t>http://www.chubb.com/sg</t>
  </si>
  <si>
    <t>https://twitter.com/Chubb</t>
  </si>
  <si>
    <t>https://www.instagram.com/chubbglobal/</t>
  </si>
  <si>
    <t>https://www.linkedin.com/company/chubb/</t>
  </si>
  <si>
    <t>https://www.youtube.com/channel/UCyzrh3Y3G3r0NfiAjUeXNxA</t>
  </si>
  <si>
    <t>web servers: ibm websphere application server | web servers: litespeed | miscellaneous: http/3 | databases: mysql | web servers: schannel | cms: wordpress | blogs: wordpress | programming languages: php</t>
  </si>
  <si>
    <t>2022-04-19T15:35:31.000Z</t>
  </si>
  <si>
    <t>CIBICOM SERVICES A/S</t>
  </si>
  <si>
    <t>9cef310b-93e4-11eb-b997-8dd98d09cf25</t>
  </si>
  <si>
    <t>Cibicom A/S</t>
  </si>
  <si>
    <t>Cibicom A/S.</t>
  </si>
  <si>
    <t>Industriparken</t>
  </si>
  <si>
    <t>DK, Denmark, Capital Region of Denmark, Ballerup, 2750, Industriparken, 35-37, 55.7289384, 12.3721799 | DK, Denmark, Capital Region of Denmark, Egedal Municipality, 2765, Overdrevsvej, 12, 55.716677, 12.237793 | DK, Denmark, Central Denmark Region, Aarhus, 8270, Ny MoesgÃ¥rdvej, 61, 56.098949, 10.216687 | DK, Denmark, Central Denmark Region, Hinnerup, 8382, Kappa, 10, 56.238075, 10.11517 | DK, Denmark, Region of Southern Denmark, Odense, 5491, Middelfartvej, 302, 55.390959, 10.293955 | DK, Denmark, Region of Southern Denmark, Varde Municipality, 6800, KÃ¦rgÃ¥rdsvej, 41B, 55.65686798095703, 8.671483993530273 | DK, Denmark, Region of Southern Denmark, Faaborg-Midtfyn Municipality, 5750, , , 55.23277282714844, 10.456814765930176 | DK, Denmark, Central Denmark Region, Lemvig, 7620, Havnen, 15, 56.55213165283203, 8.30978775024414 | DK, Denmark, Central Denmark Region, RingkÃ¸bing, 6950, Kirkevej, 41, 56.098941802978516, 8.261866569519043 | DK, Denmark, Central Denmark Region, Favrskov Municipality, 8370, Brundtvej, 11, 56.30396, 9.976151</t>
  </si>
  <si>
    <t>Cibicom designer, installerer og drifter data- og kommunikationsløsningertil public service broadcast, beredskabet og erhvervsliv</t>
  </si>
  <si>
    <t>Secure Framework for Systems | Data-driven Installations | Data Services for Emergency Services Providers | Public Broadcast Service | Business Solutions | Designing, Installing, and Operating Data-and-communication Solutions | User Behavior Tracking</t>
  </si>
  <si>
    <t>Cibicom designer, installerer og drifter data- og kommunikationslÃ¸sninger
til public service broadcast, beredskabet og erhvervsliv</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</si>
  <si>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LandsdÃ¦kkende datacentre, fibernet, netvÃ¦rk og infrastruktur med 24/7 service til smÃ¥ og store virksomheder. Design, installation, overvÃ¥gning og 24/7 service -&gt;. LandsdÃ¦kkende infrastruktur til radio, tv og distribution -&gt;. Sikre data- og M2M-forbindelser, der nÃ¥r ud i hele Danmark -&gt;. Drift og service 24/7 overvÃ¥gning og service af IT-udstyr og netvÃ¦rk -&gt;. HÃ¸j driftssikkerhed i alle vores lÃ¸sninger til forretnings- og missionskritisk kommunikation og infrastruktur. LandsdÃ¦kkende infrastruktur af sendemaster og et nationalt, redundant og fiberbaseret IP-backbone- og access-netvÃ¦rk. Cibicoms ingeniÃ¸rer, systemspecialister og teknikere har opbygget en hÃ¸jt specialiseret viden og en solid erfaring.</t>
  </si>
  <si>
    <t>Wired Telecommunications Carriers</t>
  </si>
  <si>
    <t>70 11 80 11</t>
  </si>
  <si>
    <t>+4525598008 | +4525638425 | +4570118011</t>
  </si>
  <si>
    <t>sales@cibicom.dk</t>
  </si>
  <si>
    <t>faktura@cibicom.dk | bogholderi@cibicom.dk</t>
  </si>
  <si>
    <t>http://www.cibicom.dk/</t>
  </si>
  <si>
    <t>https://www.facebook.com/CibicomDanmark/</t>
  </si>
  <si>
    <t>https://dk.linkedin.com/company/cibicom</t>
  </si>
  <si>
    <t>web servers: ibm websphere application server | cookie compliance: cookie information | miscellaneous: rss | ui frameworks: bootstrap | advertising: linkedin ads | javascript libraries: webp | web servers: empathy platform | performance: priority hints | javascript libraries: swiper | ssl/tls certificate authorities: digicert | seo: yoast seo | widgets: css | analytics: albacross | photo galleries: slider revolution | javascript frameworks: jquery mousewheel | font scripts: google font api | javascript libraries: lettering.js | video players: youtube | javascript libraries: modernizr | databases: mysql | issue trackers: really simple discovery | cms: site.com | miscellaneous: open graph | javascript libraries: polyfill - 2 | network devices: html | miscellaneous: jquery easing | network devices: html5 | video players: vimeo | web servers: apache http server | miscellaneous: facebook | analytics: linkedin insight tag | javascript frameworks: gsap | cms: wordpress | blogs: wordpress | retargeting: albacross | tag managers: google tag manager | miscellaneous: linkedin | marketing automation: sleeknote | javascript libraries: isotope | javascript libraries: jquery | widgets: slider revolution | widgets: javascript | operating systems: ubuntu | wordpress plugins: yoast seo | programming languages: php | javascript libraries: polyfill | analytics: google analytics | javascript libraries: flickity</t>
  </si>
  <si>
    <t>2019-12-05T02:47:15.000Z</t>
  </si>
  <si>
    <t>CIENA LIMITED</t>
  </si>
  <si>
    <t>a1ba9bc3-93e4-11eb-a736-0f5b20ecb2f1</t>
  </si>
  <si>
    <t>Ciena Ltd</t>
  </si>
  <si>
    <t>Ciena Ltd. | Ciena Corporation. | Ciena Australia Pty Ltd.</t>
  </si>
  <si>
    <t>Ciena BR</t>
  </si>
  <si>
    <t>EC2A 3NG</t>
  </si>
  <si>
    <t>Curtain Road</t>
  </si>
  <si>
    <t>GB, United Kingdom, England, London, EC2A 2DX, Worship Street, 43-51, 51.5221684, -0.086596 | US, United States, Georgia, Alpharetta, 30009, Sanctuary Parkway, 1120, 34.04931118868662, -84.31054764076364 | CA, Canada, Ontario, Ottawa, K2K 3C8, Legget Drive, 307, 45.341943549999996, -75.9037088423262 | CA, Canada, Ontario, Ottawa, K2H 8E9, Carling Avenue, 3500, 45.3481594, -75.8508017 | AR, Argentina, Autonomous City of Buenos Aires, Buenos Aires, C1429, Avenida Del Libertador, 7208, -34.5466787122449, -58.45762932040816 | PH, Philippines, Metro Manila, Makati, 1224, Parksquare Drive, , 14.548984, 121.025742 | IL, Israel, Tel Aviv District, Tel Aviv-Yafo, 6789155, Yigal Alon, 94a, 32.0784847, 34.7975879 | MX, Mexico, Jalisco, Zapopan, 45138, Carretera a TesistÃ¡n, 5850, 20.7486334, -103.4177944 | MX, Mexico, Mexico City, Santa Fe, 06600, Glorieta de los Insurgentes, , 19.4236015, -99.1633188 | BR, Brazil, SÃ£o Paulo, SÃ£o Paulo, 04794-000, Avenida das NaÃ§Ãµes Unidas, 14171, -23.6229449, -46.7012982</t>
  </si>
  <si>
    <t>Ciena delivers the fastest network solutions to power cloud, AI, and digital transformation with high-speed, scalable, and secure connectivity.</t>
  </si>
  <si>
    <t>Secure Access Service Edge | Data Aggregation and Access | DCI Global | Telecommunications Services | Network Transformation | Metropolitan Networks | Network Strategy Solutions | Secure Networks | Managed Fiber Networks | Open Line Systems | Telecommunications Reseller | Automation of Operations | Long-distance Networks | Universal Aggregation Solutions | 5G Automation | Networks Solutions | Programmable Photonic Chips</t>
  </si>
  <si>
    <t>Nossas soluÃ§Ãµes estÃ£o por trÃ¡s das redes mais adaptÃ¡veis do mundo para atender Ã s demandas digitais cada vez maiores a fim de proporcionar experiÃªncias mais valiosas e conectadas para todos os usuÃ¡rios.</t>
  </si>
  <si>
    <t>Nossas soluÃ§Ãµes estÃ£o por trÃ¡s das redes mais adaptÃ¡veis do mundo para atender Ã s demandas digitais cada vez maiores a fim de proporcionar experiÃªncias mais valiosas e conectadas para todos os usuÃ¡rios. Impulsione serviÃ§os de negÃ³cios de Ãºltima geraÃ§Ã£o na edge da rede. Acelere a receita dos seus serviÃ§os de edge, incluindo serviÃ§os de seguranÃ§a e rede em nuvem de alto valor, com nossas soluÃ§Ãµes de edge corporativa abrangentes. Acelere a transformaÃ§Ã£o da sua rede com nossos profissionais mais especializados do mercado, ferramentas analÃ­ticas testadas em campo e metodologia e abordagem personalizadas. Inovamos mais uma vez com o WaveLogic 6, tecnologia coerente de ponta que entrega desempenho sem precedentes e menor custo geral. Confira nosso infogrÃ¡fico Rede mais sustentÃ¡vel para saber mais. Como as operadoras de redes mÃ³veis e de atacado podem evoluir suas redes para cumprir a verdadeira promessa do 5G. Com base na abordagem Adaptive Network, as soluÃ§Ãµes de rede 5G da Ciena sÃ£o realmente abertas por design para fornecer Ã s operadoras de rede opÃ§Ãµes em suas arquiteturas de rede xHaul 4G/5G, para que possam eliminar a dependÃªncia do fornecedor e ter sucesso na nova era wireless.</t>
  </si>
  <si>
    <t>Cloud Networking | Network And Security | Secure Access Service Edge | Switching &amp; Routing | Fiber Optic Networks | Security Services | Network Experts | Platform Architecture | Network Transformation | Data And Security</t>
  </si>
  <si>
    <t>020 7012 5500</t>
  </si>
  <si>
    <t>+842437955372 | +912242419666 | +16136702000 | +31237548010 | +16137632211 | +551128474550 | +15142282300 | +97122222577 | +442070125555 | +82260910450 | +18002073714 | +6499274993 | +33172448600 | +16135990445 | +61288705300 | +82260910280 | +85225139913 | +442070125500 | +33172448621 | +85239442900 | +4570232626 | +842437955373 | +97124957200 | +862180118333 | +15142285265 | +97233763240 | +442070125501 | +912242419600 | +14106945700 | +551147652333 | +97233763467 | +18009211144</t>
  </si>
  <si>
    <t>ar@ciena.com</t>
  </si>
  <si>
    <t>https://www.ciena.com/</t>
  </si>
  <si>
    <t>pt</t>
  </si>
  <si>
    <t>https://www.facebook.com/CienaCorp</t>
  </si>
  <si>
    <t>https://twitter.com/ciena</t>
  </si>
  <si>
    <t>https://www.instagram.com/cienalife</t>
  </si>
  <si>
    <t>https://www.linkedin.com/company/ciena</t>
  </si>
  <si>
    <t>https://www.youtube.com/user/CienaCorp</t>
  </si>
  <si>
    <t>javascript frameworks: requirejs | analytics: adobe analytics | load balancers: amazon alb | analytics: facebook custom audiences | ui frameworks: bootstrap | analytics: google ads conversion tracking | lead generation: adroll | web servers: empathy platform | web frameworks: bootstrap | analytics: zoominfo | javascript libraries: slick | customer data platform: adobe experience platform identity service | tag managers: adobe experience platform launch | javascript libraries: lit-html - 2.7.2 | javascript frameworks: datatables | paas: amazon web services | advertising networks: adroll | javascript libraries: core-js - 3.30.1 | tag managers: ensighten tag management | personalisation: demandbase - 10.1.12 | livestreaming: kaltura | miscellaneous: http/3 | video players: youtube | javascript libraries: modernizr | tag managers: adobe dtm | analytics: facebook pixel - 2.9.134 | javascript frameworks: moment.js | advertising: doubleclick floodlight | javascript libraries: jquery - 3.7.0 | widgets: facebook | retargeting: facebook custom audiences | cdn: google hosted libraries | miscellaneous: open graph | captchas: recaptcha | personalisation: adobe target - 2.10.2 | tag managers: adobe dynamic tag management | font scripts: font awesome | video players: kaltura | retargeting: adroll | marketing automation: marketo | web servers: apache | javascript frameworks: modernizr | seo tool: facebook friendly | advertising: google ads | javascript frameworks: slick | analytics: linkedin insight tag | cms: squiz matrix | mobile frameworks: jquery mobile | javascript libraries: modernizr - 2.6.2 | javascript libraries: fancybox - 2.1.5 | tag managers: google tag manager | analytics: google campaign manager 360 | advertising: thetradedesk | javascript libraries: jquery | analytics: sitecatalyst | retargeting: facebook | tag managers: ensighten | javascript libraries: datatables | analytics: demandbase - 10.1.12 | seo tool: twitter friendly | cdn: cloudflare | programming languages: php | javascript libraries: moment.js | cookie compliance: osano | marketing automation: act-on | javascript libraries: moment.js - 2.14.1 | a/b testing: adobe target - 2.10.2 | javascript frameworks: jquery | analytics: google analytics | advertising: nativo | javascript frameworks: tweenmax</t>
  </si>
  <si>
    <t>2019-11-27T08:23:20.000Z</t>
  </si>
  <si>
    <t>312f6927-127f-11ec-bc98-6fee4ab244bb</t>
  </si>
  <si>
    <t>Cisco International Limited</t>
  </si>
  <si>
    <t>CISCO INTERNATIONAL</t>
  </si>
  <si>
    <t>Bedfont Lakes</t>
  </si>
  <si>
    <t>TW14 8HA</t>
  </si>
  <si>
    <t>New Square</t>
  </si>
  <si>
    <t>US, United States, California, Watsonville, 95076, Ford Street, 236, 36.9121241, -121.76573289999999 | US, United States, California, Watsonville, 95076, Ford Street, 236, 36.91221290470071, -121.76545488232934</t>
  </si>
  <si>
    <t>Cisco is a worldwide technology leader powering an inclusive future for all. Learn more about our products, services, solutions, and innovations.</t>
  </si>
  <si>
    <t>Exporter | Related Equipment Merchant Wholesalers and Electronics</t>
  </si>
  <si>
    <t>Computer and Peripheral Equipment Wholesalers</t>
  </si>
  <si>
    <t>Computer Networking</t>
  </si>
  <si>
    <t>Computer Communications Equipment</t>
  </si>
  <si>
    <t>Circuit Board / Electrical Component / Semi-Conductor Manufacturing | Communication Equipment Installation - Commercial | Electrical Wiring and Cable Manufacturing | Wholesale - Hardware / Plumbing Supplies / Electrical Supplies | Electrical Products Manufacturing - Not Otherwise Classified</t>
  </si>
  <si>
    <t>349501 | 153402 | 349502 | 509201 | 357001</t>
  </si>
  <si>
    <t>020 8824 1000</t>
  </si>
  <si>
    <t>+14087611888 | +18317611888</t>
  </si>
  <si>
    <t>http://www.cisco.com/</t>
  </si>
  <si>
    <t>https://www.facebook.com/Cisco/</t>
  </si>
  <si>
    <t>https://twitter.com/Cisco/</t>
  </si>
  <si>
    <t>https://www.instagram.com/cisco/</t>
  </si>
  <si>
    <t>https://www.linkedin.com/company/cisco</t>
  </si>
  <si>
    <t>https://www.youtube.com/user/cisco</t>
  </si>
  <si>
    <t>2021-09-10T20:35:05.000Z</t>
  </si>
  <si>
    <t>CISCO NORWAY AS</t>
  </si>
  <si>
    <t>2abc0006-0e27-11ec-b971-b1778fad92ab</t>
  </si>
  <si>
    <t>Cisco Systems Norway AS</t>
  </si>
  <si>
    <t>Sana Pharma Medical</t>
  </si>
  <si>
    <t>Akershus</t>
  </si>
  <si>
    <t>Lysaker</t>
  </si>
  <si>
    <t>Philip Pedersens vei</t>
  </si>
  <si>
    <t>NO, Norway, Viken, BÃ¦rum, 1366, Philip Pedersens vei, 20, 59.908248, 10.6196971 | DK, Denmark, Capital Region of Denmark, Copenhagen, 2400, Svanevej, 22, 55.698752, 12.533911</t>
  </si>
  <si>
    <t>Sustainable Health Improvement | Analytics &amp; Reporting | Sustainable Healthcare Solutions | Personal Data Collection and Processing | Third-party Platform Integration | Data Control Services | Third-party Platform | Data-driven Healthcare Solutions | Healthcare Products</t>
  </si>
  <si>
    <t>Sana Pharma Medical is a Nordic healthcare company with a strong commitment to improve health in a sustainable way Sana Pharma Medical</t>
  </si>
  <si>
    <t>The Information is used to track and analyze user behavior, to meet the individual user needs and to deliver targeted advertising. We are a Nordic healthcare company with strong brands centred around consumers and the commitment to increase quality of life. Sana Pharma Medical is a Nordic healthcare company with a strong commitment to improve health in a sustainable way. Based in the Nordic region, the company draws on the region's long tradition of being close to the nature and thereby provide a portfolio of several natural effective quality OTC, medical devices and food supplements with good safety profiles. Sana Pharma Medical was founded in Norway in 2014, and is a rapidly growing valuable healthcare company based on the commercialization of in-house developed and owned products. Sana Pharma Medical is a well-resourced platform with all key pharmaceutical functions, processes and with an extensive scalable inhouse competence and systems, ready for further EU expansion. Our team consisting of highly qualified professionals, including physicians, scientists, engineers, business experts and marketers, are dedicated to bring sustainable health impact to people.</t>
  </si>
  <si>
    <t>Targeted Advertising | Content Management System | Website Optimisation | Online Marketing | Display Ads</t>
  </si>
  <si>
    <t>Pharmaceutical Products</t>
  </si>
  <si>
    <t>Pharmaceuticals</t>
  </si>
  <si>
    <t>Biotechnology &amp; Pharmaceuticals</t>
  </si>
  <si>
    <t>HC-BP</t>
  </si>
  <si>
    <t>HC.1</t>
  </si>
  <si>
    <t>Health Care</t>
  </si>
  <si>
    <t>HC</t>
  </si>
  <si>
    <t>2835 | 2834</t>
  </si>
  <si>
    <t>In Vitro and In Vivo Diagnostic Substances (except in-vitro diagnostic substances) | Pharmaceutical Preparations</t>
  </si>
  <si>
    <t>Medical Laboratories (Research) | Wholesale - Not Otherwise Classified | Physiotherapists / Occupational Therapists | Physicians and Surgeons (No Specialist Surgeons) | Retail - Drug Stores</t>
  </si>
  <si>
    <t>Manufacture of pharmaceuticals, medicinal chemical and botanical products</t>
  </si>
  <si>
    <t>21.2 | 21.1</t>
  </si>
  <si>
    <t>Manufacture of pharmaceutical preparations | Manufacture of basic pharmaceutical products</t>
  </si>
  <si>
    <t>808201 | 519001 | 801801 | 801101 | 591201</t>
  </si>
  <si>
    <t>67 12 51 25</t>
  </si>
  <si>
    <t>heidit@spmedical.no</t>
  </si>
  <si>
    <t>https://www.cisco.com/c/no_no/about/contact-cisco.html/general-inquiries/locating-cisco-office</t>
  </si>
  <si>
    <t>cms: hubspot cms hub | security: hsts | miscellaneous: http/3 | marketing automation: hubspot | cdn: cloudflare</t>
  </si>
  <si>
    <t>2021-09-05T07:16:48.000Z</t>
  </si>
  <si>
    <t>CITERO AS</t>
  </si>
  <si>
    <t>14fe8332-93e5-11eb-8ad6-7326edce8d21</t>
  </si>
  <si>
    <t>Citero AS</t>
  </si>
  <si>
    <t>Citero AS | Citero</t>
  </si>
  <si>
    <t>Trøndelag</t>
  </si>
  <si>
    <t>Trondheim</t>
  </si>
  <si>
    <t>Nedre Bakklandet</t>
  </si>
  <si>
    <t>58C</t>
  </si>
  <si>
    <t>NO, Norway, TrÃ¸ndelag, Trondheim, 7014, Nedre Bakklandet, 58C, 63.43169089999999, 10.405762199999998 | NO, Norway, TrÃ¸ndelag, Trondheim, 7089, Lundlia, 1, 63.3495544, 10.328239</t>
  </si>
  <si>
    <t>Velkommen til Citero - Ditt salgskontor for bærekraftig salg og kundepleie. Opplev kvalitetsfokusert salg og utforsk karrieremuligheter som setter standarden. Hos oss står redelighet, trygghet og kvalitet i fokus.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</si>
  <si>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</si>
  <si>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TM-byrÃ¥ som setter kontinuitet og bÃ¦rekraft i hÃ¸ysete.</t>
  </si>
  <si>
    <t>Citero ble grunnlagt i 2016 av tre selgere med en visjon om Ã¥ skape noe bedre. Vi bygger kvalitet brikke for brikke og skaper et miljÃ¸ der vÃ¥re selgere har et ekte eierskap til kundene. Vi tror pÃ¥ Ã¥ vÃ¦re ryddige og transparente i alt vi gjÃ¸r, fra salgssamtaler til interne relasjoner. VÃ¥re mÃ¥l er klare - skape en varig endring i bransjen, dyrke gode selgere og vÃ¦re en pÃ¥litelig partner for vÃ¥re oppdragsgivere. Vi er et fullservice salgs- og kommunikasjonsselskap basert i hjertet av Trondheim. Etablert i 2016 av dyktige selgere, er vi drevet av lidenskapen for Ã¥ skape en endring i bransjen. Hos Citero handler det om redelighet, trygge arbeidsplasser og kvalitet i alt vi gjÃ¸r. VÃ¥rt mÃ¥l er Ã¥ skape en strategisk tilnÃ¦rming som Ã¸ker salget og styrker kundelojaliteten for Ã¥ levere resultater for vÃ¥re oppdragsgivere.</t>
  </si>
  <si>
    <t>Call Centers</t>
  </si>
  <si>
    <t>Business Services, NEC (telemarketing bureaus and telephone soliciting)</t>
  </si>
  <si>
    <t>Activities of call centres</t>
  </si>
  <si>
    <t>jon@citero.no</t>
  </si>
  <si>
    <t>post@salg.citero.no</t>
  </si>
  <si>
    <t>https://citero.no/</t>
  </si>
  <si>
    <t>https://www.facebook.com/citero</t>
  </si>
  <si>
    <t>https://www.instagram.com/citero_as/</t>
  </si>
  <si>
    <t>https://www.linkedin.com/company/citero/?viewAsMember=true</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</si>
  <si>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</si>
  <si>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</si>
  <si>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CLOUDERA, INC.</t>
  </si>
  <si>
    <t>def72ee7-93e4-11eb-aa66-9b8d95e2171b</t>
  </si>
  <si>
    <t>Cloudera</t>
  </si>
  <si>
    <t>Cloudera Singapore Pte Ltd. | Cloudera Inc.</t>
  </si>
  <si>
    <t>ClouderaNOW24</t>
  </si>
  <si>
    <t>Santa Clara</t>
  </si>
  <si>
    <t>Great America Parkway</t>
  </si>
  <si>
    <t>US, United States, California, Santa Clara, 95054, Great America Parkway, 5470, 37.4125777, -121.978494 | US, United States, North Carolina, Durham, , , , 35.996653, -78.9018053</t>
  </si>
  <si>
    <t>American business enterprise</t>
  </si>
  <si>
    <t>data platform; big data; analytics; data engineering; data lake; hybrid cloud</t>
  </si>
  <si>
    <t>Santa Clara-based provider of enterprise data platform software and services.</t>
  </si>
  <si>
    <t>Cloudera is the only data and AI platform company that brings AI to data anywhere: In clouds, in data centers, and at the edge.</t>
  </si>
  <si>
    <t>Cloudera Data Platform; Hadoop heritage; data lakes; analytics; ML/AI; hybrid data management</t>
  </si>
  <si>
    <t>Enterprise Data Platforms &amp; Analytics</t>
  </si>
  <si>
    <t>Data platform software for analytics and machine learning</t>
  </si>
  <si>
    <t>(888) 789-1488</t>
  </si>
  <si>
    <t>+18442877147 | +16503628084 | +442038261405 | +18887898184 | +16503620488 | +4922165078699 | +81367481506 | +18887891488</t>
  </si>
  <si>
    <t>support@twilio.com</t>
  </si>
  <si>
    <t>https://www.cloudera.com/</t>
  </si>
  <si>
    <t>https://www.facebook.com/cloudera/</t>
  </si>
  <si>
    <t>https://twitter.com/cloudera</t>
  </si>
  <si>
    <t>https://www.linkedin.com/company/cloudera</t>
  </si>
  <si>
    <t>ui frameworks: bootstrap | web frameworks: bootstrap | lead generation: formidable forms | miscellaneous: twitter emoji (twemoji) | font scripts: google font api | blogging platforms: wordpress | databases: mysql | reverse proxy: nginx | javascript frameworks: jquery migrate | cms: wordpress | tag managers: google tag manager | javascript libraries: jquery | web servers: nginx | programming languages: php | javascript libraries: jquery migrate | javascript frameworks: jquery | analytics: google analytics</t>
  </si>
  <si>
    <t>2020-07-02T22:02:24.000Z</t>
  </si>
  <si>
    <t>Comba Technologies Sdn. Bhd.</t>
  </si>
  <si>
    <t>01fb2fa2-a7fa-11ef-9e6b-b90a330e89d5</t>
  </si>
  <si>
    <t>Comba Technologies Sdn Bhd</t>
  </si>
  <si>
    <t>CM Boost Studio Sdn Bhd.</t>
  </si>
  <si>
    <t>CM Boost Studio</t>
  </si>
  <si>
    <t>Subang Jaya</t>
  </si>
  <si>
    <t>Jalan USJ 25/1B</t>
  </si>
  <si>
    <t>MY, Malaysia, Selangor, Subang Jaya, 47650, Jalan USJ 25/1B, , 3.0221473999999997, 101.5806276</t>
  </si>
  <si>
    <t>Comba Telecom is a leading global solutions and services provider of wireless and information communications systems with its own R&amp;D and manufacturing base, and sales and service teams. The Company offers a comprehensive suite of products and services including antennas and base station subsystems, wireless access, wireless enhancement, and wireless transmission to its global customers. Headquartered in Hong Kong, with manufacturing bases in China and R&amp;D centers in both China and the United States, Comba Telecom provides wireless communication solutions and information application services to customers in more than 100 countries and regions around the world.</t>
  </si>
  <si>
    <t>Content Creation | Affiliate Marketing | Influencer Management Services | Marketing Agency | Strategic Brand and Marketing Consultancy | Tiktok Shop Services | Livestreaming Services | Training and Support | Brand Outreach Services | Marketing Consulting</t>
  </si>
  <si>
    <t>Welcome to CM Boost Studio, where live hosting isn't just a service, it's a party for your business !</t>
  </si>
  <si>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</si>
  <si>
    <t>Digital Marketing &amp; Advertising | Digital Landscape | Content Development | Affiliate Marketing | Strategic Consulting | Brand And Identity | Content Creation | Strategic Engagement | Sales Strategy | Marketplace</t>
  </si>
  <si>
    <t>Management Consulting Services (marketing consulting)</t>
  </si>
  <si>
    <t>03-8021 5666</t>
  </si>
  <si>
    <t>+60173233278 | +60174588773</t>
  </si>
  <si>
    <t>info@cmbooststudio.com</t>
  </si>
  <si>
    <t>http://www.comba-telecom.com/</t>
  </si>
  <si>
    <t>https://www.instagram.com/cmbooststudio/</t>
  </si>
  <si>
    <t>https://www.linkedin.com/company/comba-telecom</t>
  </si>
  <si>
    <t>https://www.youtube.com/channel/UCqOIMCMBwU06NWlY33qDr7Q?sub_confirmation=1</t>
  </si>
  <si>
    <t>2024-05-02T23:25:07.152Z</t>
  </si>
  <si>
    <t>COMBA TELECOM LIMITED</t>
  </si>
  <si>
    <t>85816b51-93e4-11eb-a736-0f5b20ecb2f1</t>
  </si>
  <si>
    <t>Comba Telecom Systems Limited</t>
  </si>
  <si>
    <t>Comba Telecom Systems Holdings Limited</t>
  </si>
  <si>
    <t>Comba Telecom</t>
  </si>
  <si>
    <t>Science Park East Avenue</t>
  </si>
  <si>
    <t>HK, Hong Kong, Hong Kong, New Territories, , Science Park West Avenue, 8, 22.4260256, 114.2114008057259 | CN, China, Guangdong Province, Guangzhou, 510663, Shenzhou Road, no.10, 23.1636917, 113.4269857 | BR, Brazil, SÃ£o Paulo, SÃ£o Paulo, 04576-130, Avenida Doutor Chucri Zaidan, nÂº 1550, -23.6137984, -46.6960604 | US, United States, California, Milpitas, 95035, Gibraltar Drive, 568, 37.42087990892327, -121.89506884501507 | SE, Sweden, Stockholm County, Stockholm, 168 67, GÃ¥rdsfogdevÃ¤gen, 12 -14, 59.3567842, 17.9572899 | IN, India, Uttar Pradesh, Noida, , , , 28.5706333, 77.3272147 | MY, Malaysia, Selangor, Subang Jaya, 47650, Jalan USJ 25/1B, , 3.0214456, 101.5819233 | PE, Peru, Lima, San Isidro, 15000, Calle German Schreiber, nÂº 227, -12.0954341, -77.0233158 | ID, Indonesia, Special Capital Region of Jakarta, Special Capital Region of Jakarta, 12940, Jalan Hajjah R. Rasuna Said, , -6.2217444, 106.8322847 | ES, Spain, Community of Madrid, Madrid, 28006, Calle de Diego de LeÃ³n, nÂº69, 40.4350981, -3.6864659</t>
  </si>
  <si>
    <t>wireless telecom equipment; network enhancement; antennas; DAS; telecom hardware</t>
  </si>
  <si>
    <t>Hong Kong trading company for wireless telecommunications network enhancement equipment and related services.</t>
  </si>
  <si>
    <t>Comba Telecom Limited is a Hong Kong company engaged in trading wireless telecommunications network enhancement system equipment and providing technical support and repair services. It operates from Hong Kong Science Park in Pak Shek Kok, New Territories, and is a principal operating subsidiary of Comba Telecom Systems Holdings Limited.</t>
  </si>
  <si>
    <t>telecom equipment; wireless network enhancement; antennas; DAS; radio equipment</t>
  </si>
  <si>
    <t>Telecommunications Equipment</t>
  </si>
  <si>
    <t>Wireless telecommunications equipment trading</t>
  </si>
  <si>
    <t>Manufacturing / Information &amp; Communication</t>
  </si>
  <si>
    <t>Radio and Television Broadcasting and Communications Equipment</t>
  </si>
  <si>
    <t>Manufacture of communication equipment</t>
  </si>
  <si>
    <t>2636 6861</t>
  </si>
  <si>
    <t>+852 2185 0783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</si>
  <si>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</si>
  <si>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</si>
  <si>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</si>
  <si>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http://www.comba-telecom.com</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</si>
  <si>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</si>
  <si>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2019-11-23T23:14:59.000Z</t>
  </si>
  <si>
    <t>Comengineering Sdn. Bhd.</t>
  </si>
  <si>
    <t>eb823b24-1e9c-11ee-918e-3b99085851a3</t>
  </si>
  <si>
    <t>COMENGINEERING SDN BHD</t>
  </si>
  <si>
    <t>COMENGINEERING SDN BHD.</t>
  </si>
  <si>
    <t>Persiaran Putra Mahkota</t>
  </si>
  <si>
    <t>Taman</t>
  </si>
  <si>
    <t>MY, Malaysia, Selangor, Subang Jaya, 47650, Jalan Putra Mahkota 7/7B, 5-2, 2.9932984000000005, 101.57418059999999</t>
  </si>
  <si>
    <t>Malaysian company based in Subang Jaya specialising in installation of telecommunication equipment and power and communication line construction.</t>
  </si>
  <si>
    <t>telecom equipment installation; power and communication lines; infrastructure construction; network rollout</t>
  </si>
  <si>
    <t>Subang Jaya-based installer of telecommunication equipment and communication lines.</t>
  </si>
  <si>
    <t>Comengineering Sdn. Bhd. is a Malaysian company headquartered in Subang Jaya, Selangor. Incorporated in 2000, it operates in the power and communication line and related structures construction industry and focuses on installation of telecommunication equipment and related infrastructure.</t>
  </si>
  <si>
    <t>telecom infrastructure; equipment installation; power and communication lines; construction</t>
  </si>
  <si>
    <t>Construction &amp; Engineering</t>
  </si>
  <si>
    <t>Telecommunication infrastructure construction</t>
  </si>
  <si>
    <t>Water, Sewer, Pipeline, and Communications and Power Line Construction</t>
  </si>
  <si>
    <t>Construction of utility projects</t>
  </si>
  <si>
    <t>Construction of utility projects for electricity and telecommunications</t>
  </si>
  <si>
    <t>03-2938 2838</t>
  </si>
  <si>
    <t>2023-07-09T21:08:51.420Z</t>
  </si>
  <si>
    <t>COMMSCOPE SOLUTIONS SINGAPORE PTE. LTD.</t>
  </si>
  <si>
    <t>19b67251-066a-11ec-bd08-8b935d8b3904</t>
  </si>
  <si>
    <t>CommScope Solutions (S) Pte Ltd</t>
  </si>
  <si>
    <t>CommScope APAC | CommScope</t>
  </si>
  <si>
    <t>Science Park Drive</t>
  </si>
  <si>
    <t>SG, Singapore, , , , , , 1.357107, 103.8194992</t>
  </si>
  <si>
    <t>Advancing broadband enterprise and wireless networks to power progress and create lasting connections.</t>
  </si>
  <si>
    <t>Ballpoint Pen | Technology Gifts | Event in A Box | Blanket | Ruckus Products Retailer | Bucket-hat | Promotions &amp; Gifts | Roller Banners | Blue Bomber Jacket | Black Canvas Bag | Event Merchandise | Black Umbrella | 600ml Sports Bottle | Promotional Backpacks | A5 Notebooks | Red Polo Tee | PER PC | Branded Promotional Products | Caps</t>
  </si>
  <si>
    <t>Our approved range of branded promotional products.</t>
  </si>
  <si>
    <t>Promotional Merchandising</t>
  </si>
  <si>
    <t>Books Printing &amp; Stores</t>
  </si>
  <si>
    <t>2754 | 2759 | 2771 | 2752 | 2771 | 2752 | 2759 | 7334 | 2759 | 2761 | 2782 | 2782 | 2759 | 2771 | 2771</t>
  </si>
  <si>
    <t>Commercial Printing, Gravure | Commercial Printing, NEC (flexographic printing) | Greeting Cards (flexographic printing of greeting cards) | Commercial Printing, Lithographic (except quick printing) | Greeting Cards (lithographic printing of greeting cards) | Commercial Printing, Lithographic (quick printing) | Commercial Printing, NEC (quick printing) | Photocopying and Duplicating Services (quick printing) | Commercial Printing, NEC (digital printing, except quick printing) | Manifold Business Forms | Blankbooks, Looseleaf Binders and Devices (checkbooks) | Blankbooks, Looseleaf Binders and Devices (except checkbooks) | Commercial Printing, NEC (other commercial printing except flexographic, screen, digital, and quick printing) | Greeting Cards (other printing of greeting cards) | Greeting Cards (gravure printing of greeting cards)</t>
  </si>
  <si>
    <t>1709 | 1811 | 2599 | 8219</t>
  </si>
  <si>
    <t>Manufacture of other articles of paper and paperboard | Printing | Manufacture of other fabricated metal products n.e.c. | Photocopying, document preparation and other specialized office support activities</t>
  </si>
  <si>
    <t>18.12 | 18.11 | 25.92 | 25.99 | 25.94 | 25.91 | 25.93 | 17.22 | 17.29 | 17.23 | 17.24 | 82.19</t>
  </si>
  <si>
    <t>Other printing | Printing of newspapers | Manufacture of light metal packaging | Manufacture of other fabricated metal products n.e.c. | Manufacture of fasteners and screw machine products | Manufacture of steel drums and similar containers | Manufacture of wire products, chain and springs | Manufacture of household and sanitary goods and of toilet requisites | Manufacture of other articles of paper and paperboard | Manufacture of paper stationery | Manufacture of wallpaper | Photocopying, document preparation and other specialised office support activities</t>
  </si>
  <si>
    <t>6898 4880</t>
  </si>
  <si>
    <t>+6563975818 | +6563975819</t>
  </si>
  <si>
    <t>commscope@dtcworld.com</t>
  </si>
  <si>
    <t>https://www.commscope.com/</t>
  </si>
  <si>
    <t>https://www.facebook.com/commscope</t>
  </si>
  <si>
    <t>https://twitter.com/commscope</t>
  </si>
  <si>
    <t>https://www.instagram.com/commscope/</t>
  </si>
  <si>
    <t>https://www.linkedin.com/company/commscope</t>
  </si>
  <si>
    <t>https://www.youtube.com/user/commscope</t>
  </si>
  <si>
    <t>javascript libraries: lodash | javascript libraries: axios | ui frameworks: bootstrap | web servers: empathy platform | javascript frameworks: vue.js | widgets: css | javascript libraries: sweetalert2 | network devices: html | miscellaneous: jquery easing | font scripts: font awesome | network devices: html5 | web servers: apache http server | javascript libraries: jquery | widgets: javascript | javascript libraries: datatables</t>
  </si>
  <si>
    <t>2021-08-26T01:25:01.000Z</t>
  </si>
  <si>
    <t>CommScope Technologies AG</t>
  </si>
  <si>
    <t>9a166e87-93e4-11eb-b4a6-27899be4e45d</t>
  </si>
  <si>
    <t>Commscope Technologies Ag</t>
  </si>
  <si>
    <t>Whirlpool International GmbH</t>
  </si>
  <si>
    <t>Internationales Steuerseminar Schweiz</t>
  </si>
  <si>
    <t>Zürich</t>
  </si>
  <si>
    <t>Bachenbülach</t>
  </si>
  <si>
    <t>Bächliwis</t>
  </si>
  <si>
    <t>2B</t>
  </si>
  <si>
    <t>CH, Switzerland, Zurich, Zurich, 8001, Talstrasse, 80, 47.37186295, 8.53436182137605</t>
  </si>
  <si>
    <t>Internationales Steuerseminar Schweiz (IStS) is an annual event held in St. Moritz, Switzerland, where experts in international tax law gather to discuss current topics. The seminar features lectures, panel discussions, and networking opportunities. It is a well-established tradition in the field of international tax law, providing a unique environment for knowledge exchange and professional development.</t>
  </si>
  <si>
    <t>Legal Services | Knowledge Sharing Platform for Tax Professionals | Knowledge Transfer Services | Offsite Networking | Knowledge Exchange Platform | Networking Opportunities | International Tax Law Knowledge Exchange | Event Organization Services | International Tax Conference Organization | Taxes Consulting</t>
  </si>
  <si>
    <t>Einmal im Jahr treffen sich Experten des internationalen Steuerrechts zur Wintertagung in St.</t>
  </si>
  <si>
    <t>Im Jahr 1962 wurde von international tÃ¤tigen Steuerberatern, WirtschaftsprÃ¼fern und RechtsanwÃ¤lten der deutschsprachigen LÃ¤nder das Internationale Steuerseminar mit Sitz in der Schweiz gegrÃ¼ndet. Seitdem findet jÃ¤hrlich die Wintertagung in St. Moritz statt. Die Seminarveranstaltung dient dem gegenseitigen Erfahrungsaustausch und der Aussprache Ã¼ber aktuelle Entwicklungen des internationalen Steuerrechts sowie der Besteuerungspraxis. GesprÃ¤chspartner sind international tÃ¤tige AnwÃ¤lte, Steuerberater und FÃ¼hrungskrÃ¤fte von Unternehmen. Durch die regelmÃ¤ÃŸige Teilnahme von Experten aus Europa und den USA ergeben sich aktuelle Situationsberichte und DiskussionsbeitrÃ¤ge aus der Sicht dieser LÃ¤nder. Die Teilnehmer der Veranstaltung schÃ¤tzen insbesondere auch die MÃ¶glichkeit, persÃ¶nliche und geschÃ¤ftliche Kontakte anknÃ¼pfen und pflegen zu kÃ¶nnen.</t>
  </si>
  <si>
    <t>International Tax Law | Events &amp; Service</t>
  </si>
  <si>
    <t>Tax Preparation</t>
  </si>
  <si>
    <t>Tax Return Preparation Services</t>
  </si>
  <si>
    <t>seminar@ists.ch</t>
  </si>
  <si>
    <t>https://www.ists.ch/</t>
  </si>
  <si>
    <t>https://www.linkedin.com/company/steuerseminar-ists</t>
  </si>
  <si>
    <t>javascript libraries: core-js | page builders: elementor - 3.13.1 | javascript libraries: jquery ui - 1.13.2 | miscellaneous: rss | web servers: empathy platform | javascript libraries: swiper | miscellaneous: webpack | analytics: wp-statistics | wordpress plugins: elementor | javascript libraries: core-js - 3.19.1 | javascript frameworks: vue.js | widgets: css | cms: wordpress - 6.2.2 | font scripts: google font api | wordpress plugins: elementor - 3.13.1 | javascript libraries: jquery - 3.5.1 | databases: mysql | miscellaneous: module federation | issue trackers: really simple discovery | javascript frameworks: vue.js - 2.6.11 | cms: site.com | editors: dreamweaver | blogs: wordpress - 6.2.2 | network devices: html | miscellaneous: jquery easing | javascript libraries: jquery ui | web servers: apache | wordpress plugins: w3 total cache | javascript libraries: lightbox | network devices: html5 | web servers: apache http server | javascript libraries: imagesloaded | cms: wordpress | blogs: wordpress | caching: w3 total cache | miscellaneous: linkedin | javascript libraries: jquery | widgets: javascript | javascript libraries: jquery migrate - 3.3.2 | font scripts: twitter emoji (twemoji) | wordpress plugins: wp-statistics | programming languages: php | javascript libraries: jquery migrate | page builders: elementor</t>
  </si>
  <si>
    <t>2020-08-21T14:15:08.000Z</t>
  </si>
  <si>
    <t>COMMSCOPE TECHNOLOGIES LLC</t>
  </si>
  <si>
    <t>7e64da92-e11e-11ec-b909-77b33c15dd42</t>
  </si>
  <si>
    <t>CommScope</t>
  </si>
  <si>
    <t>Commscope Technologies K Ltdtd</t>
  </si>
  <si>
    <t>Texas</t>
  </si>
  <si>
    <t>Euless</t>
  </si>
  <si>
    <t>South Pipeline Road</t>
  </si>
  <si>
    <t>KE, Kenya, Nairobi County, Nairobi, 46464, Kigali Road, , -1.28286065, 36.820567599719894 | KE, Kenya, Nairobi County, Nairobi, 46464, Kimathi Street, , -1.2831948, 36.8220284</t>
  </si>
  <si>
    <t>Cutting-edge Solutions Investigation | Network Consulting Services | Managed IT Services | IT Consulting Services | IT Infrastructure Optimization | On-site Support | Cybersecurity Strengthening | Remote Support Services | IT Solutions Provider</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</si>
  <si>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t>
  </si>
  <si>
    <t>Our knowledgeable team of IT professionals is here to help you navigate the constantly changing technological landscape, offer insightful strategic guidance, and offer qualified advice to help you align your IT with your business goals. We have the expertise and sector knowledge to deliver results whether you're looking to optimize your IT infrastructure, strengthen cybersecurity controls, or investigate cutting-edge solutions to bolster your growth. Fortinet is a leading provider of fast and secure cybersecurity solutions offering a vast array of network security products. Microsoft supports digital transformation in the age of the intelligent edge and cloud. Its goal is to enable each individual and every organization on the planet to accomplish more. HPE is a worldwide leader providing servers, storage, cloud, wired and wireless networking solutions. Lenovo is a global leader in innovative consumer, commercial and enterprise technologies. Cisco is the largest networking company in the world delivering reliable, scalable and secure equipment and systems.</t>
  </si>
  <si>
    <t>Remote Repair | Network Consultation | Managed I.T Services | Wired &amp; Wireless Networks | Network Security Products | Enterprise Technology | Virtualization Management | Cyber Security Solution | Server And Storage | Security Equipments</t>
  </si>
  <si>
    <t>admin@commscope-ea.com</t>
  </si>
  <si>
    <t>2022-05-31T12:56:25.000Z</t>
  </si>
  <si>
    <t>COMVIVA TECHNOLOGIES LIMITED</t>
  </si>
  <si>
    <t>8913e0f5-93e4-11eb-91fb-73d498260b10</t>
  </si>
  <si>
    <t>Comviva</t>
  </si>
  <si>
    <t>Comviva Technologies Limited</t>
  </si>
  <si>
    <t>Comviva Technologies</t>
  </si>
  <si>
    <t>IN</t>
  </si>
  <si>
    <t>India</t>
  </si>
  <si>
    <t>Haryana</t>
  </si>
  <si>
    <t>Gurugram</t>
  </si>
  <si>
    <t>Golf Course Extension Road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</si>
  <si>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</si>
  <si>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mobiquityÂ® Pay, a digital payment platform, and MobiLytixâ„¢,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</si>
  <si>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</si>
  <si>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</si>
  <si>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</si>
  <si>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</si>
  <si>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</si>
  <si>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</si>
  <si>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0124 481 9000</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</si>
  <si>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</si>
  <si>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</si>
  <si>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</si>
  <si>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</si>
  <si>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</si>
  <si>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</si>
  <si>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</si>
  <si>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</si>
  <si>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</si>
  <si>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</si>
  <si>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</si>
  <si>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</si>
  <si>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CONSCIA DANMARK A/S</t>
  </si>
  <si>
    <t>33c93c45-a7e0-11ef-af89-216a077ca7fb</t>
  </si>
  <si>
    <t>Conscia Danmark A/S</t>
  </si>
  <si>
    <t>Conscia Danmark A/S.</t>
  </si>
  <si>
    <t>Brøndby</t>
  </si>
  <si>
    <t>Kirkebjerg Parkvej</t>
  </si>
  <si>
    <t>Vi leverer IT-infrastrukturløsninger og 24/7-services inden for enterprise– og service provider-netværk, datacenter &amp; cloud, sikkerhed og mobility. Sammen med vores kunder arbejder vi målrettet for at få det størst mulige udbytte af nyeste teknologi.</t>
  </si>
  <si>
    <t>IT infrastructure; networking; cybersecurity; managed services; data centre</t>
  </si>
  <si>
    <t>Brøndby-based IT infrastructure and cybersecurity services provider.</t>
  </si>
  <si>
    <t>Conscia Danmark A/S is a Denmark-based IT services company headquartered in Brøndby. As part of the Conscia Group, it designs, implements and operates secure network, data centre and cybersecurity solutions, offering consulting, integration and managed services for enterprises and public organisations.</t>
  </si>
  <si>
    <t>IT services; networking; cybersecurity; managed services; cloud infrastructure</t>
  </si>
  <si>
    <t>IT Infrastructure &amp; Security Services</t>
  </si>
  <si>
    <t>IT systems integration and managed services</t>
  </si>
  <si>
    <t>Computer Integrated Systems Design</t>
  </si>
  <si>
    <t>Computer consultancy and computer facilities management activities</t>
  </si>
  <si>
    <t>Computer consultancy activities</t>
  </si>
  <si>
    <t>70 20 77 80</t>
  </si>
  <si>
    <t>+45 70 20 77 80</t>
  </si>
  <si>
    <t>https://www.conscia.dk/</t>
  </si>
  <si>
    <t>https://www.facebook.com/Conscia</t>
  </si>
  <si>
    <t>https://www.linkedin.com/company/conscia-danmark-as/</t>
  </si>
  <si>
    <t>font scripts: bootstrap icons | web servers: litespeed | ui frameworks: bootstrap | widgets: css | security: hsts | miscellaneous: http/3 | network devices: html | cdn: jsdelivr | network devices: html5 | widgets: javascript</t>
  </si>
  <si>
    <t>2024-11-15T05:11:28.000Z</t>
  </si>
  <si>
    <t>CONTROL RISKS GROUP LIMITED</t>
  </si>
  <si>
    <t>be890a78-9d75-11ed-816c-8fdd7f384ea6</t>
  </si>
  <si>
    <t>Control Risks Group</t>
  </si>
  <si>
    <t>Control Risks Group Holdings Ltd.</t>
  </si>
  <si>
    <t>EC4R 9AT</t>
  </si>
  <si>
    <t>King William Street</t>
  </si>
  <si>
    <t>GB, United Kingdom, England, London, SE1 2QG, Cottons Lane, , 51.506132, -0.0849124</t>
  </si>
  <si>
    <t>Control Risks is the specialist global risk consultancy that helps organisations succeed in a volatile world. Find out more.</t>
  </si>
  <si>
    <t>risk consultancy; security services; political risk; investigations; resilience; crisis management</t>
  </si>
  <si>
    <t>Global risk consultancy providing security, political and operational risk advisory and services.</t>
  </si>
  <si>
    <t>Control Risks Group Limited is a UK private limited company headquartered at 33 King William Street, London. The firm is a global specialist risk consultancy, advising corporations, financial institutions and governments on political, security, digital and operational risks, and providing investigative, crisis response and resilience services worldwide.</t>
  </si>
  <si>
    <t>risk advisory; security consulting; political risk; digital risk; investigations; crisis management</t>
  </si>
  <si>
    <t>541618</t>
  </si>
  <si>
    <t>Other Management Consulting Services</t>
  </si>
  <si>
    <t>Consulting &amp; Advisory Services</t>
  </si>
  <si>
    <t>Risk and security consulting</t>
  </si>
  <si>
    <t>Management Consulting Services</t>
  </si>
  <si>
    <t>Management consultancy activities other than financial management</t>
  </si>
  <si>
    <t>020 7970 2100</t>
  </si>
  <si>
    <t>+44 20 7970 2100</t>
  </si>
  <si>
    <t>https://www.controlrisks.com/</t>
  </si>
  <si>
    <t>https://www.facebook.com/Control-Risks-899659730060352/</t>
  </si>
  <si>
    <t>https://x.com/Control_Risks</t>
  </si>
  <si>
    <t>https://www.instagram.com/controlrisks/?hl=en</t>
  </si>
  <si>
    <t>https://www.linkedin.com/company/control-risks/mycompany/</t>
  </si>
  <si>
    <t>https://www.youtube.com/user/controlrisks</t>
  </si>
  <si>
    <t>2023-01-26T12:33:29.102Z</t>
  </si>
  <si>
    <t>CORPORATE COMMUNICATIONS AS</t>
  </si>
  <si>
    <t>e48e4e11-93e4-11eb-919a-b3f9a5ad205c</t>
  </si>
  <si>
    <t>Corporate Communications AS</t>
  </si>
  <si>
    <t>Corporate Communications | Corporate Communications AS</t>
  </si>
  <si>
    <t>Kavringen brygge</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</si>
  <si>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</si>
  <si>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</si>
  <si>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</si>
  <si>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</si>
  <si>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forstÃ¥r forretning og strategi, og som gir rÃ¥d basert pÃ¥ analyse, erfaring og samfunnsforstÃ¥else. Vi hjelper ledere og virksomheter med Ã¥ forstÃ¥ og snakke bedre med omverdenen - spesielt i mÃ¸te med aktÃ¸rer de selv ikke hÃ¥ndterer i det daglige, som media, politikere eller investorer. VÃ¥re kundeforhold er tette, fortrolige og langsiktige. Vi gir kundene det de forventer, og litt til, samtidig som rÃ¥dgiverne har det bra. For oss er dette to sider av samme sak. Det skal vÃ¦re en glede Ã¥ jobbe i og med CC.Les mer om hvordan vi kan hjelpe deg vÃ¥re nettsider: https://corporatecommunications.no/our-services</t>
  </si>
  <si>
    <t>Public Affairs Services | Public Relations | Crisis Management | Communications and Public Affairs Services</t>
  </si>
  <si>
    <t>Public Relations Agencies</t>
  </si>
  <si>
    <t>Public Relations Services</t>
  </si>
  <si>
    <t>23 89 89 30</t>
  </si>
  <si>
    <t>+4721053000 | +4723898930</t>
  </si>
  <si>
    <t>admin@corpcom.no</t>
  </si>
  <si>
    <t>http://www.corpcom.no/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</si>
  <si>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</si>
  <si>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</si>
  <si>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</si>
  <si>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</si>
  <si>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</si>
  <si>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COUPA SOFTWARE, INC.</t>
  </si>
  <si>
    <t>f62860c0-93e4-11eb-8e19-198fb02d6f96</t>
  </si>
  <si>
    <t>Coupa Software Inc. - Foster City Office</t>
  </si>
  <si>
    <t>Coupa Software Inc.</t>
  </si>
  <si>
    <t>Coupa | Coupa Software</t>
  </si>
  <si>
    <t>Foster City</t>
  </si>
  <si>
    <t>Tower Lane</t>
  </si>
  <si>
    <t>US, United States, California, San Mateo, 94402, South Grant Street, 1855, 37.553489685058594, -122.29952239990234 | US, United States, California, Foster City, 94404, Tower Lane, 950, 37.55886877242468, -122.27619135251862 | DE, Germany, Baden-WÃ¼rttemberg,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Baden-WÃ¼rttemberg, Karlsruhe, 76227, KillisfeldstraÃŸe,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</si>
  <si>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</si>
  <si>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</si>
  <si>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</si>
  <si>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</si>
  <si>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</si>
  <si>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Computing Infrastructure Providers, Data Processing, Web Hosting, and Related Services</t>
  </si>
  <si>
    <t>Software Developers (Custom) | Software Implementation Integration | Cloud Computing | Information Technology Consultants | Technology Customer Support Services (For others)</t>
  </si>
  <si>
    <t>891802 | 740810 | 740808 | 641411 | 740809</t>
  </si>
  <si>
    <t>(650) 931-3200</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</si>
  <si>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</si>
  <si>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</si>
  <si>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</si>
  <si>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</si>
  <si>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</si>
  <si>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https://www.facebook.com/coupasoftware/</t>
  </si>
  <si>
    <t>https://twitter.com/Coupa</t>
  </si>
  <si>
    <t>https://www.instagram.com/coupalife/</t>
  </si>
  <si>
    <t>http://www.linkedin.com/company/coupa-software</t>
  </si>
  <si>
    <t>https://www.youtube.com/user/CoupaSoftware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</si>
  <si>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</si>
  <si>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2019-11-24T00:06:47.000Z</t>
  </si>
  <si>
    <t>COURSERA, INC.</t>
  </si>
  <si>
    <t>7e044e20-93e4-11eb-8474-3bbe2d07207d</t>
  </si>
  <si>
    <t>Coursera</t>
  </si>
  <si>
    <t>Coursera Inc. | Coursera BV. | Coursera Europe B.V. | Coursera UK Limited</t>
  </si>
  <si>
    <t>Mountain View</t>
  </si>
  <si>
    <t>West El Camino Real</t>
  </si>
  <si>
    <t>US, United States, California, Mountain View, 94041, East Evelyn Avenue, 381, 37.3868266, -122.06084998304874 | NL, Netherlands, North Holland, Haarlemmermeer, 1118 BG, Schiphol Boulevard, 1118, 52.3082024, 4.7585661</t>
  </si>
  <si>
    <t>Learn new job skills in online courses from industry leaders like Google, IBM, &amp; Meta. Advance your career with top degrees from Michigan, Penn, Imperial &amp; more.</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</si>
  <si>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</si>
  <si>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</si>
  <si>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</si>
  <si>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</si>
  <si>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Junior Colleges</t>
  </si>
  <si>
    <t>SV-ED</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</si>
  <si>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</si>
  <si>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</si>
  <si>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Other education n.e.c.</t>
  </si>
  <si>
    <t>85.53 | 85.59</t>
  </si>
  <si>
    <t>Driving school activities | Other education n.e.c.</t>
  </si>
  <si>
    <t>864401 | 832301 | 832401 | 641401 | 830401</t>
  </si>
  <si>
    <t>(800) 937-5449</t>
  </si>
  <si>
    <t>+12152669797 | +16509639884</t>
  </si>
  <si>
    <t>privacy@coursera.org</t>
  </si>
  <si>
    <t>security@coursera.org | copyright@coursera.org | privacy@coursera.org | press@coursera.org</t>
  </si>
  <si>
    <t>eu-representative@coursera.org | consumer-arbitration@coursera.org</t>
  </si>
  <si>
    <t>http://www.coursera.org/</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</si>
  <si>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</si>
  <si>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</si>
  <si>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</si>
  <si>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</si>
  <si>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</si>
  <si>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</si>
  <si>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</si>
  <si>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</si>
  <si>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2019-11-24T03:26:47.000Z</t>
  </si>
  <si>
    <t>CRAYON A/S</t>
  </si>
  <si>
    <t>06114cdd-2566-11ef-8cf6-9964b1248c28</t>
  </si>
  <si>
    <t>Crayon</t>
  </si>
  <si>
    <t>Crayon Software Experts India Pvt Ltd. | Crayon Software Experts Spain SL. | Crayon Trust</t>
  </si>
  <si>
    <t>Crayon AS | Crayon | Crayons | Crayon Software Experts</t>
  </si>
  <si>
    <t>Tobaksvejen</t>
  </si>
  <si>
    <t>2A</t>
  </si>
  <si>
    <t>NO, Norway, Oslo, Oslo, 0402, Sandakerveien, 114 a, 59.9451234, 10.7722714 | SI, Slovenia, Ljubljana, Ljubljana, 1000, Å martinska cesta, 106, 46.0679923, 14.5369986 | SE, Sweden, SkÃ¥ne County, Malmo, 211 11, Skeppsgatan, 19, 55.6083661, 12.982525 | DE, Germany, Bavaria, Unterhaching, 82008, InselkammerstraÃŸe, 12, 48.0550662, 11.609586697105122 | CH, Switzerland, Uri, Altdorf, 6460, Bahnhofplatz, 1, 46.8757914, 8.6317244 | LT, Lithuania, Vilnius County, Vilnius, LT-03116, SavanoriÅ³ pr., 28, 54.6754616, 25.2530637 | SE, Sweden, Stockholm County, Solna, 171 54, RÃ¶ntgenvÃ¤gen, 3D, 59.357535, 17.9767118 | LV, Latvia, RÄ«ga, RÄ«ga, LV-1013, Duntes iela, , 56.9806477, 24.1366485 | GB, United Kingdom, England, High Wycombe, HP10 0HH, Wycombe Lane, Mercury Park, 51.59355829411765, -0.6829669 | HU, Hungary, Budapest, Budapest, 1031, ZÃ¡hony utca, 7, 47.56295695, 19.054194140944105</t>
  </si>
  <si>
    <t>Vi er eksperter i optimering af software og cloud. Vi hjælper dig med at tage de rigtige valg på din digitale rejse. ☁️</t>
  </si>
  <si>
    <t>Workplace Migration Services | Software Asset Management | Migration Assessment Services | Cloud POC Services | Cloud Assessment and Migration Services | IT Services | IT Investment Optimization Consultancy | IT Estate Optimization | Channel Partner | Digital and Cloud Transformation Consultancy | Cloud Infrastructure Advisory | Software Asset Procurement | Cloud-based Technology Solutions | Cloud Connectivity | Software Development Partner | Data and AI Solutions | Cloud Connectivity Service Offerings | License Training Programs | Return on Investment Maximization | Governance Optimization | Digital Transformation and Cloud First Strategies | Operations Support | Innovation Acceleration | Maturity Assessments</t>
  </si>
  <si>
    <t>Global leader in IT and digital transformation. Largest independent cloud economics practice. Cloud optimization, data &amp; AI, cybersecurity, and more.</t>
  </si>
  <si>
    <t>We help you buy software. At Crayon, we understand that efficient software procurement is a cornerstone of business success in the digital age. As a global leader, we leverage our extensive expertise to deliver tailored procurement solutions that meet the diverse needs of our clients. Our approach combines professional, confident, and approachable service with a deep understanding of the software landscape. Customised advisory and FinOps support for optimising costs, from monitoring spend to negotiating contracts. Comprehensive managed services for seamless acquisition, integration, and ongoing software support. Gain clarity and control over your software investments with Crayon's software procurement services. By leveraging our multi-vendor expertise, we help you maximise contract value, minimise compliance risks, and streamline renewals, all while aligning with your broader digital procurement goals. Our approach ensures that every licensing decision adds strategic value to your business.</t>
  </si>
  <si>
    <t>Cost &amp; Savings | Microsoft Security | Innovation Acceleration | Technology Vendors | Digital Transformation Consultancy | Hybrid And Multicloud | Cloud First | Media Advertising | Software Asset Management | Targeted Advertising</t>
  </si>
  <si>
    <t>70 23 20 88</t>
  </si>
  <si>
    <t>+35929963770 | +381114159897 | +6569507678 | +358104408300 | +4989200050600 | +40743143584 | +97143671233 | +14696464038 | +3545199600 | +4722891001 | +380444657520 | +4570232088 | +420724272966 | +41418747450 | +4722891000 | +918056522331 | +622150666200 | +94112559006 | +4989200050400 | +41415456480 | +27874057017 | +63288718463 | +46850530730 | +43720303025 | +31202626511</t>
  </si>
  <si>
    <t>license.dk@crayon.com</t>
  </si>
  <si>
    <t>https://www.crayon.com/dk/</t>
  </si>
  <si>
    <t>https://www.facebook.com/CrayonITGroup/</t>
  </si>
  <si>
    <t>https://twitter.com/crayonit</t>
  </si>
  <si>
    <t>https://www.linkedin.com/company/crayon-group</t>
  </si>
  <si>
    <t>web servers: .net framework | miscellaneous: babel | javascript libraries: core-js | paas: azure | web servers: empathy platform | security: recaptcha | web servers: azure app service | widgets: css | web frameworks: microsoft asp.net | advertising: doubleclick floodlight | font scripts: adobe fonts | font scripts: typekit | miscellaneous: open graph | cookie compliance: onetrust | network devices: html | web servers: schannel | operating systems: windows server | analytics: microsoft clarity | network devices: html5 | analytics: linkedin insight tag | web servers: iis | tag managers: google tag manager | analytics: google campaign manager 360 | widgets: javascript | javascript graphics: chart.js | advertising: microsoft advertising</t>
  </si>
  <si>
    <t>2024-06-02T22:08:32.000Z</t>
  </si>
  <si>
    <t>CRAYON AS</t>
  </si>
  <si>
    <t>a8683402-93e4-11eb-919a-b3f9a5ad205c</t>
  </si>
  <si>
    <t>Crayon AS</t>
  </si>
  <si>
    <t>Crayon Deutschland GmbH</t>
  </si>
  <si>
    <t>Crayon Schweiz AG | CRAYON</t>
  </si>
  <si>
    <t>Gullhaug Torg</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</si>
  <si>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InselkammerstraÃŸe, 12, 48.0550662, 11.609586697105122</t>
  </si>
  <si>
    <t>IT consultancy; software licensing; cloud services; digital transformation; SAM</t>
  </si>
  <si>
    <t>Oslo-based software licensing and cloud consultancy.</t>
  </si>
  <si>
    <t>Crayon AS is a Norway-based IT and software services company headquartered at Gullhaug Torg 5, Oslo. The company provides software asset management, cloud and licensing advisory, and digital transformation services to enterprises and public organisations, and is part of the wider Crayon Group.</t>
  </si>
  <si>
    <t>software consultancy; cloud services; licensing optimisation; enterprise IT</t>
  </si>
  <si>
    <t>541512</t>
  </si>
  <si>
    <t>Computer Systems Design Services</t>
  </si>
  <si>
    <t>Software &amp; IT Consultancy</t>
  </si>
  <si>
    <t>Enterprise software licensing and cloud consultancy</t>
  </si>
  <si>
    <t>22 89 10 00</t>
  </si>
  <si>
    <t>+47 22 89 10 00</t>
  </si>
  <si>
    <t>crayon.es@crayon.com</t>
  </si>
  <si>
    <t>https://www.crayon.com/</t>
  </si>
  <si>
    <t>https://www.linkedin.com/company/crayon-group/</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</si>
  <si>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</si>
  <si>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2020-05-03T15:14:24.000Z</t>
  </si>
  <si>
    <t>CRAYON PTE. LTD.</t>
  </si>
  <si>
    <t>6a476573-fc5f-11ed-8ac7-07e1fa4e1850</t>
  </si>
  <si>
    <t>Crayon Pte Ltd</t>
  </si>
  <si>
    <t>CRAYON CREATION</t>
  </si>
  <si>
    <t>Lahore</t>
  </si>
  <si>
    <t>Raffles Place</t>
  </si>
  <si>
    <t>SG, Singapore, , , , , , 1.357107, 103.8194992 | SG, Singapore, , , , , , ,</t>
  </si>
  <si>
    <t>IT consultancy; software licensing; cloud services; digital transformation</t>
  </si>
  <si>
    <t>Singapore IT consultancy focused on software asset management and cloud solutions.</t>
  </si>
  <si>
    <t>Crayon Pte. Ltd. is a Singapore-based information technology consultancy and software services company. Operating from Singapore Land Tower, it provides software licensing optimisation, cloud services and digital transformation advisory to enterprises in Singapore and the wider region as part of the global Crayon Group.</t>
  </si>
  <si>
    <t>6521 7031</t>
  </si>
  <si>
    <t>+65 6521 7031</t>
  </si>
  <si>
    <t>contact@crayon.sg</t>
  </si>
  <si>
    <t>https://www.facebook.com/crayoncreation.sg/</t>
  </si>
  <si>
    <t>https://www.instagram.com/crayon.sg/</t>
  </si>
  <si>
    <t>2023-05-27T06:42:29.000Z</t>
  </si>
  <si>
    <t>CROWDSTRIKE SERVICES, INC.</t>
  </si>
  <si>
    <t>01be7de3-0c24-11ec-aa7c-a3d935d57c91</t>
  </si>
  <si>
    <t>Crowdstrike</t>
  </si>
  <si>
    <t>CrowdStrike Zero Trust</t>
  </si>
  <si>
    <t>CrowdStrike | CrowdStrike Netskope | CrowdStrike and Netskope partnership | CrowdStrike AU</t>
  </si>
  <si>
    <t>Sunnyvale</t>
  </si>
  <si>
    <t>Mathilda Place</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</si>
  <si>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</si>
  <si>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global cybersecurity leader with an advanced cloud-native platform for protecting endpoints, cloud workloads, identities and data.</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</si>
  <si>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</si>
  <si>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</si>
  <si>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</si>
  <si>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</si>
  <si>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(888) 512-8906</t>
  </si>
  <si>
    <t>+818001705401 | +18552769347 | +9668008803012 | +97144295829 | +18885128906 | +9718000320534 | +974800101302 | +448000487187 | +33801840073 | +611800290853 | +910008000403447 | +611800505486 | +611300245584 | +498003252669 | +441184530400</t>
  </si>
  <si>
    <t>publicsector@crowdstrike.com</t>
  </si>
  <si>
    <t>https://www.crowdstrike.com/</t>
  </si>
  <si>
    <t>https://www.facebook.com/CrowdStrike/</t>
  </si>
  <si>
    <t>https://x.com/intent/follow?screen_name=CrowdStrike</t>
  </si>
  <si>
    <t>https://www.instagram.com/crowdstrike/?hl=en</t>
  </si>
  <si>
    <t>https://www.linkedin.com/company/crowdstrike</t>
  </si>
  <si>
    <t>https://www.youtube.com/subscription_center?add_user=crowdstrike</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</si>
  <si>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</si>
  <si>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</si>
  <si>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Searcher ApS</t>
  </si>
  <si>
    <t>c7c58151-43ae-11ef-b5d2-e5c02fb4c089</t>
  </si>
  <si>
    <t>Searcher ApS.</t>
  </si>
  <si>
    <t>Searcher</t>
  </si>
  <si>
    <t>Aarhus</t>
  </si>
  <si>
    <t>Vester Allé</t>
  </si>
  <si>
    <t>DK, Denmark, Central Denmark Region, Aarhus, 8000, Vester AllÃ©, 7, 56.154773399999996, 10.199275899999998</t>
  </si>
  <si>
    <t>Professionel rekruttering af direktører, ledere og specialister til virksomheder siden 1997. Skal vi også rekruttere kandidater til din virksomhed?</t>
  </si>
  <si>
    <t>recruitment; staffing; executive search; employment agency; HR services</t>
  </si>
  <si>
    <t>Aarhus-based recruitment and employment agency.</t>
  </si>
  <si>
    <t>Searcher ApS is a Danish recruitment and staffing agency headquartered at Vester Allé 7, 8000 Aarhus C, in the Central Denmark Region. Established in 1984, the company focuses on employment placement and recruitment services for businesses across Denmark.</t>
  </si>
  <si>
    <t>recruitment services; staffing; executive search; employment placement; HR consulting</t>
  </si>
  <si>
    <t>Recruitment &amp; Staffing Services</t>
  </si>
  <si>
    <t>Employment placement and recruitment</t>
  </si>
  <si>
    <t>Administrative and Support Services</t>
  </si>
  <si>
    <t>Employment Agencies</t>
  </si>
  <si>
    <t>72 30 05 11</t>
  </si>
  <si>
    <t>+45 72 30 05 11</t>
  </si>
  <si>
    <t>sk@searcher.dk</t>
  </si>
  <si>
    <t>info@searcher.dk</t>
  </si>
  <si>
    <t>mr@searcher.dk | sk@searcher.dk | ehc@searcher.dk | jb@searcher.dk | jc@searcher.dk | pn@searcher.dk | lba@searcher.dk | jh@searcher.dk</t>
  </si>
  <si>
    <t>https://searcher.dk/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</si>
  <si>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</si>
  <si>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</si>
  <si>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2024-06-19T15:14:55.000Z</t>
  </si>
  <si>
    <t>CUSHMAN &amp; WAKEFIELD SERVICES (THAILAND) CO., LTD.</t>
  </si>
  <si>
    <t>0158c209-93e5-11eb-86dd-ffbd1b53140e</t>
  </si>
  <si>
    <t>Cushman &amp; Wakefield Services (Thailand) Co., Ltd.</t>
  </si>
  <si>
    <t>Cushman &amp; Wakefield Kft.</t>
  </si>
  <si>
    <t>All Seasons Place, Wireless Road</t>
  </si>
  <si>
    <t>87/2</t>
  </si>
  <si>
    <t>HU, Hungary, Budapest, Budapest, 1052, DeÃ¡k Ferenc tÃ©r, 5, 47.4974084, 19.0550029</t>
  </si>
  <si>
    <t>commercial real estate; property leasing; shopping centres; investment property; asset management</t>
  </si>
  <si>
    <t>Kongens Lyngby-based company owning and leasing commercial properties.</t>
  </si>
  <si>
    <t>DADES Center Øst ApS is a Danish real estate company in the DADES Group, headquartered at Lyngby Hovedgade 4, 2800 Kongens Lyngby. Established in 2019, the company's purpose is to own and manage commercial properties and lease retail and business premises as part of DADES’ property portfolio.</t>
  </si>
  <si>
    <t>real estate investment; commercial property; leasing; shopping centres; asset management</t>
  </si>
  <si>
    <t>Real Estate – Commercial</t>
  </si>
  <si>
    <t>Commercial property ownership and leasing</t>
  </si>
  <si>
    <t>Real Estate Services</t>
  </si>
  <si>
    <t>IF-RS</t>
  </si>
  <si>
    <t>Operators of Nonresidential Buildings</t>
  </si>
  <si>
    <t>Building Owner - Multiple Occupancy - Mixed-Use Commercial | Real Estate Agents (No Property Management, No Real Estate Management) | Building Management / Property Management | Building Owner - Single Occupancy - Retail | Building Owner - Multiple Occupancy - Retail (Not Enclosed Mall)</t>
  </si>
  <si>
    <t>Rental and operating of own or leased real estate</t>
  </si>
  <si>
    <t>Renting and operating of own or leased real estate</t>
  </si>
  <si>
    <t>399101 | 658001 | 739301 | 663201 | 529101</t>
  </si>
  <si>
    <t>02 168 3101</t>
  </si>
  <si>
    <t>+3612681288 | +3612681289</t>
  </si>
  <si>
    <t>info@hun-industrial.hu</t>
  </si>
  <si>
    <t>https://www.cushmanwakefield.com/en/offices/thailand?utm_source=google&amp;utm_medium=organic&amp;utm_campaign=gmb_uberall_THA001</t>
  </si>
  <si>
    <t>javascript libraries: core-js | widgets: flexslider | wordpress plugins: elementskit | miscellaneous: rss | ui frameworks: bootstrap | maps: google maps | web servers: empathy platform | performance: priority hints | web frameworks: bootstrap | javascript libraries: swiper | wordpress plugins: elementor | widgets: css | ui frameworks: animate.css | web frameworks: animate.css | font scripts: google font api | javascript libraries: modernizr | databases: mysql | issue trackers: really simple discovery | wordpress plugins: crocoblock jetelements | cms: site.com | network devices: html | miscellaneous: jquery easing | javascript libraries: jquery ui | web servers: apache | javascript frameworks: modernizr | cookie compliance: cookieyes | network devices: html5 | web servers: apache http server | miscellaneous: facebook | javascript libraries: imagesloaded | cms: wordpress | blogs: wordpress | miscellaneous: pdf.js | miscellaneous: linkedin | javascript libraries: jquery | widgets: javascript | font scripts: twitter emoji (twemoji) | programming languages: php | wordpress themes: hello elementor | javascript libraries: jquery migrate | page builders: elementor | javascript frameworks: jquery | analytics: google analytics</t>
  </si>
  <si>
    <t>2019-12-04T00:38:08.000Z</t>
  </si>
  <si>
    <t>DADES Center Ost ApS</t>
  </si>
  <si>
    <t>1e999e70-93e5-11eb-91fb-73d498260b10</t>
  </si>
  <si>
    <t>Dades</t>
  </si>
  <si>
    <t>Dades A/S.</t>
  </si>
  <si>
    <t>DADES</t>
  </si>
  <si>
    <t>Kongens Lyngby</t>
  </si>
  <si>
    <t>Lyngby Hovedgade</t>
  </si>
  <si>
    <t>DK, Denmark, Capital Region of Denmark, Kongens Lyngby, 2800, Lyngby Hovedgade, 4, 55.7755666, 12.496682300000002 | DK, Denmark, Capital Region of Denmark, HÃ¸rsholm, 2970, HÃ¸rsholm Midtpunkt, 1, 55.881259899999996, 12.4967991</t>
  </si>
  <si>
    <t>Danish property company focused on ownership and leasing of commercial real estate within the DADES Group.</t>
  </si>
  <si>
    <t>New Housing For-Sale Builders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</si>
  <si>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</si>
  <si>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399101 | 529101 | 651101 | 740801 | 663301</t>
  </si>
  <si>
    <t>+4545260100 | +4545260102</t>
  </si>
  <si>
    <t>dades@dades.dk</t>
  </si>
  <si>
    <t>http://www.dades.dk/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</si>
  <si>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</si>
  <si>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</si>
  <si>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BONNIER BUSINESS PRESS A/S</t>
  </si>
  <si>
    <t>d73874c7-93e4-11eb-a736-0f5b20ecb2f1</t>
  </si>
  <si>
    <t>Bonnier Publications</t>
  </si>
  <si>
    <t>Bonnier Magazine Data A/S.</t>
  </si>
  <si>
    <t>Bonnier Magazine Data | BM Data</t>
  </si>
  <si>
    <t>Strandboulevarden</t>
  </si>
  <si>
    <t>DK, Denmark, Capital Region of Denmark, Copenhagen, 2100, Strandboulevarden, 122, 55.7095874, 12.585514199999997</t>
  </si>
  <si>
    <t>Bonnier Publications skaber medier, der hjælper dig med at få mere ud af dine interesser. Sundhed, videnskab, mode, design og meget mere.</t>
  </si>
  <si>
    <t>Weekly Subscription-based Publication | Software Development Company | Business Consultancy for Subscription-based Businesses | Custom Programming Services | Software Development and Implementation of Software | Magazine Subscription Management</t>
  </si>
  <si>
    <t>Vi tilbyder vores viden og systemer for at hjÃ¦lpe vores kunder med at effektivisere deres abonnementshÃ¥ndtering og tilstrÃ¦ber altid at finde den mest omkostningseffektive lÃ¸sning for vores kunder.</t>
  </si>
  <si>
    <t>En ledende leverandÃ¸r af abonnementssystemer og tilhÃ¸rende ydelser. BM Data har specialiseret sig indenfor abonnementshÃ¥ndtering af magasiner og ugeblade. Vi tilbyder vores viden og systemer for at hjÃ¦lpe vores kunder med at effektivisere deres abonnementshÃ¥ndtering og tilstrÃ¦ber altid at finde den mest omkostningseffektive lÃ¸sning for vores kunder. BM Data tilstrÃ¦ber at vores kunder altid skal have det bedste og mest effektive abonnementssystem i branchen. Vi vil vÃ¦re kendte som leverandÃ¸ren, der giver mest valuta for pengene indenfor fokusomrÃ¥derne: - Abonnementssystem - VirksomhedsrÃ¥dgivning - Drift. Vi er i dag 20 ansatte i henholdsvis Stockholm og KÃ¸benhavn. Services for registered clients.</t>
  </si>
  <si>
    <t>Newspapers &amp; Magazines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</si>
  <si>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</si>
  <si>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</si>
  <si>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Publishing of newspapers, journals and periodicals</t>
  </si>
  <si>
    <t>58.13 | 58.14</t>
  </si>
  <si>
    <t>Publishing of newspapers | Publishing of journals and periodicals</t>
  </si>
  <si>
    <t>39 17 20 00</t>
  </si>
  <si>
    <t>drift@bmd.bonnier.dk</t>
  </si>
  <si>
    <t>https://bonnierpublications.com/</t>
  </si>
  <si>
    <t>https://www.linkedin.com/company/bonnier-publications-a-s/</t>
  </si>
  <si>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</si>
  <si>
    <t>2020-05-06T14:58:18.000Z</t>
  </si>
  <si>
    <t>DAILY JURRAT</t>
  </si>
  <si>
    <t>67f652a7-a783-11ef-b3a1-67cf963fa180</t>
  </si>
  <si>
    <t>Daily Juraat روزنامہ جرات</t>
  </si>
  <si>
    <t>Print Ustad</t>
  </si>
  <si>
    <t>Abbott Road</t>
  </si>
  <si>
    <t>PK, Pakistan, Punjab, Civil Lines, 54010, Abbott Road, , 31.5651642, 74.3296973</t>
  </si>
  <si>
    <t>Print Ustad is a prominent printing company based in Pakistan, specializing in digital printing services. The company offers a wide range of products including business cards, office supplies, custom labels, stickers, banners, and various types of packaging. Print Ustad is known for its high-quality printing services at affordable prices, catering to both local and international markets. The company emphasizes fast delivery and customer satisfaction, providing online and mobile printing solutions.</t>
  </si>
  <si>
    <t>Customized Packaging Boxes | Custom Butter Paper | Ball Point Pens | Polaroid Photos | Invitation Card Design | Printing Services | Mobile Covers | 3D Design Services | Tissue Boxes</t>
  </si>
  <si>
    <t>We offer online printing services worldwide.</t>
  </si>
  <si>
    <t>Print Ustad is a Pakistan's 1st outstanding printing company. We provide Web to Print and Mobile to Print digital printing service in Pakistan. We are experts in Online Digital Printing. Print Ustad provide very high quality printing services in very affordable prices. You can place order online at anywhere in Lahore, Pakistan. Print Ustad starting with unique 3D Design and fast delivery service. Our Mission - You Think We Create. Print Ustad provide high quality online printing services in Pakistan. We are available 24/7 to help and answers your queries on right time. Print Ustad is a successful company in Pakistan. Print Ustad stands among Pakistan's premier printing services, renowned both locally and internationally. Our main vision is to provide high quality printing services in Pakistan. We provide exceptional online printing solutions across the globe. Print Ustad is one of Pakistan's best printing services, with a reputation that extends beyond the country. For us, this isn't merely a businessâ€”it's a passion that drives our commitment to excellence.</t>
  </si>
  <si>
    <t>Commercial Printing</t>
  </si>
  <si>
    <t>0300 9213479</t>
  </si>
  <si>
    <t>+923224602093 | +923322225891</t>
  </si>
  <si>
    <t>info@printustad.com</t>
  </si>
  <si>
    <t>https://printustad.co.uk/</t>
  </si>
  <si>
    <t>web servers: ibm websphere application server | javascript libraries: lodash | photo galleries: photoswipe | javascript libraries: core-js | cdn: cdnetworks dns | wordpress themes: woodmart | cdn: hostinger cdn | miscellaneous: rss | ui frameworks: bootstrap | web servers: empathy platform | performance: priority hints | ecommerce: woocommerce | javascript libraries: swiper | wordpress plugins: elementor | javascript frameworks: jquery blockui | widgets: css | javascript libraries: magnific popup | font scripts: google font api | miscellaneous: http/3 | databases: mysql | issue trackers: really simple discovery | cms: site.com | hosting: hostinger | reverse proxies: nunjucks | network devices: html | miscellaneous: jquery easing | javascript libraries: jquery ui | web servers: schannel | network devices: html5 | javascript libraries: imagesloaded | wordpress plugins: woocommerce | cms: wordpress | blogs: wordpress | ecommerce: cart functionality | javascript libraries: jquery | widgets: javascript | form builders: contact form 7 | programming languages: php | javascript libraries: jquery migrate | page builders: elementor | wordpress plugins: contact form 7 | javascript libraries: photoswipe</t>
  </si>
  <si>
    <t>2024-11-12T23:57:13.000Z</t>
  </si>
  <si>
    <t>Dansk Kredit Rad</t>
  </si>
  <si>
    <t>057557b1-7227-11ec-8591-955cbdeb7d48</t>
  </si>
  <si>
    <t>Dansk Kredit Råd</t>
  </si>
  <si>
    <t>Dansk Fodklinik</t>
  </si>
  <si>
    <t>Køge</t>
  </si>
  <si>
    <t>Brogade</t>
  </si>
  <si>
    <t>DK, Denmark, Region Zealand, SolrÃ¸d Strand, 2680, SolrÃ¸d Center, 9, 55.533927, 12.215289000000002</t>
  </si>
  <si>
    <t>Dansk Fodklinik, legally known as Dansk Fodklinik ApS., located in SolrÃ¸d Strand, Region Zealand, is a company specializing in professional foot care services. The clinic offers a range of treatments including common foot care, complex foot treatments, nail care, arch treatment, and diabetic foot care. The company is state-authorized, ensuring that its staff has undergone approved training and is authorized by the Board of Patient Safety. Dansk Fodklinik is trained to handle conditions such as diabetes, gout, nail changes, and skin diseases like psoriasis, ichthyosis, and hyperkeratosis. The clinic also provides physiological and neurological foot examinations, foot exercises for prevention and mobility, and individualized foot inserts.</t>
  </si>
  <si>
    <t>Foot Exercise Guidance | Podiatry Services | Healthcare Services | State-recognized and Approved Education | Foot Care Treatments | Independent Foot Pads | Foot Care Services | Nail Braces for Ingrown Nails</t>
  </si>
  <si>
    <t>LÃ¦s her om Covid-19 Book din tid online.</t>
  </si>
  <si>
    <t>Professional Treatments | Doctors &amp; Nurses</t>
  </si>
  <si>
    <t>Podiatrists</t>
  </si>
  <si>
    <t>Hospitals &amp; Clinics</t>
  </si>
  <si>
    <t>Health Care Delivery</t>
  </si>
  <si>
    <t>HC-DY</t>
  </si>
  <si>
    <t>Health Care Providers</t>
  </si>
  <si>
    <t>HC.3</t>
  </si>
  <si>
    <t>Offices and Clinics of Podiatrists</t>
  </si>
  <si>
    <t>Physicians and Surgeons (Specialist Surgeons) | Chiropractors | Physiotherapists / Occupational Therapists | Podiatrists / Chiropodists | Business Services - Not Otherwise Classified</t>
  </si>
  <si>
    <t>801201 | 802101 | 801801 | 802501 | 740801</t>
  </si>
  <si>
    <t>70 22 78 18</t>
  </si>
  <si>
    <t>mimi@danskfodklinik.dk</t>
  </si>
  <si>
    <t>https://www.danskfodklinik.dk/</t>
  </si>
  <si>
    <t>web servers: ibm websphere application server | wordpress plugins: wpbakery | wordpress plugins: contact form 7 - 5.6.3 | cms: wordpress - 6.0.6 | miscellaneous: rss | web servers: empathy platform | javascript libraries: snap.svg - 0.4.0 | widgets: css | programming languages: php - 8.1.24 | web frameworks: vivus | font scripts: google font api | javascript libraries: modernizr | databases: mysql | issue trackers: really simple discovery | page builders: wpbakery | cms: site.com | font scripts: font awesome - 4.7.0 | network devices: html | miscellaneous: jquery easing | font scripts: font awesome | web servers: schannel | network devices: html5 | form builders: contact form 7 - 5.6.3 | web servers: apache http server | blogs: wordpress - 6.0.6 | javascript libraries: jquery - 3.6.0 | cms: wordpress | blogs: wordpress | caching: varnish | javascript libraries: isotope | javascript libraries: snap.svg | font scripts: twitter emoji (twemoji) - 14.0.2 | javascript libraries: jquery | widgets: javascript | javascript libraries: jquery migrate - 3.3.2 | form builders: contact form 7 | font scripts: twitter emoji (twemoji) | javascript frameworks: jquery countdown | programming languages: php | javascript libraries: jquery migrate | wordpress plugins: contact form 7</t>
  </si>
  <si>
    <t>2022-01-05T15:18:15.000Z</t>
  </si>
  <si>
    <t>DANSK SUNDHEDSSIKRING KOMPLEMENTARSELSKAB ApS</t>
  </si>
  <si>
    <t>1f89f1e3-93e5-11eb-b5f6-816dd10ac7b0</t>
  </si>
  <si>
    <t>Dansk Sundhedssikring</t>
  </si>
  <si>
    <t>Dansk Sundhedssikring A/S.</t>
  </si>
  <si>
    <t>Dansk Sundhedssikring | DSS l</t>
  </si>
  <si>
    <t>Herlev</t>
  </si>
  <si>
    <t>Hørkær</t>
  </si>
  <si>
    <t>12B</t>
  </si>
  <si>
    <t>DK, Denmark, Capital Region of Denmark, Herlev, 2730, HÃ¸rkÃ¦r, 12B, 55.719423000000006, 12.437120000000002</t>
  </si>
  <si>
    <t>Danish private limited company acting as a general partner and holding entity related to the health insurance business Dansk Sundhedssikring.</t>
  </si>
  <si>
    <t>holding company; health insurance structure; general partner; corporate services</t>
  </si>
  <si>
    <t>Herlev-based general partner and holding company linked to Dansk Sundhedssikring.</t>
  </si>
  <si>
    <t>Dansk Sundhedssikring Komplementarselskab ApS is a Danish private limited company established in 2012 and registered at Marielundvej 43B, 2730 Herlev. The company acts as a general partner and holding entity within the Dansk Sundhedssikring health insurance group. It has limited direct operating activity and has since been dissolved according to Danish corporate registers.</t>
  </si>
  <si>
    <t>holding company; corporate vehicle; health insurance group</t>
  </si>
  <si>
    <t>Holding Companies</t>
  </si>
  <si>
    <t>Corporate holding / health insurance group structure</t>
  </si>
  <si>
    <t>Managed Care</t>
  </si>
  <si>
    <t>HC-MC</t>
  </si>
  <si>
    <t>70 20 61 21</t>
  </si>
  <si>
    <t>+4534739307 | +4570206121</t>
  </si>
  <si>
    <t>human.resource@ds-sundhed.dk</t>
  </si>
  <si>
    <t>databeskyttelsesraadgiver@ds-sundhed.dk</t>
  </si>
  <si>
    <t>kommunikation@ds-sundhed.dk | human.resource@ds-sundhed.dk | salg@ds-sundhed.dk | sundhedsforsikring@ds-sundhed.dk</t>
  </si>
  <si>
    <t>http://ds-sundhed.dk/</t>
  </si>
  <si>
    <t>https://www.linkedin.com/company/10776953/</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</si>
  <si>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</si>
  <si>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</si>
  <si>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DANSKE BANK A/S</t>
  </si>
  <si>
    <t>1c7e5102-fd64-11ec-82cf-f9c041394a5e</t>
  </si>
  <si>
    <t>Danske Bank</t>
  </si>
  <si>
    <t>Danske Bank Filmklub</t>
  </si>
  <si>
    <t>Nørre Voldgade</t>
  </si>
  <si>
    <t>bank headquartered in Denmark</t>
  </si>
  <si>
    <t>banking; retail banking; corporate banking; investment services; wealth management; Nordic bank</t>
  </si>
  <si>
    <t>Copenhagen-headquartered Nordic universal bank.</t>
  </si>
  <si>
    <t>Få det bedste ud af din økonomi. Vi kan rådgive dig om alt fra boligkøb, investering, pension og forsikringer til opsparing og formuepleje.</t>
  </si>
  <si>
    <t>banking; retail finance; corporate lending; payments; asset management; Nordic financial services</t>
  </si>
  <si>
    <t>Motion Picture Theaters (except Drive-Ins)</t>
  </si>
  <si>
    <t>Banking &amp; Financial Services</t>
  </si>
  <si>
    <t>Commercial banking</t>
  </si>
  <si>
    <t>Commercial Banks</t>
  </si>
  <si>
    <t>FN-CB</t>
  </si>
  <si>
    <t>Corporate &amp; Retail Banking</t>
  </si>
  <si>
    <t>FN.2</t>
  </si>
  <si>
    <t>Commercial Banks, NEC</t>
  </si>
  <si>
    <t>70 12 34 56</t>
  </si>
  <si>
    <t>+45 33 44 00 00</t>
  </si>
  <si>
    <t>danskebank@danskebank.dk</t>
  </si>
  <si>
    <t>http://www.danskebank.dk/</t>
  </si>
  <si>
    <t>web servers: iis - 10.0 | web servers: azure app service | network devices: html | web servers: schannel | operating systems: windows server | web servers: iis</t>
  </si>
  <si>
    <t>2022-07-06T10:06:11.000Z</t>
  </si>
  <si>
    <t>Dantec Nordics ApS</t>
  </si>
  <si>
    <t>fdd5fee0-9bc7-11ec-abde-87ab8965fdf7</t>
  </si>
  <si>
    <t>DANTEC Nordics ApS.</t>
  </si>
  <si>
    <t>Dantec Nordics</t>
  </si>
  <si>
    <t>Padborg</t>
  </si>
  <si>
    <t>Lejrvejen</t>
  </si>
  <si>
    <t>DK, Denmark, Region of Southern Denmark, Aabenraa Municipality, 6330, Thorsvej, 6, 54.830433, 9.350986</t>
  </si>
  <si>
    <t>Danish company supplying cables, hoses and related equipment, operating as the Nordic arm of Dantec.</t>
  </si>
  <si>
    <t>industrial hoses; composite hoses; loading arms; hose systems; industrial equipment</t>
  </si>
  <si>
    <t>Padborg-based supplier of industrial hose and cable solutions.</t>
  </si>
  <si>
    <t>Dantec Nordics ApS is a Danish private limited company headquartered at Thorsvej 6, Frøslev, 6330 Padborg. Established in 2018, the company represents Dantec in the Nordic region, supplying composite hoses, industrial hose systems and related equipment to transportation, chemical and industrial customers.</t>
  </si>
  <si>
    <t>industrial hoses; composite hoses; hose systems; industrial supply</t>
  </si>
  <si>
    <t>Industrial Equipment &amp; Supplies</t>
  </si>
  <si>
    <t>Wholesale of industrial hose and related equipment</t>
  </si>
  <si>
    <t>Wholesale Trade</t>
  </si>
  <si>
    <t>Industrial Supplies</t>
  </si>
  <si>
    <t>Wholesale of other machinery and equipment</t>
  </si>
  <si>
    <t>73 70 25 30</t>
  </si>
  <si>
    <t>+4539433877 | +4573702530</t>
  </si>
  <si>
    <t>info@dantec-nordics.dk</t>
  </si>
  <si>
    <t>http://www.dantec-nordics.dk/</t>
  </si>
  <si>
    <t>https://nl.linkedin.com/company/dantec-nordics</t>
  </si>
  <si>
    <t>2022-02-07T00:19:25.000Z</t>
  </si>
  <si>
    <t>DEAS A/S</t>
  </si>
  <si>
    <t>00b85c80-0bf8-11ec-83e9-bfaaab8ed4b6</t>
  </si>
  <si>
    <t>DEAS</t>
  </si>
  <si>
    <t>DEAS Asset Management A/S.</t>
  </si>
  <si>
    <t>DEAS Asset Management | DEAS | DEAS Asset</t>
  </si>
  <si>
    <t>Bellidavej</t>
  </si>
  <si>
    <t>DK, Denmark, Capital Region of Denmark, Frederiksberg, 2000, Dirch Passers AllÃ©, 76, 55.685144, 12.501005 | DK, Denmark, Capital Region of Denmark, Copenhagen, 1456, Vestergade, 29, 55.677108, 12.569503 | NO, Norway, Oslo, Oslo, 0255, Henrik Ibsens gate, 100, 59.914391, 10.718977 | SE, Sweden, Stockholm County, Stockholm, 111 29, , , 59.3251172, 18.0710935 | FI, Finland, Uusimaa, Helsinki, 00100, Mikonkatu, 5, 60.1697188, 24.9462576</t>
  </si>
  <si>
    <t>Danish property management company providing asset and property services for residential and commercial real estate owners.</t>
  </si>
  <si>
    <t>property management; asset management; real estate services; facility management</t>
  </si>
  <si>
    <t>Valby-based property and asset management company.</t>
  </si>
  <si>
    <t>DEAS A/S is a Danish property management company headquartered at Bellidavej 20, 2500 Valby. Established in 1989, DEAS manages residential and commercial properties on behalf of pension funds, institutional investors and private owners, providing asset management, property administration and facility services.</t>
  </si>
  <si>
    <t>real estate services; property management; asset management; facility services</t>
  </si>
  <si>
    <t>Real Estate – Property Management</t>
  </si>
  <si>
    <t>Property and asset management</t>
  </si>
  <si>
    <t>Building Owner - Multiple Occupancy - Warehouse / Wholesale | Building Owner - Multiple Occupancy - Mixed-Use Commercial | Building Owner - Multiple Occupancy - Office | Building Owner - Multiple Occupancy - Retail (Not Enclosed Mall) | Building Owner - Single Occupancy - Retail</t>
  </si>
  <si>
    <t>Management of real estate on a fee or contract basis</t>
  </si>
  <si>
    <t>663301 | 399101 | 651101 | 529101 | 663201</t>
  </si>
  <si>
    <t>70 30 20 20</t>
  </si>
  <si>
    <t>+45 70 30 20 20</t>
  </si>
  <si>
    <t>info@deas.dk</t>
  </si>
  <si>
    <t>lars.brysting@deas-asset.com | jsoe@deas-asset.com | finland@deas-asset.com | krlu@deas-asset.com | dag.ellinggard@deas-asset.com | norway@deas-asset.com | sanna.puhakainen@deas-asset.com | knb@deas-asset.com | eshe@deas-asset.com | joakim.nordblad@deas-asset.com | anette.grotum@deas-asset.com | johanna.saarivuo@deas-asset.com | sweden@deas-asset.com | jonas.ostlund@deas-asset.com | thomas.wolff@deas-asset.com | denmark@deas-asset.com</t>
  </si>
  <si>
    <t>https://deas.dk/</t>
  </si>
  <si>
    <t>https://www.linkedin.com/company/deas-a-s</t>
  </si>
  <si>
    <t>cookie compliance: cookie information | performance: priority hints | miscellaneous: webpack | web frameworks: next.js - 13.5.2 | static site generator: next.js - 13.5.2 | javascript frameworks: react | javascript frameworks: next.js - 13.5.2 | cms: contentful | security: hsts | miscellaneous: module federation | miscellaneous: open graph | programming languages: node.js | javascript frameworks: gsap | web servers: next.js - 13.5.2 | tag managers: google tag manager | paas: vercel</t>
  </si>
  <si>
    <t>2021-09-02T13:05:47.000Z</t>
  </si>
  <si>
    <t>DEKO-STYLE V/ANJA GRONNE</t>
  </si>
  <si>
    <t>2840eeb8-93e5-11eb-8859-29e7c34dee35</t>
  </si>
  <si>
    <t>Deko Style Dekoration-indretning</t>
  </si>
  <si>
    <t>DEKO-STYLE v/Anja Grønne</t>
  </si>
  <si>
    <t>Deko Style | Deko Style Decoration nationwide | Deko Style Dekoration-indretning</t>
  </si>
  <si>
    <t>Egå</t>
  </si>
  <si>
    <t>Havlitvej</t>
  </si>
  <si>
    <t>DK, Denmark, Central Denmark Region, Aarhus Municipality, 8250, HjortshÃ¸jvej, 6, 56.231471899999995, 10.293026500000002 | DK, Denmark, Capital Region of Denmark, Taastrup, 2630, Kirkestien, 4A, 55.682676, 12.24396 | DK, Denmark, Central Denmark Region, Aarhus Municipality, 8250, Havlitvej, 7, 56.232780299999995, 10.3293087</t>
  </si>
  <si>
    <t>Danish sole proprietorship offering visual merchandising, decoration and advertising services for retail and events.</t>
  </si>
  <si>
    <t>visual merchandising; decoration; advertising; retail displays; events</t>
  </si>
  <si>
    <t>Egå-based decoration and advertising business run by Anja Grønne.</t>
  </si>
  <si>
    <t>DEKO-STYLE v/Anja Grønne is a Danish sole proprietorship located at Havlitvej 7, 8250 Egå. Established in 1998, the business provides visual merchandising, interior and shop decoration, campaign and event setups, and other advertising-related services for retailers and brands across Denmark.</t>
  </si>
  <si>
    <t>visual merchandising; shop decoration; window displays; advertising services; events</t>
  </si>
  <si>
    <t>Marketing &amp; Creative Services</t>
  </si>
  <si>
    <t>Advertising and visual merchandising services</t>
  </si>
  <si>
    <t>Home Stagers / Interior Decorators | Drywall / Plastering / Acoustical | Painting / Wallpaper - (No Spray) | Signs - Installation (low rise - 3 stories or less) | Signs Manufacturing (No Plastic)</t>
  </si>
  <si>
    <t>175702 | 174401 | 175401 | 153201 | 359601</t>
  </si>
  <si>
    <t>20 44 35 14</t>
  </si>
  <si>
    <t>+45 86 22 55 19</t>
  </si>
  <si>
    <t>anja@dekostyle.dk</t>
  </si>
  <si>
    <t>http://www.dekostyle.dk/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</si>
  <si>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</si>
  <si>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</si>
  <si>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2019-11-24T01:29:13.000Z</t>
  </si>
  <si>
    <t>DELFI TECHNOLOGIES A/S</t>
  </si>
  <si>
    <t>8647efa3-93e4-11eb-90d2-e3355a7e800b</t>
  </si>
  <si>
    <t>Delfi Technologies A / S</t>
  </si>
  <si>
    <t>Delfi Technologies Ltd. | Skylabel - Delfi technologies A/S.</t>
  </si>
  <si>
    <t>Delfi Technologies | Delfi Technologies Italia | Skylabel</t>
  </si>
  <si>
    <t>Valdemarshaab</t>
  </si>
  <si>
    <t>DK, Denmark, Region Zealand, KÃ¸ge, 4600, Valdemarshaab, 11, 55.477825, 12.193 | IT, Italy, Emilia-Romagna, Bologna, 40138, Via dell'Industria, 35, 44.5046389, 11.404601 | DE, Germany, Schleswig-Holstein, SchÃ¶nkirchen, 24232, DorfstraÃŸe, 7-9, 54.3358723, 10.2330579 | DE, Germany, Bavaria, Erlenbach b. Marktheidenfeld, 97837, , , 49.8444065, 9.6003865 | VN, Vietnam, Há»“ ChÃ­ Minh City, Há»“ ChÃ­ Minh City, 72215, Phan ÄÃ¬nh GiÃ³t, 38, 10.8032318, 106.6649379 | NO, Norway, Vestland, Ã˜ygarden, 5382, Sundvegen, 327, 60.244418, 5.0647337 | SE, Sweden, Stockholm County, NorrtÃ¤lje, 761 30, Stubboda, 14, 59.7062664, 18.8627658 | SE, Sweden, Stockholm County, NorrtÃ¤lje kommun, , , , ,</t>
  </si>
  <si>
    <t>Danish technology company specialising in electronic shelf labels, barcode solutions and retail IT systems.</t>
  </si>
  <si>
    <t>electronic shelf labels; barcodes; POS systems; retail IT; scanning solutions</t>
  </si>
  <si>
    <t>Køge-based provider of electronic shelf labels and barcode solutions.</t>
  </si>
  <si>
    <t>Delfi Technologies A/S is a Danish technology company headquartered at Valdemarsvej 11, 4600 Køge. Founded in 1988, it develops and supplies electronic shelf labels (ESL), barcode scanners, POS hardware and software, and related retail IT solutions for supermarkets, pharmacies and other retailers in Europe and beyond.</t>
  </si>
  <si>
    <t>retail technology; electronic shelf labels; barcode scanners; POS solutions; inventory visibility</t>
  </si>
  <si>
    <t>334118</t>
  </si>
  <si>
    <t>Computer Terminal and Other Computer Peripheral Equipment Manufacturing</t>
  </si>
  <si>
    <t>Retail Technology &amp; Hardware</t>
  </si>
  <si>
    <t>Electronic shelf label and barcode solutions</t>
  </si>
  <si>
    <t>70 22 25 55</t>
  </si>
  <si>
    <t>+45 70 22 25 55</t>
  </si>
  <si>
    <t>info@delfi.com</t>
  </si>
  <si>
    <t>order-sverige@delfi.com | info@delfi.com.vn | info@delfi.com | info-sverige@delfi.com | accounting@delfi.com</t>
  </si>
  <si>
    <t>https://www.delfi.com/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</si>
  <si>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</si>
  <si>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</si>
  <si>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</si>
  <si>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</si>
  <si>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</si>
  <si>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</si>
  <si>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</si>
  <si>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DELL AS</t>
  </si>
  <si>
    <t>beddde1c-93e4-11eb-8859-29e7c34dee35</t>
  </si>
  <si>
    <t>Dell</t>
  </si>
  <si>
    <t>Dell Inc.</t>
  </si>
  <si>
    <t>NO, Norway, Oslo, Oslo, 0283, Lilleakerveien, 2B, 59.9145922, 10.637979099999997 | NO, Norway, Oslo, Oslo, , , , 59.97239745, 10.775729194051895</t>
  </si>
  <si>
    <t>physicist</t>
  </si>
  <si>
    <t>computer hardware; IT solutions; servers; storage; PCs; enterprise IT</t>
  </si>
  <si>
    <t>Oslo-based Dell Technologies subsidiary for IT hardware and solutions.</t>
  </si>
  <si>
    <t>Dell AS is the Norwegian subsidiary of Dell Technologies, headquartered at Lilleakerveien 2B, N-0283 Oslo. Founded in 1991, the company markets and sells computers, servers, storage, networking equipment and related IT solutions and services to consumers, businesses and public-sector customers in Norway.</t>
  </si>
  <si>
    <t>IT hardware; PCs; servers; storage; enterprise solutions; technology reseller</t>
  </si>
  <si>
    <t>IT Hardware &amp; Solutions</t>
  </si>
  <si>
    <t>Computer hardware and IT solutions distribution</t>
  </si>
  <si>
    <t>Wholesale Trade / Information Technology</t>
  </si>
  <si>
    <t>67 11 68 00</t>
  </si>
  <si>
    <t>+47 23 20 77 00</t>
  </si>
  <si>
    <t>https://www.dell.no</t>
  </si>
  <si>
    <t>2021-10-01T01:59:02.000Z</t>
  </si>
  <si>
    <t>Dell Corporation (Thailand) Co Ltd</t>
  </si>
  <si>
    <t>1fe10718-f025-11ee-9eb6-8ba0a080e844</t>
  </si>
  <si>
    <t>Dell Technologies (Thailand)</t>
  </si>
  <si>
    <t>Dell Corporation (Thailand) Co Ltd.</t>
  </si>
  <si>
    <t>Dellstore Thailand</t>
  </si>
  <si>
    <t>South Sathon Road</t>
  </si>
  <si>
    <t>TH, Thailand, Bangkok, Khan Na Yao, 10230, Ram Inthra Road, 589/7-9, 13.8261068, 100.6795452</t>
  </si>
  <si>
    <t>Dell provides technology solutions, services &amp; support. Buy Laptops, Touch Screen PCs, Desktops, Servers, Storage, Monitors, Gaming &amp; Accessories</t>
  </si>
  <si>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</si>
  <si>
    <t>Dellstore Thailand is a computer store based in Khan Na Yao, Thailand.</t>
  </si>
  <si>
    <t>Ip Monitoring | Laptop Review | LED Monitors | Gaming Laptop | Gaming Headsets | Gaming Mouses | Keyboards &amp; Mouses | Gaming Keyboard | Game Gear | Oled Displays</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</si>
  <si>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</si>
  <si>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</si>
  <si>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</si>
  <si>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</si>
  <si>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</si>
  <si>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</si>
  <si>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02 445 0715</t>
  </si>
  <si>
    <t>sales@nextplayshop.com</t>
  </si>
  <si>
    <t>http://www.dell.com/</t>
  </si>
  <si>
    <t>https://www.facebook.com/Dell.Official.Store/</t>
  </si>
  <si>
    <t>//x.com/delltech?lang=en</t>
  </si>
  <si>
    <t>//www.instagram.com/delltech/</t>
  </si>
  <si>
    <t>//www.linkedin.com/company/delltechnologies</t>
  </si>
  <si>
    <t>//www.youtube.com/delltechnologies</t>
  </si>
  <si>
    <t>2021-09-02T22:34:15.000Z</t>
  </si>
  <si>
    <t>DELL PRODUCTS</t>
  </si>
  <si>
    <t>ee840c76-93e4-11eb-b997-8dd98d09cf25</t>
  </si>
  <si>
    <t>Dell Technologies Dublin</t>
  </si>
  <si>
    <t>Dell Technologies | Dell Technologies Ã–sterreich | Dell EMC Unity</t>
  </si>
  <si>
    <t>Dublin</t>
  </si>
  <si>
    <t>Bray Road</t>
  </si>
  <si>
    <t>IE, Ireland, Munster, Limerick, , , , 52.661252, -8.6301239 | US, United States, Texas, Round Rock, 78664, Greenlawn Boulevard, 2401, 30.48473358154297, -97.66100311279297 | US, United States, Minnesota, Eden Prairie, 55344, Smetana Lane, 7615, 44.86371994018555, -93.40941619873047 | US, United States, Virginia, Vienna, 22182, Westwood Drive Northeast, 8619, 38.918734, -77.253638 | US, United States, California, Irvine, 92612, Dupont Drive, 2201, 33.673954010009766, -117.85759735107422 | US, United States, California, San Francisco, 94105, Howard Street, 301, 37.78953170776367, -122.39424133300781 | US, United States, Arkansas, Bentonville, 72712, Southeast Technology Circle, 2500, 36.36077117919922, -94.18269348144531 | US, United States, Pennsylvania, Wayne, 19087, , , 40.04401397705078, -75.38786315917969 | IN, India, Karnataka, Bengaluru, 560071, , , 12.962467193603516, 77.63819885253906 | AU, Australia, New South Wales, Chatswood, 2067, Pacific Highway, 821, -33.79460525512695, 151.17979431152344</t>
  </si>
  <si>
    <t>American multinational technology company</t>
  </si>
  <si>
    <t>Digital Solutions for Individuals | Artificial Intelligence Solutions | Networking Solutions | Unstructured Data Storage | Communication Solutions Provider | Telecommunications Solutions | Next-generation Operations Solutions | Dell Poweredge Servers | Technology Solutions Provider | Systems Management and Solutions | Data-centric Workload Solutions | Data Center Development Services | Pool Creation Services | Machine Learning Solutions | Service Edge | Open Vran Solutions | Cybersecurity Solutions | Deployment Services | Digital Business Transformation | Experiences Cloud | Converged Core Solution | Data Analytics Solutions | Technology Services | Cross-platform Automation</t>
  </si>
  <si>
    <t>Dell Technologies is the leader in digital transformation, providing digital technology solutions, pr</t>
  </si>
  <si>
    <t>(01) 204 4014</t>
  </si>
  <si>
    <t>+15613915610 | +27800167000</t>
  </si>
  <si>
    <t>tech.doc.feedback@dell.com</t>
  </si>
  <si>
    <t>http://www.dell.ie/</t>
  </si>
  <si>
    <t>https://www.facebook.com/DellTechZA/</t>
  </si>
  <si>
    <t>https://twitter.com/DellTechPartner</t>
  </si>
  <si>
    <t>https://www.linkedin.com/showcase/dell-tech-partner</t>
  </si>
  <si>
    <t>https://www.youtube.com/playlist?list=PL2nlzNk2-VMEneUbaU2iqtzHexJxAGbHD</t>
  </si>
  <si>
    <t>web servers: ibm websphere application server | analytics: adobe analytics | reverse proxy: nginx - 1.19.0 | miscellaneous: babel | javascript frameworks: underscore.js | javascript libraries: core-js | cms: adobe experience manager | reverse proxy: envoy | analytics: facebook custom audiences | cdn: google cloud cdn | advertising: acuityads | ui frameworks: bootstrap | widgets: addthis | javascript frameworks: handlebars | issue trackers: new relic | web servers: empathy platform | web frameworks: bootstrap | analytics: google universal analytics | miscellaneous: webpack | customer data platform: adobe experience platform identity service | video players: videojs | search engines: algolia | ssl/tls certificate authorities: digicert | rum: boomerang | tag managers: adobe experience platform launch | widgets: css | advertising: appnexus | cms: drupal - 8 | cdn: cdnjs | miscellaneous: pwa | web servers: apache tomcat | cdn: akamai | javascript frameworks: jquery mousewheel | javascript libraries: hammer.js | tag managers: ensighten tag management | javascript frameworks: jquery migrate - 3.3.2 | font scripts: google font api | javascript frameworks: salesforce experience cloud | cache tools: varnish | marketing automation: 6sense | security: hsts | reverse proxies: nginx | javascript frameworks: modernizr - 2.8.3 | page builders: elementor - 2.8.2 | blogging platforms: wordpress | web servers: nginx - 1.19.0 | retargeting: adobe audience manager | javascript frameworks: yahoo user interface | miscellaneous: http/3 | video players: youtube | javascript libraries: modernizr | databases: mysql | reverse proxy: nginx | tag managers: adobe dtm | segmentation: salesforce interaction studio | saas: adobe target - 1.8.0 | javascript frameworks: lazy.js | analytics: snowplow analytics | video players: brightcove | customer data platform: segment | cms: site.com | widgets: facebook | video players: wistia | javascript libraries: modernizr - 2.8.3 | retargeting: facebook custom audiences | miscellaneous: open graph | captchas: recaptcha | iaas: snowplow analytics | analytics: lazy load | seo tool: yoast seo | advertising networks: appnexus | miscellaneous: swiper slider | network devices: html | miscellaneous: jquery easing | personalisation: adobe target | cdn: jsdelivr | tag managers: adobe dynamic tag management | font scripts: font awesome | javascript libraries: jquery ui | javascript frameworks: jquery migrate | saas: adobe target | web servers: apache | javascript frameworks: modernizr | seo tool: facebook friendly | cms: drupal | javascript libraries: jquery lazy load | network devices: html5 | javascript frameworks: fancybox | document management systems: adobe audience manager | analytics: linkedin insight tag | personalisation: salesforce interaction studio | cms: wordpress | seo tool: yoast seo - 13.1 | javascript libraries: fancybox | ecommerce: cart functionality | analytics: quantcast measure | a/b testing: omniture adobe test and target | caching: varnish | saas: adobe experience platform identity service | tag managers: google tag manager | javascript libraries: boomerang | advertising: thetradedesk | javascript libraries: jquery | javascript frameworks: backbone.js - 1.4.0 | dev tools: new relic | retargeting: facebook | widgets: javascript | javascript libraries: jquery migrate - 3.3.2 | advertising: microsoft advertising | tag managers: ensighten | a/b testing: adobe target | analytics: adobe audience manager | seo tool: twitter friendly | security: akamai bot manager | javascript libraries: underscore.js | programming languages: brightcove player | web servers: nginx | personalisation: 6sense | cdn: cloudflare | advertising: twitter ads | iaas: google cloud | programming languages: php | javascript libraries: jquery migrate | analytics: new relic | web frameworks: html5 | page builders: elementor | javascript frameworks: backbone.js | javascript libraries: moment.js | javascript frameworks: jquery | analytics: google analytics | javascript libraries: lazy.js | programming languages: java</t>
  </si>
  <si>
    <t>2019-11-24T12:46:01.000Z</t>
  </si>
  <si>
    <t>DELOITTE ADVOKATFIRMA AS</t>
  </si>
  <si>
    <t>b69603af-1aff-11ec-bc98-195cbdc2446a</t>
  </si>
  <si>
    <t>Deloitte Advokatfirma AS</t>
  </si>
  <si>
    <t>Deloitte Norge</t>
  </si>
  <si>
    <t>NO, Norway, Oslo, Oslo, 0191, Dronning Eufemias gate, 14, 59.9081779, 10.7580588</t>
  </si>
  <si>
    <t>Deloitte Advokatfirma rådgir innen alle områder for forretningsjuss.</t>
  </si>
  <si>
    <t>Law Firm | Auditing Services | Financial Consulting Services | Accounting Services | Professional Services Provider</t>
  </si>
  <si>
    <t>Deloitte Norge is an accounting &amp; bookkeeping services company based in Oslo, Norway.</t>
  </si>
  <si>
    <t>Deloitte er et markedsledende selskap som leverer revisjon, advokattjenester, finansiell rÃ¥dgivning, risikoanalyser og konsulenttjenester. Vi etterstreber Ã¥ hjelpe vÃ¥re kunder realisere sine ambisjoner, skape en positiv forskjell i samfunnet, og utnytte potensialet i vÃ¥re ansatte.</t>
  </si>
  <si>
    <t>23 27 90 00</t>
  </si>
  <si>
    <t>rsaastad@deloitte.no</t>
  </si>
  <si>
    <t>https://www.deloitte.com/no/no/services/deloitte-advokatfirma.html</t>
  </si>
  <si>
    <t>https://www.facebook.com/DeloitteNorge</t>
  </si>
  <si>
    <t>https://www.instagram.com/deloittenorge/</t>
  </si>
  <si>
    <t>https://no.linkedin.com/in/rolfsaastad</t>
  </si>
  <si>
    <t>https://www.youtube.com/user/DeloitteNorge</t>
  </si>
  <si>
    <t>2021-12-14T21:39:23.000Z</t>
  </si>
  <si>
    <t>DELOITTE AS</t>
  </si>
  <si>
    <t>Bransjeinnsikt og tjenester innen revisjon, finansiell rådgivning, risikostyring og skatt fra Deloitte sitt globale nettverk av medlemsfirmaer.</t>
  </si>
  <si>
    <t>http://www.deloitte.no/</t>
  </si>
  <si>
    <t>https://www.linkedin.com/company/deloitte/</t>
  </si>
  <si>
    <t>Deloitte Consulting (Sea) Sdn. Bhd.</t>
  </si>
  <si>
    <t>4d8576a2-14c1-11ee-98f2-2b13cee7793d</t>
  </si>
  <si>
    <t>Deloitte Consulting Malaysia Sdn Bhd</t>
  </si>
  <si>
    <t>Deloitte Consulting Malaysia Sdn Bhd.</t>
  </si>
  <si>
    <t>Jalan Wan Kadir</t>
  </si>
  <si>
    <t>MY, Malaysia, Kuala Lumpur, Kuala Lumpur, 60000, Jalan Wan Kadir, , 3.1378849, 101.62946699999999</t>
  </si>
  <si>
    <t>Administrative Services | Management Consulting Services</t>
  </si>
  <si>
    <t>Deloitte Consulting Malaysia Sdn Bhd. is a business consulting company based in Kuala Lumpur, Malaysia.</t>
  </si>
  <si>
    <t>03-7610 9000</t>
  </si>
  <si>
    <t>https://www.deloitte.com/my/</t>
  </si>
  <si>
    <t>2023-06-27T08:02:12.441Z</t>
  </si>
  <si>
    <t>DELOITTE STATSAUTORISERET REVISIONSPARTNERSELSKAB</t>
  </si>
  <si>
    <t>12c190a3-ed2d-11ed-a521-c5c810fb1328</t>
  </si>
  <si>
    <t>Deloitte Copenhagen</t>
  </si>
  <si>
    <t>Statsautoriseret fodterapeut Dorthe Pedersen</t>
  </si>
  <si>
    <t>Weidekampsgade</t>
  </si>
  <si>
    <t>DK, Denmark, Central Denmark Region, Silkeborg, 8600, Ã˜stergade, 14, 56.1703384, 9.551651500000002 | DK, Denmark, Capital Region of Denmark, Copenhagen, 1100, Ã˜stergade, , 55.679641319929395, 12.582490495432824 | DK, Denmark, Central Denmark Region, Aarhus, 8000, Ã˜stergade, 14, 56.154167, 10.205942</t>
  </si>
  <si>
    <t>Healthcare Services | Foot Ulcers Treatment | Medical Treatments for Children | Foot Status for Diabetics | Insoles and Nail Brackets | Podiatry Services | Rheumatoid Foot Treatment | Individual Foot Pads Manufacturing | Advice on Choosing Shoes</t>
  </si>
  <si>
    <t>Statsautoriseret fodterapeut Dorthe Pedersen is a podiatry clinic based in Silkeborg, Denmark.</t>
  </si>
  <si>
    <t>Mapping &amp; Data | Awards &amp; Grants | Nicer User Experience</t>
  </si>
  <si>
    <t>36 10 20 30</t>
  </si>
  <si>
    <t>klinikforfodterapi.ditteolesen@gmail.com</t>
  </si>
  <si>
    <t>https://www.deloitte.com/dk/en.html</t>
  </si>
  <si>
    <t>web servers: litespeed | caching: wp rocket | web servers: empathy platform | performance: priority hints | javascript libraries: slick | seo: yoast seo | widgets: css | font scripts: google font api | miscellaneous: http/3 | databases: mysql | issue trackers: really simple discovery | hosting: wordpress multisite | cms: site.com | font scripts: adobe fonts | font scripts: typekit | miscellaneous: open graph | network devices: html | miscellaneous: jquery easing | network devices: html5 | cms: wordpress | blogs: wordpress | javascript libraries: jquery | widgets: javascript | wordpress plugins: wp rocket | wordpress plugins: yoast seo | programming languages: php | javascript libraries: jquery migrate</t>
  </si>
  <si>
    <t>2023-05-07T22:32:39.000Z</t>
  </si>
  <si>
    <t>DELTA EJENDOM, AALBORG A/S</t>
  </si>
  <si>
    <t>a48c5963-93e4-11eb-86dd-ffbd1b53140e</t>
  </si>
  <si>
    <t>Delta Property, Aalborg A / S</t>
  </si>
  <si>
    <t>Delta Data Udvikling A/S. | Delta Data A/S.</t>
  </si>
  <si>
    <t>Delta Data | Delta Data Udvikling</t>
  </si>
  <si>
    <t>Boulevarden</t>
  </si>
  <si>
    <t>DK, Denmark, North Denmark Region, SÃ¦by, 9300, GasvÃ¦rksvej, 47, 57.3319925, 10.528128899999999</t>
  </si>
  <si>
    <t>Delta Data Development A/S is a company based in SÃ¦by,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</si>
  <si>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</si>
  <si>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beskÃ¦ftiger sig med salg, service og rÃ¥dgivning pÃ¥ IT systemer.</t>
  </si>
  <si>
    <t>Delta Data Development is a consulting company offering sales, services, rentals on IT systems and also specialise in financial solutions.</t>
  </si>
  <si>
    <t>Data Development | It Systems</t>
  </si>
  <si>
    <t>salg@deltadata.dk</t>
  </si>
  <si>
    <t>https://www.deltadata.dk/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</si>
  <si>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</si>
  <si>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2020-10-27T16:38:28.000Z</t>
  </si>
  <si>
    <t>ELTEK AS</t>
  </si>
  <si>
    <t>169a31db-93e5-11eb-919a-b3f9a5ad205c</t>
  </si>
  <si>
    <t>Eltek</t>
  </si>
  <si>
    <t>Delta Electronics usa Inc</t>
  </si>
  <si>
    <t>Eltek | ELTEK AS | Eltek Deutschland | Delta Electronics Norway AS</t>
  </si>
  <si>
    <t>Buskerud</t>
  </si>
  <si>
    <t>Drammen</t>
  </si>
  <si>
    <t>Gråterudveien</t>
  </si>
  <si>
    <t>NO, Norway, Viken, Drammen, 3036, GrÃ¥terudveien,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Ferdinand-Porsche-StraÃŸe, 45, 50.117649, 8.763852843964713 | US, United States, Texas, Plano, 75074, East Plano Parkway, 2925, 33.0069580078125, -96.6739730834961 | SG, Singapore, Central, Singapore, 259569, Cluny Road, , 1.3146320581436157, 103.81561279296875 | BR, Brazil, SÃ£o Paulo, EugÃªnio de Melo, 12247-001, SP-062, 5300, -23.15512466430664, -45.80351257324219 | IN, India, Haryana, Gurugram District, 122001, Sector Road to Sector 56, 362, 28.48908042907715, 77.09053802490234 | EG, Egypt, Cairo, Cairo, 11728, , , 29.968013763427734, 31.249143600463867</t>
  </si>
  <si>
    <t>Global power conversion specialist that develop and market energy systems for telecom and industrial applications</t>
  </si>
  <si>
    <t>power systems; telecom power; rectifiers; energy conversion; DC power</t>
  </si>
  <si>
    <t>Drammen-based supplier of power systems for telecom and industry.</t>
  </si>
  <si>
    <t>Eltek AS, now part of Delta Electronics (Norway) AS, is a Norwegian company headquartered at Gråterudveien 8, 3036 Drammen. Founded in 1971, it develops and supplies high-efficiency power conversion systems and DC power solutions for telecommunications networks, data centres, utilities and industrial applications worldwide.</t>
  </si>
  <si>
    <t>telecom power; energy systems; rectifiers; DC power; industrial power solutions</t>
  </si>
  <si>
    <t>Instrument Manufacturing for Measuring and Testing Electricity and Electrical Signals</t>
  </si>
  <si>
    <t>Power Electronics &amp; Energy Systems</t>
  </si>
  <si>
    <t>Power conversion systems for telecom and industry</t>
  </si>
  <si>
    <t>Electrical Industrial Apparatus, NEC</t>
  </si>
  <si>
    <t>Electrical Products Manufacturing - Not Otherwise Classified | Wholesale - Hardware / Plumbing Supplies / Electrical Supplies | Engineers | Electrical Contractors - Commercial (No Industrial) | Electrical Contractors - Residential</t>
  </si>
  <si>
    <t>Manufacture of electric motors, generators and transformers</t>
  </si>
  <si>
    <t>357001 | 509201 | 891601 | 173102 | 173101</t>
  </si>
  <si>
    <t>32 20 32 00</t>
  </si>
  <si>
    <t>+47 32 20 32 00</t>
  </si>
  <si>
    <t>info.defra@deltaww.com</t>
  </si>
  <si>
    <t>webmaster@eltek.com | datenschutzbeauftragter.de@eltek.com</t>
  </si>
  <si>
    <t>eltek@eltek.com</t>
  </si>
  <si>
    <t>http://www.eltek.com/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</si>
  <si>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</si>
  <si>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</si>
  <si>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</si>
  <si>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</si>
  <si>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</si>
  <si>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</si>
  <si>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</si>
  <si>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DELTA ELECTRONICS INT'L (SINGAPORE) PTE. LTD.</t>
  </si>
  <si>
    <t>70923a3d-93e4-11eb-a33a-a3dfba582839</t>
  </si>
  <si>
    <t>Delta Electronics Int'l (Singapore) Pte. Ltd.</t>
  </si>
  <si>
    <t>Delta Electronics Inc. | Delta Electronics Int'l Singapore Pte. Ltd.</t>
  </si>
  <si>
    <t>Delta Electronics | Delta Electronics Foundation | Delta Electronics Singapore | Delta Singapore</t>
  </si>
  <si>
    <t>Kallang Junction</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</si>
  <si>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</si>
  <si>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</si>
  <si>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</si>
  <si>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</si>
  <si>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</si>
  <si>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</si>
  <si>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</si>
  <si>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</si>
  <si>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Utilities</t>
  </si>
  <si>
    <t>IF.1</t>
  </si>
  <si>
    <t>6747 5155</t>
  </si>
  <si>
    <t>+6567449228 | +6567475155</t>
  </si>
  <si>
    <t>nea-privacy@deltaww.com</t>
  </si>
  <si>
    <t>https://www.delta-singapore.com/en-SG/index</t>
  </si>
  <si>
    <t>https://www.facebook.com/delta.electronics.group/</t>
  </si>
  <si>
    <t>https://www.instagram.com/deltaelectronicssg/</t>
  </si>
  <si>
    <t>https://www.linkedin.com/company/13306038</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</si>
  <si>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</si>
  <si>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</si>
  <si>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</si>
  <si>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DHL EXPRESS (SINGAPORE) PTE. LTD.</t>
  </si>
  <si>
    <t>2d504056-93e5-11eb-9937-4fab995bf8ff</t>
  </si>
  <si>
    <t>DHL Express Service Point (East Service Centre)</t>
  </si>
  <si>
    <t>ThaiExpress | Thai Express | Thai Express Singapore</t>
  </si>
  <si>
    <t>Tai Seng Drive</t>
  </si>
  <si>
    <t>SG, Singapore, Central, Singapore, 159919, Alexandra Road, 2, 1.2910784, 103.8255291 | SG, Singapore, Northeast, , 518457, Pasir Ris Central Street 3, 1, 1.3724166000000002, 103.9496584</t>
  </si>
  <si>
    <t>ThaiExpress is a company that was established in 2002 and specializes in serving modern Thai cuisine in a contemporary setting.</t>
  </si>
  <si>
    <t>Restaurant Chain Operations | Asian Cuisine Specialties | Individual Portion Meals | Dine-in and Takeaway Options | Modern Thai Food | Culinary Customer Service | Food and Beverage Service | Contemporary Dining Ambience | Authentic Thai Dishes | Casual Dining Services | Thai Food Catering Services | International Restaurant Franchise | Quick Service Restaurant</t>
  </si>
  <si>
    <t>ThaiExpress, a household brand amongst Singaporeans, has been at the forefront of committing to serve authentic Thai food at affordable prices since 2002.</t>
  </si>
  <si>
    <t>Thai Express is a chain of restaurants serving Thai cuisine. It opened its first restaurant at Holland Village in Singapore in May 2002. Since then, there have been other outlets in Malaysia, China and Vietnam.</t>
  </si>
  <si>
    <t>Thai Cuisine | Fine Dining Restaurants | Thai Restaurants | Sweet &amp; Sour</t>
  </si>
  <si>
    <t>Limited-Service Restaurants</t>
  </si>
  <si>
    <t>Thai Restaurants</t>
  </si>
  <si>
    <t>FB-RN</t>
  </si>
  <si>
    <t>FB.4</t>
  </si>
  <si>
    <t>Restaurants (Liquor License - No Live Entertainment / Dancing) | Restaurants (No Liquor License) | Restaurants (Take Out / Delivery - No Table Service) | Restaurants (Food Court / Food Truck / Food Cart - No Canteen Trucks) | Restaurant Cooking / Exhaust Systems Maintenance / Cleaning</t>
  </si>
  <si>
    <t>581201 | 581101 | 581401 | 581402 | 730101</t>
  </si>
  <si>
    <t>1800 285 8888</t>
  </si>
  <si>
    <t>+6562311592 | +842836202290 | +6562149240 | +842837760341 | +842835176623 | +842854138811 | +6568831490 | +6562387018 | +6568368417 | +6562639150 | +6564810857 | +6562380525 | +842838218772</t>
  </si>
  <si>
    <t>feedback.te@thaiexpress.com.sg</t>
  </si>
  <si>
    <t>https://locator.dhl.com/results?address=id:SINESP&amp;language=en&amp;lc=SG&amp;resultUom=km&amp;clientAppCode=GYD</t>
  </si>
  <si>
    <t>https://www.facebook.com/ThaiExpressSG/</t>
  </si>
  <si>
    <t>https://www.instagram.com/thaiexpresssg/</t>
  </si>
  <si>
    <t>http://www.linkedin.com/company/thaiexpress</t>
  </si>
  <si>
    <t>paas: siteground | javascript libraries: lodash | javascript libraries: parallax.js | wordpress plugins: rankmath seo | seo: rankmath seo | javascript libraries: lit-html | miscellaneous: rss | web servers: empathy platform | performance: priority hints | analytics: google universal analytics | widgets: css | javascript libraries: magnific popup | javascript frameworks: jquery mousewheel | font scripts: google font api | miscellaneous: lottiefiles | reverse proxies: nginx | blogging platforms: wordpress | databases: mysql | issue trackers: really simple discovery | video players: mediaelement.js | miscellaneous: open graph | captchas: recaptcha | miscellaneous: revslider | miscellaneous: jquery easing | javascript frameworks: jquery migrate | javascript libraries: lightbox | network devices: html5 | miscellaneous: facebook | cms: wordpress | blogs: wordpress | wordpress plugins: max mega menu | tag managers: google tag manager | javascript libraries: isotope | web frameworks: jquery waypoints | javascript libraries: jquery | widgets: javascript | javascript graphics: chart.js | javascript libraries: progressbar.js | javascript frameworks: lightbox | javascript libraries: lit-element | web servers: nginx | cdn: cloudflare | programming languages: php | widgets: max mega menu | javascript libraries: jquery migrate | javascript frameworks: jquery | analytics: google analytics</t>
  </si>
  <si>
    <t>2019-11-24T11:02:18.000Z</t>
  </si>
  <si>
    <t>DIAL ZERO (PRIVATE) LIMITED</t>
  </si>
  <si>
    <t>9d28dea3-93e4-11eb-86dd-ffbd1b53140e</t>
  </si>
  <si>
    <t>Dial Zero Headoffice</t>
  </si>
  <si>
    <t>Dial Zero | Dial ZeroMeta</t>
  </si>
  <si>
    <t>Zamzama Boulevard</t>
  </si>
  <si>
    <t>PK, Pakistan, Sindh, Karachi Division, 75600, , , 24.813877010526316, 67.03497378947368</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</si>
  <si>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</si>
  <si>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</si>
  <si>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ZeroMetaâ€™s Authorized Sales Partner in PakistanWe make advertising on Meta platforms easier for you. GET ONBOARD Our servicesLet Us Help You Take Your Business To The Next Level Weâ€™re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</si>
  <si>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</si>
  <si>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</si>
  <si>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(021) 35379106</t>
  </si>
  <si>
    <t>sales@dialzero.pk</t>
  </si>
  <si>
    <t>https://dialzero.pk/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</si>
  <si>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</si>
  <si>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</si>
  <si>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</si>
  <si>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</si>
  <si>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</si>
  <si>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2020-10-27T17:27:08.000Z</t>
  </si>
  <si>
    <t>Nets Denmark A/S</t>
  </si>
  <si>
    <t>1821bc30-93e5-11eb-a746-fdabd18be9c6</t>
  </si>
  <si>
    <t>Nets (Nets Danmark A/S)</t>
  </si>
  <si>
    <t>Nets group A/S. | Nets Sweden AB. | Nets Denmark A/S. | Nets A/S.</t>
  </si>
  <si>
    <t>Nets Estonia AS | Nets Group | Nets Estonia | Nets Innovation Hub</t>
  </si>
  <si>
    <t>Klausdalsbrovej</t>
  </si>
  <si>
    <t>DK, Denmark, Capital Region of Denmark, Ballerup, 2750, Klausdalsbrovej, 601, 55.738804, 12.399655 | EE, Estonia, Harju maakond, Tallinn, 10145, Maakri, 23a, 59.4323616, 24.760187199999994 | FI, Finland, Uusimaa, Helsinki, 00510, Teollisuuskatu, 21, 60.1945542, 24.9484707 | LV, Latvia, RÄ«ga, RÄ«ga, LV-1010, KriÅ¡jÄÅ†a ValdemÄra iela, 21-20, 56.9522091, 24.101048 | SE, Sweden, Stockholm County, Stockholm, 120 30, Hammarbybacken, 27, 59.301120999999995, 18.083034400000003 | DK, Denmark, Capital Region of Denmark, Copenhagen, 2100, Lyngbyvej, 2, 55.70771939999999, 12.563566499999999</t>
  </si>
  <si>
    <t>Danish payment services company providing card processing, merchant acquiring and digital payment solutions, part of the Nexi Group.</t>
  </si>
  <si>
    <t>payments; card processing; merchant services; paytech; digital payments</t>
  </si>
  <si>
    <t>Ballerup-based paytech company offering payment and card services.</t>
  </si>
  <si>
    <t>Nets Denmark A/S is a Danish payment services and paytech company headquartered at Klausdalsbrovej 601, 2750 Ballerup. As part of the Nexi Group, Nets delivers card issuing and acquiring, e-commerce and in-store payment solutions, account-to-account payments and related digital services to merchants, banks and public institutions across the Nordic region and Europe.</t>
  </si>
  <si>
    <t>payment processing; card services; merchant acquiring; digital payments; paytech</t>
  </si>
  <si>
    <t>Payments &amp; Fintech</t>
  </si>
  <si>
    <t>Payment processing and digital payment services</t>
  </si>
  <si>
    <t>Financial and Insurance Activities / IT</t>
  </si>
  <si>
    <t>Business Services, NEC (payments processing)</t>
  </si>
  <si>
    <t>Other activities auxiliary to financial service activities</t>
  </si>
  <si>
    <t>Other activities auxiliary to financial services, except insurance and pension funding</t>
  </si>
  <si>
    <t>44 68 44 68</t>
  </si>
  <si>
    <t>+45 44 68 44 68</t>
  </si>
  <si>
    <t>atata@nets.eu</t>
  </si>
  <si>
    <t>dpo@nets.eu</t>
  </si>
  <si>
    <t>swing@nets.eu | atata@nets.eu</t>
  </si>
  <si>
    <t>http://www.nets.dk/</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</si>
  <si>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</si>
  <si>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</si>
  <si>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</si>
  <si>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</si>
  <si>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2019-11-23T22:12:55.000Z</t>
  </si>
  <si>
    <t>DIGI TELECOMMUNICATIONS SDN BHD</t>
  </si>
  <si>
    <t>c2b35013-93e4-11eb-b997-8dd98d09cf25</t>
  </si>
  <si>
    <t>CelcomDigi Hub</t>
  </si>
  <si>
    <t>Digi Telecommunications Sdn. Bhd.</t>
  </si>
  <si>
    <t>Digi Telecommunications</t>
  </si>
  <si>
    <t>Jalan Delima 1/1</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</si>
  <si>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</si>
  <si>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Keep your connection intact with CelcomDigi's Postpaid, Prepaid, and Broadband plans, offering high-speed Internet on Malaysia's most extensive 5G Network.</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</si>
  <si>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</si>
  <si>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</si>
  <si>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</si>
  <si>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</si>
  <si>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</si>
  <si>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</si>
  <si>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https://www.celcomdigi.com/</t>
  </si>
  <si>
    <t>https://web.facebook.com/CelcomDigi</t>
  </si>
  <si>
    <t>https://twitter.com/CelcomDigi</t>
  </si>
  <si>
    <t>https://www.instagram.com/celcomdigi/</t>
  </si>
  <si>
    <t>https://www.linkedin.com/company/celcomdigi</t>
  </si>
  <si>
    <t>https://www.youtube.com/@celcomdigimy</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</si>
  <si>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</si>
  <si>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</si>
  <si>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CelcomDigi Tower</t>
  </si>
  <si>
    <t>Persiaran Barat</t>
  </si>
  <si>
    <t>019-601 1111</t>
  </si>
  <si>
    <t>DK HOSTMASTER A/S</t>
  </si>
  <si>
    <t>009f98b0-03c6-11ec-9cf7-2588b4c94fd7</t>
  </si>
  <si>
    <t>DK Hostmaster A/S</t>
  </si>
  <si>
    <t>Punktum dk A/S</t>
  </si>
  <si>
    <t>AALBRA Ã¸velokale | Flyvestation Aalborg Brass Band | Flyvestation Aalborg</t>
  </si>
  <si>
    <t>Jægersprisvej</t>
  </si>
  <si>
    <t>DK, Denmark, North Denmark Region, Aalborg Municipality, 9430, 11;55, , 57.102472, 9.852393400000002</t>
  </si>
  <si>
    <t>ccTLD manager for Denmark</t>
  </si>
  <si>
    <t>Performing Arts Organization | Educational | Music Instruction Services | Band Performances | Brass Band Performances/entertainment Services | Music and Entertainment Services | Military New Years Service Performances | Event Organization Services</t>
  </si>
  <si>
    <t>Uden for militÃ¦rt regi spiller bandet til mere traditionelle arrangementer og underholdning af forskellig art.</t>
  </si>
  <si>
    <t>Den 5. september er Flagdag for Danmarks udsendte â€“ den dag hvor Danmarks udsendte anerkendes for den indsats de har ydet i tjeneste for Danmark og for skiftende koalitioner. AALBRA spiller ved Dansk-Amerikansk Klubs gardenparty, som foregÃ¥r ved Aalborg Forsvars- og Garnisonsmuseum kl. 10.00-12.00. ForsvarsbrÃ¸drenes jubilarâ€“ og optagelsesfest kl. 18.30. Det er den dag, hvor Danmarks udsendte anerkendes for deres indsats. Sommerkoncert pÃ¥ GjÃ¸l Havn kl. 19-21, arrangementet er Ã¥bent for alle og der er gratis adgang. NytÃ¥rskoncert pÃ¥ Fremtidens Plejehjem i NÃ¸rresundby kl. 19.00. NytÃ¥rsparole pÃ¥ Air Transport Wing Aalborg. Dansk-Amerikansk Klubs gardenparty pÃ¥ Forsvarsmuseet. Desuden dans, kunst og arbejdende kunsthÃ¥ndvÃ¦rkere. Der vil vÃ¦re musik i alle Danmarks regioner, og i hver region udpeges en by eller en forlystelsespark som samlingspunkt. NedlÃ¦ggelsesparade af CSW pÃ¥ flyvestation Karup. Dansk-Amerikansk Klubs gardenparty i Klosterhaven kl. 10.00-12.00. De Danske ForsvarsbrÃ¸dres jubilar- og optagelsesfest pÃ¥ Aalborg Kaserner.</t>
  </si>
  <si>
    <t>Air Controls | Activities For Children</t>
  </si>
  <si>
    <t>Musicians, Orchestras &amp; Bands</t>
  </si>
  <si>
    <t>Entertainment</t>
  </si>
  <si>
    <t>Arts, Entertainment &amp; Recreation</t>
  </si>
  <si>
    <t>Bands, Orchestras, Actors, and Other Entertainers Entertainment Groups (musical groups, musical artists, and orchestras)</t>
  </si>
  <si>
    <t>Creative, arts and entertainment activities</t>
  </si>
  <si>
    <t>90.02 | 90.03 | 90.04 | 90.01</t>
  </si>
  <si>
    <t>Support activities to performing arts | Artistic creation | Operation of arts facilities | Performing arts</t>
  </si>
  <si>
    <t>31 86 49 25</t>
  </si>
  <si>
    <t>+4522339402 | +4598195130</t>
  </si>
  <si>
    <t>https://aalbra.dk/</t>
  </si>
  <si>
    <t>https://www.facebook.com/Flyvestation-Aalborg-Brass-Band-438694576317079/</t>
  </si>
  <si>
    <t>web servers: ibm websphere application server | widgets: css | miscellaneous: http/3 | miscellaneous: open graph | network devices: html | web servers: schannel | network devices: html5 | web servers: apache http server | programming languages: php</t>
  </si>
  <si>
    <t>2021-08-23T02:33:30.000Z</t>
  </si>
  <si>
    <t>DNA OYJ</t>
  </si>
  <si>
    <t>3bb843df-d538-11ed-a180-99bd30d92bb6</t>
  </si>
  <si>
    <t>DNA Oyj</t>
  </si>
  <si>
    <t>Global DNA Testing Inc.</t>
  </si>
  <si>
    <t>DNA tester</t>
  </si>
  <si>
    <t>Ilmalantori</t>
  </si>
  <si>
    <t>FI, Finland, , , , , , 63.2467777, 25.9209164</t>
  </si>
  <si>
    <t>Finnish telecommunications company</t>
  </si>
  <si>
    <t>Y-STR DNA | Lab Instructions | Sibling Test | DNA Profiles | Secure Payment Processing | Faith Testing | Genetic Reconstruction | Sisterhood Tests | Test Pregnant Maternity | Grandparentage Test | Forensic Testing | Non-legal Paternity Testing</t>
  </si>
  <si>
    <t>100 % varmat DNA-tutkimukset. Isyystestin kÃ¤sittelyaika on vain 1 viikko. Toimitus 1-3 arkipÃ¤ivÃ¤ssÃ¤. Ilmainen toimitus.</t>
  </si>
  <si>
    <t>Nopea netti, puhelimet, tabletit ja lisätarvikkeet. Liittymät, kanavat ja DNA TV. Teemme arjesta inspiroivampaa, tuottavampaa ja viihdyttävämpää. DNA. Elämä on. Tervetuloa!</t>
  </si>
  <si>
    <t>Medical Laboratories</t>
  </si>
  <si>
    <t>Medical Laboratories (except diagnostic imaging centers)</t>
  </si>
  <si>
    <t>044 0440</t>
  </si>
  <si>
    <t>info@dnatester.fi</t>
  </si>
  <si>
    <t>20info@dnatester.fi</t>
  </si>
  <si>
    <t>http://www.dna.fi/</t>
  </si>
  <si>
    <t>fi</t>
  </si>
  <si>
    <t>https://www.facebook.com/dna.fi</t>
  </si>
  <si>
    <t>https://www.instagram.com/dna_fi/</t>
  </si>
  <si>
    <t>https://www.linkedin.com/company/dna-ltd/</t>
  </si>
  <si>
    <t>https://www.youtube.com/dna_fi</t>
  </si>
  <si>
    <t>2023-04-07T01:48:20.000Z</t>
  </si>
  <si>
    <t>DNB Bank Karl Johan</t>
  </si>
  <si>
    <t>307f8734-93e5-11eb-a746-fdabd18be9c6</t>
  </si>
  <si>
    <t>DNB Karl Johan</t>
  </si>
  <si>
    <t>DNB Asset Management Luxembourg S.A. | DNB Asset Management S.A.</t>
  </si>
  <si>
    <t>DNB Asset Management | DNB Asset Management AS. | DNB Funds | DNB Fund</t>
  </si>
  <si>
    <t>Karl Johans gate</t>
  </si>
  <si>
    <t>NO, Norway, Oslo, Oslo, 0191, Dronning Eufemias gate, 30, 59.907591, 10.760067 | LU, Luxembourg, Luxembourg, Luxembourg, L-1637, Rue Goethe, 13, 49.6060847, 6.127695250412049 | SE, Sweden, Stockholm County, Stockholm, 111 56, Regeringsgatan, 59, 59.3344042, 18.0675857</t>
  </si>
  <si>
    <t>DNB - Norges stÃ¸rste bank. Samle alle dine banktjenester hos oss og fÃ¥ vÃ¥re beste rÃ¥d tilpasset din Ã¸konomi.</t>
  </si>
  <si>
    <t>ESG Compliance | Asset Management of Investment Strategies | High-grade Corporate Bonds | Private Equity and Debt Investments | Asset Management Services | Financial Services | Active Managed Funds | Multi-portfolio Management | Discretionary Investment Mandates | Alternative Investing | Index Funds | UCITS Funds | Long/short Equities | Green Paper Funds Management Services | Customized Portfolios</t>
  </si>
  <si>
    <t>Vi tilbyr bÃ¥de indeksfond og aktivt forvaltede aksjefond innenfor en rekke markeder og sektorer, rentefond som investerer i rentepapirer med ulik bindingstid og kredittkvalitet i Norge, Norden og globalt - og fond som kombinerer investeringer pÃ¥ tvers av ulike aktivaklasser.</t>
  </si>
  <si>
    <t>Asset Management, the Nordic way. DNB Asset Management is among the leading asset managers in the Nordic region, managing investment strategies including discretionary mandates within Nordic and global asset classes, both long-only equities, long/short equities, investment grade and high yield corporate bonds, multi-assets, multi-manager portfolios and alternative investments. DNB Asset Management's product focus is centered towards producing world class UCITS funds to be marketed across selected markets in Europe. Our funds are managed out of Norway and Luxembourg. The company also manages AIFs within private equities (multi-manager portfolios). With a strong and consistent performance track-record within global and Nordic asset classes, and long-term client relationships through both stable and volatile markets, we aim to be our clients' trusted investment manager. We offer a wide range of investment strategies from broad equity and fixed income funds to sector specific fund such as technology, health care, finance and renewable energy.</t>
  </si>
  <si>
    <t>Financial Services | Investment Managers | Asset Management | Private Debt | Private Equity</t>
  </si>
  <si>
    <t>Investment Consultants &amp; Financial Advisors</t>
  </si>
  <si>
    <t>6289 | 6211</t>
  </si>
  <si>
    <t>Services Allied With the Exchange of Securities or Commodities, NEC (except security custodians) | Security Brokers, Dealers, and Flotation Companies (oil lease and gas lease brokers offices)</t>
  </si>
  <si>
    <t>6612 | 6619</t>
  </si>
  <si>
    <t>Security and commodity contracts brokerage | Other activities auxiliary to financial service activities</t>
  </si>
  <si>
    <t>66.19 | 66.12</t>
  </si>
  <si>
    <t>Other activities auxiliary to financial services, except insurance and pension funding | Security and commodity contracts brokerage</t>
  </si>
  <si>
    <t>91 50 48 00</t>
  </si>
  <si>
    <t>+352454945513 | +352454945505 | +352454945501 | +4747622255 | +352454945517 | +352621142129 | +4684734348 | +35222474000 | +4790081185 | +352621394099 | +352454945508 | +4684734216</t>
  </si>
  <si>
    <t>michael.baechtiger@dnb.no</t>
  </si>
  <si>
    <t>https://www.dnb.no/?mcc=mybusiness-Karl_johan</t>
  </si>
  <si>
    <t>https://www.facebook.com/dnb/</t>
  </si>
  <si>
    <t>https://twitter.com/DNB_Bank</t>
  </si>
  <si>
    <t>http://www.linkedin.com/company/dnb-nor-asset-management</t>
  </si>
  <si>
    <t>https://www.youtube.com/user/DNB</t>
  </si>
  <si>
    <t>miscellaneous: babel | javascript libraries: core-js | web servers: empathy platform | cms: craft cms | miscellaneous: webpack | miscellaneous: x | paas: amazon web services | miscellaneous: pwa | security: hsts | web frameworks: yii | miscellaneous: whatsapp | cdn: amazon s3 | miscellaneous: open graph | network devices: html | web servers: schannel | seo tool: facebook friendly | network devices: html5 | miscellaneous: facebook | javascript frameworks: gsap | tag managers: google tag manager | miscellaneous: linkedin | seo: seomatic | seo tool: twitter friendly | programming languages: php | javascript libraries: polyfill | miscellaneous: instagram</t>
  </si>
  <si>
    <t>2020-05-03T12:26:19.000Z</t>
  </si>
  <si>
    <t>DET NORSKE VERITAS, BUSINESS ASSURANCE, DANMARK A/S</t>
  </si>
  <si>
    <t>2fb184b2-121c-11ec-acb9-417079e98e96</t>
  </si>
  <si>
    <t>DNV</t>
  </si>
  <si>
    <t>DNV Business Assurance Denmark A/S</t>
  </si>
  <si>
    <t>Danish Quality Assurance Group | Danish Quality Assurance Group DKG</t>
  </si>
  <si>
    <t>Tuborg Parkvej</t>
  </si>
  <si>
    <t>DK, Denmark, Capital Region of Denmark, Copenhagen, 1357, , , 55.6867243, 12.5700724</t>
  </si>
  <si>
    <t>Driven by our purpose of safeguarding life, property and the environment, DNV enables organizations to advance the safety and sustainability of their business.</t>
  </si>
  <si>
    <t>GLP Regulated Work | Business Networking Group | Archiving and Preservation Services | GMP Regregulated Work | Presentations for Companies and Lecturers | Networking Group for Quality Assurance | GCP Regulated Products | Group Work Facilitation | Professional Organizations Contact | GVP and Archiving | Conferences Quality Research | GDP Regulated Works | Regulated GDP Infrastructure Services | Discussion Forums | Direct Contact with Regulatory Agencies | QA Activities Strengthening | Quality Assurance | Knowledge Sharing | Quality Assured Products</t>
  </si>
  <si>
    <t>Danish Quality Assurance Group (DKG = Dansk Kvalitetssikringsgruppe) is a networking group for professionals with an interest in Quality Assurance particularly in the areas of GLP, GCP, GMP and GDP regulated work as well as GVP and archiving.</t>
  </si>
  <si>
    <t>Danish Quality Assurance Group (DKG = Dansk Kvalitetssikringsgruppe) is a networking group for professionals with an interest in Quality Assurance particularly in the areas of GLP, GCP, GMP and GDP regulated work as well as GVP and archiving. The DKG was formed more than 25 years ago and currently represents more than 50 different companies and organizations. The purpose of the group is to strengthen the QA activities through contacts, discussions and information. The DKG stimulates contacts between individuals from private companies and public institutions and provides contact to professional organizations and regulatory authorities. The DKG establishes a forum for discussions of QA relevant topics through membership meetings in focused working groups and through broader membership meetings. DKG arranges contact to relevant organizations and authorities.</t>
  </si>
  <si>
    <t>Pharmaceuticals And Chemicals | Pharmaceutical Manufacturing | Medical</t>
  </si>
  <si>
    <t>Health &amp; Medical Association</t>
  </si>
  <si>
    <t>Associations</t>
  </si>
  <si>
    <t>Non Profit</t>
  </si>
  <si>
    <t>Professional Membership Organizations</t>
  </si>
  <si>
    <t>Management Consultants | Operations Consultants | Professional Associations | Information Technology Consultants | Marketing Consultants</t>
  </si>
  <si>
    <t>Activities of professional membership organizations</t>
  </si>
  <si>
    <t>Activities of professional membership organisations</t>
  </si>
  <si>
    <t>641401 | 641403 | 862001 | 641411 | 641405</t>
  </si>
  <si>
    <t>39 45 48 00</t>
  </si>
  <si>
    <t>dkg@dkgqa.com</t>
  </si>
  <si>
    <t>https://www.dnv.com/</t>
  </si>
  <si>
    <t>https://www.facebook.com/dnvofficial</t>
  </si>
  <si>
    <t>https://www.linkedin.com/company/dnv/</t>
  </si>
  <si>
    <t>web servers: empathy platform | widgets: css | font scripts: google font api | cms: site.com | miscellaneous: open graph | network devices: html | network devices: html5 | web servers: apache http server | caching: varnish | widgets: javascript</t>
  </si>
  <si>
    <t>2021-09-10T08:23:39.000Z</t>
  </si>
  <si>
    <t>Dtac Trinet Co Ltd</t>
  </si>
  <si>
    <t>0213b86f-fc78-11ee-a76c-df945ed3488f</t>
  </si>
  <si>
    <t>dtac Center</t>
  </si>
  <si>
    <t>DTAC TRINET CO., LTD.</t>
  </si>
  <si>
    <t>DTAC TOWER Ban Theling</t>
  </si>
  <si>
    <t>Soi Sukhumvit 19</t>
  </si>
  <si>
    <t>TH, Thailand, Nakhon Si Thammarat Province, Ron Phibun, 80130, , , 8.2153841, 99.8393858</t>
  </si>
  <si>
    <t>ดีแทคพร้อมดูแลคุณเหมือนเดิม ด้วยสัญญาณที่ดีกว่า เน็ตเร็วแรงยิ่งขึ้น พร้อมโปรโมชันดี ๆ ยังมีอยู่เสมอ และความสุขที่เพิ่มขึ้นเมื่อมีกันและกัน</t>
  </si>
  <si>
    <t>Telecommunications Services | Telecommunications Reseller</t>
  </si>
  <si>
    <t>DTAC TOWER Ban Theling is a telecommunications company based in Ron Phibun, Thailand.</t>
  </si>
  <si>
    <t>https://www.dtac.co.th/</t>
  </si>
  <si>
    <t>https://www.facebook.com/dtac</t>
  </si>
  <si>
    <t>https://twitter.com/dtac</t>
  </si>
  <si>
    <t>https://www.instagram.com/dtac/</t>
  </si>
  <si>
    <t>https://www.linkedin.com/company/dtac/</t>
  </si>
  <si>
    <t>2024-04-17T05:03:46.932Z</t>
  </si>
  <si>
    <t>DUBEX A/S</t>
  </si>
  <si>
    <t>18777d50-93e5-11eb-be3a-7f925cb94351</t>
  </si>
  <si>
    <t>Dubex - Part of Conscia</t>
  </si>
  <si>
    <t>Dubex A/S.</t>
  </si>
  <si>
    <t>Dubex</t>
  </si>
  <si>
    <t>Smedeland</t>
  </si>
  <si>
    <t>DK, Denmark, Capital Region of Denmark, Gladsaxe Municipality, 2860, Gyngemose Parkvej, 50, 55.726267, 12.476164 | DK, Denmark, Central Denmark Region, Aarhus, 8210, Bredskifte AllÃ©, 11, 56.17954219999999, 10.132085399999998 | DK, Denmark, Capital Region of Denmark, Glostrup, 2600, Smedeland, 11, 55.6809191, 12.3897227</t>
  </si>
  <si>
    <t>Danish cybersecurity consultancy providing advisory, managed security services and solutions for enterprises and public institutions.</t>
  </si>
  <si>
    <t>cybersecurity; managed security services; security consulting; SOC; incident response</t>
  </si>
  <si>
    <t>Cybersecurity consultancy and services provider based in Denmark.</t>
  </si>
  <si>
    <t>Dubex A/S is a Danish cybersecurity company that provides advisory services, security architecture, implementation and managed security services to enterprises and public organisations. With more than 25 years of experience, Dubex helps customers manage cyber risk and implement security controls, and is now part of Conscia’s European cybersecurity operations.</t>
  </si>
  <si>
    <t>cybersecurity consulting; managed security; SOC; penetration testing; security architecture</t>
  </si>
  <si>
    <t>541519</t>
  </si>
  <si>
    <t>Other Computer Related Services</t>
  </si>
  <si>
    <t>Cybersecurity Services</t>
  </si>
  <si>
    <t>Cybersecurity consulting and managed services</t>
  </si>
  <si>
    <t>Computer Related Services, NEC</t>
  </si>
  <si>
    <t>Management Consultants | Operations Consultants | Burglar / Fire Alarm Installation (No Monitoring) | Software Developers (Pre-Packaged) | Software Developers (Custom)</t>
  </si>
  <si>
    <t>641401 | 641403 | 173103 | 891801 | 891802</t>
  </si>
  <si>
    <t>32 83 04 30</t>
  </si>
  <si>
    <t>+45 32 83 04 30</t>
  </si>
  <si>
    <t>info@dubex.dk</t>
  </si>
  <si>
    <t>gma@dubex.dk | info@dubex.dk</t>
  </si>
  <si>
    <t>ldc@dubex.dk | psi@dubex.dk | dbp@dubex.dk | jhe@dubex.dk | rje@dubex.dk | gsa@dubex.dk | sfc@dubex.dk</t>
  </si>
  <si>
    <t>http://www.dubex.dk/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</si>
  <si>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</si>
  <si>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</si>
  <si>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</si>
  <si>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</si>
  <si>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</si>
  <si>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DXC TECHNOLOGY NORGE AS</t>
  </si>
  <si>
    <t>267c3447-93e5-11eb-86dd-ffbd1b53140e</t>
  </si>
  <si>
    <t>CSC Norway AS</t>
  </si>
  <si>
    <t>Fjordkraft Holding ASA.</t>
  </si>
  <si>
    <t>Fjordkraft | Fjordkraft AS</t>
  </si>
  <si>
    <t>Vestland</t>
  </si>
  <si>
    <t>Fyllingsdalen</t>
  </si>
  <si>
    <t>Folke Bernadottes vei</t>
  </si>
  <si>
    <t>NO, Norway, Vestland, Bergen, 5147, Folke Bernadottes vei, 38, 60.351336, 5.289149 | NO, Norway, Rogaland, Stavanger, 4021, Ishockeyveien, 1, 58.953527799999996, 5.6904781 | NO, Norway, Nordland, Sortland, 8400, Strandgata, 47, 68.69036740000001, 15.413222399999999 | NO, Norway, Innlandet, Kongsvinger, 2212, Markensvegen, 1B, 60.192882100000006, 12.000732699999999 | NO, Norway, Vestfold og Telemark, Sandefjord, 3241, Ã˜stre KullerÃ¸d, 3, 59.17523399999999, 10.2179122 | NO, Norway, TrÃ¸ndelag, Trondheim, 7037, Sluppenvegen, 17b, 63.398754200000006, 10.3961882 | NO, Norway, Oslo, Oslo, 0275, Hoffsveien, 1C, 59.92340679999999, 10.6767613</t>
  </si>
  <si>
    <t>Fjordkraft is a Norwegian company that provides electricity to both private customers and businesses throughout the country. It is the largest end user company in the electricity market and offers mobile telephony services. FjordKraft Mobil is Norway's largest brand in the mobile market and the largest provider without its own mobile network. The company offers additional benefits to electricity customers through its mobile subscription program and provides both spot price and management agreements for electricity customers. FÃ¸rdkraft also offers products and services for measuring and local production of energy to help customers become more energy-efficient. In addition to electricity, the company provides climate-related services such as energy monitoring systems, solar panels, heat pumps, and charging solutions for electric vehicles. FÃ³rdkpower is a subsidiary of Elmera Group ASA, a publicly traded company.</t>
  </si>
  <si>
    <t>Power Consumption Analysis | Climate Neutral Energy | Electricity Price Hedging | Energy Procurement Consulting | Smart Home Solutions | Energy Efficiency Services | Electricity Retailing | Electricity Distribution | Renewable Energy Services | Power Market Operations | Electric Vehicle Charging</t>
  </si>
  <si>
    <t>Fjordkraft leverer strÃ¸m til privatkunder og bedrifter over hele Norge, og vi er det stÃ¸rste sluttbrukerselskapet i strÃ¸mmarkedet.</t>
  </si>
  <si>
    <t>Fjordkraft is a Norwegian power company that delivers power to end users.</t>
  </si>
  <si>
    <t>Energy-saving Solutions | Electrical Vehicle Charging | Smart Energy | Electricity Retailing</t>
  </si>
  <si>
    <t>Utility companies</t>
  </si>
  <si>
    <t>Utillities</t>
  </si>
  <si>
    <t>Resources &amp; Energy</t>
  </si>
  <si>
    <t>4939 | 4931 | 4911</t>
  </si>
  <si>
    <t>Combination Utilities, NEC (other electric power generation) | Electric and Other Services Combined (other electric power generation) | Electric Services (other electric power generation)</t>
  </si>
  <si>
    <t>Gas Station - Self Serve (No Repairs) | Gas Station - Full Serve (No Repairs) | Electrical Contractors - Residential | Wholesale - Hardware / Plumbing Supplies / Electrical Supplies | Electrical Contractors - Commercial (No Industrial)</t>
  </si>
  <si>
    <t>Electric power generation, transmission and distribution</t>
  </si>
  <si>
    <t>35.14 | 35.11 | 35.12 | 35.13</t>
  </si>
  <si>
    <t>Trade of electricity | Production of electricity | Transmission of electricity | Distribution of electricity</t>
  </si>
  <si>
    <t>552501 | 552101 | 173101 | 509201 | 173102</t>
  </si>
  <si>
    <t>21 63 40 00</t>
  </si>
  <si>
    <t>+4723006100 | +4723006101 | +4791506110</t>
  </si>
  <si>
    <t>firmapost@fjordkraft.no</t>
  </si>
  <si>
    <t>http://fjordkraft.no/</t>
  </si>
  <si>
    <t>https://www.facebook.com/Fjordkraft/</t>
  </si>
  <si>
    <t>https://twitter.com/fjordkraft</t>
  </si>
  <si>
    <t>https://www.instagram.com/fjordkraft.no/</t>
  </si>
  <si>
    <t>https://www.linkedin.com/company/fjordkraft</t>
  </si>
  <si>
    <t>https://www.youtube.com/user/fjordkraftas/featured</t>
  </si>
  <si>
    <t>cookie compliance: cookie information | javascript libraries: lodash | web servers: .net framework | web servers: iis - 10.0 | static site generator: next.js | analytics: facebook custom audiences | cdn: google cloud cdn | analytics: hotjar | javascript libraries: twitter typeahead.js | web servers: empathy platform | miscellaneous: webpack | ssl/tls certificate authorities: digicert | miscellaneous: parcel | web servers: azure app service | widgets: css | javascript frameworks: emotion | web frameworks: microsoft asp.net | paas: amazon web services | javascript frameworks: react | ui frameworks: animate.css | rum: new relic | web frameworks: microsoft asp.net - 4.0.30319 | cdn: cdnjs | miscellaneous: pwa | javascript frameworks: lo-dash | web frameworks: animate.css | font scripts: google font api | javascript graphics: apexcharts.js | security: hsts | miscellaneous: http/3 | javascript libraries: polyfill - 3 | analytics: google analytics enhanced ecommerce | miscellaneous: module federation | javascript frameworks: moment.js | javascript frameworks: hogan.js | cms: site.com | javascript libraries: moment.js - 2.10.3 | cdn: amazon s3 | widgets: facebook | retargeting: facebook custom audiences | font scripts: font awesome - 4.7.0 | development: emotion | miscellaneous: open graph | reverse proxies: nunjucks | javascript frameworks: react router | miscellaneous: swc | advertising networks: appnexus | network devices: html | miscellaneous: jquery easing | cdn: jsdelivr | web servers: schannel | operating systems: windows server | seo tool: facebook friendly | javascript frameworks: jwerty | network devices: html5 | web servers: kestrel | javascript libraries: jquery - 3.6.0 | ui frameworks: chakra ui | web servers: iis | web servers: next.js | tag managers: google tag manager | web frameworks: next.js | cdn: microsoft ajax content delivery network | paas: vercel | javascript libraries: jquery | retargeting: facebook | widgets: javascript | miscellaneous: prism | cms: sanity | javascript frameworks: next.js | cdn: cloudflare | iaas: google cloud | javascript libraries: polyfill | javascript libraries: moment.js | cdn: amazon cloudfront | javascript frameworks: jquery | analytics: google analytics | javascript frameworks: tweenmax</t>
  </si>
  <si>
    <t>2019-11-24T12:38:18.000Z</t>
  </si>
  <si>
    <t>f19d20b5-250a-11ec-b70f-ed0ff919fa1a</t>
  </si>
  <si>
    <t>169 74</t>
  </si>
  <si>
    <t>Rosenborgsgatan</t>
  </si>
  <si>
    <t>SE, Sweden, VÃ¤stra GÃ¶taland County, Gothenburg, 417 55, Geely Walk, 1, 57.7113526, 11.946744200000001</t>
  </si>
  <si>
    <t>DXC Technology helps global companies run their mission-critical systems and operations while modernizing IT, optimizing data architectures, and ensuring security and scalability across public, private and hybrid clouds.</t>
  </si>
  <si>
    <t>Computer Store | Computer Peripherals | Software Merchant Wholesalers</t>
  </si>
  <si>
    <t>Data Processing, Hosting, and Related Services</t>
  </si>
  <si>
    <t>IT Services</t>
  </si>
  <si>
    <t>IT Consulting</t>
  </si>
  <si>
    <t>Software and IT Services</t>
  </si>
  <si>
    <t>Information Technology Consultants | Management Consultants | Software Developers (Custom) | Software Developers (Pre-Packaged) | Renovation - Residential (Singles / Semis / Townhouses)</t>
  </si>
  <si>
    <t>641411 | 641401 | 891802 | 891801 | 181102</t>
  </si>
  <si>
    <t>08-502 408 00</t>
  </si>
  <si>
    <t>https://www.dxc.com/</t>
  </si>
  <si>
    <t>https://www.facebook.com/DXCTechnology</t>
  </si>
  <si>
    <t>https://x.com/dxctechnology</t>
  </si>
  <si>
    <t>https://www.instagram.com/DxcTechnology/</t>
  </si>
  <si>
    <t>https://www.linkedin.com/company/dxctechnology</t>
  </si>
  <si>
    <t>2021-10-01T23:09:38.000Z</t>
  </si>
  <si>
    <t>Dynamic-Telecommunication Sdn. Bhd.</t>
  </si>
  <si>
    <t>6fef3cc3-499f-11ee-955d-cffc14e1ac7f</t>
  </si>
  <si>
    <t>Dynamic-Telecommunication Sdn Bhd.</t>
  </si>
  <si>
    <t>Johor Darul Ta'zim</t>
  </si>
  <si>
    <t>Ulu Tiram</t>
  </si>
  <si>
    <t>Jalan Cantik 4</t>
  </si>
  <si>
    <t>No. 50 &amp; 50A</t>
  </si>
  <si>
    <t>MY, Malaysia, Johor, Johor Bahru, 81100, Jalan Harmoni 3/8, 27, 1.5195362, 103.79504709999999 | MY, Malaysia, Johor, Ulu Tiram, 81800, Jalan Cantik, 50 &amp; 50a, 1.5771262000000001, 103.79842710000001</t>
  </si>
  <si>
    <t>Malaysian company providing mechanical, electrical and telecommunication infrastructure engineering and installation services.</t>
  </si>
  <si>
    <t>telecommunication works; power and communication lines; M&amp;E engineering; infrastructure installation; contracting</t>
  </si>
  <si>
    <t>Ulu Tiram-based engineering contractor for telecommunication and power infrastructure.</t>
  </si>
  <si>
    <t>Dynamic-Telecommunication Sdn. Bhd. is a Malaysian engineering and contracting company headquartered at No. 50 &amp; 50A, Jalan Cantik 4, Taman Pelangi Indah, 81800 Ulu Tiram, Johor. Established in 1995, the company provides mechanical and electrical engineering, installation and maintenance services and undertakes telecommunication works and power and communication line projects.</t>
  </si>
  <si>
    <t>telecom infrastructure; M&amp;E engineering; installation services; power and communication lines; contracting</t>
  </si>
  <si>
    <t>Construction &amp; Engineering – Telecom Infrastructure</t>
  </si>
  <si>
    <t>Telecommunication and power line construction</t>
  </si>
  <si>
    <t>07-863 4822</t>
  </si>
  <si>
    <t>+6073530822 | +6078634822</t>
  </si>
  <si>
    <t>https://www.dynagroup.my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</si>
  <si>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</si>
  <si>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2023-02-03T11:04:45.871Z</t>
  </si>
  <si>
    <t>EASTCOMPEACE (SINGAPORE) PTE. LTD.</t>
  </si>
  <si>
    <t>8f8f8cf9-03e0-11ec-ac6b-6d73d9b682b2</t>
  </si>
  <si>
    <t>Eastcompeace (Singapore) Pte Ltd</t>
  </si>
  <si>
    <t>Eastcompeace</t>
  </si>
  <si>
    <t>Ang Mo Kio Avenue 5</t>
  </si>
  <si>
    <t>SG, Singapore, Central, Singapore, 058469, , , 1.2829435, 103.8441517 | RU, Russia, Moscow, Zelenograd, 124482, , , 55.99714611512605, 37.21551925714286 | BD, Bangladesh, Dhaka Division, Dhaka Metropolitan, 1208, , , 23.76473679387755, 90.40243463877552 | IN, India, Uttar Pradesh, Dadri, 110092, , , 28.627380643014707, 77.36520087279412 | IN, India, Delhi, Laxmi Nagar, 110092, , , ,</t>
  </si>
  <si>
    <t>Eastcompeace is an international digital security product supplier and service provider that has been actively involved in the research and development of new technologies and products related to 5G, Internet of Things (IoT), and mobile payment. The company owns a self-developed and high-quality financial product platform that can develop customized demands for customers based on standard financial products. Eastcom peace products are developed to offer consumers the reliability they need, while adapting to future consumer needs with next-generation technology. Their products include smart cards, mobile communication solutions, digital identity and security, embedded secure elements, and a digital safety management platform. They also offer solutions for financial services, consumer electronics, RSP remote subscription management, OTO, TSM, financial payment, qualification and honor, security and system certification, product and technology certification.</t>
  </si>
  <si>
    <t>RSP Remote Subscription Management Solution | High-end Customized Cards | Bank Card Multi-application Solution | Mobile Communication Solutions | Financial IC Cards | USIM PLUS Identity Management Solution | Digital Identity Solutions | Classic SIM | Information Security Management Platform | Consumer Electronics | 5G USIM | Information Security Products and Services | Smart Cards | Financial Payment Solutions | Card Design | Security Products and Services Provider | Smart Card Solutions</t>
  </si>
  <si>
    <t>With our products and solutions, we are giving people full control of their digital lives at the fingertips.</t>
  </si>
  <si>
    <t>WE ARE A WORLD-LEADING INFORMATION SECURITY PRODUCT AND SERVICE PROVIDER. 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t>
  </si>
  <si>
    <t>Internet Of Things | Identity And Security | Consumer Electronics | Industry Solutions | Qualifications And Honors | Digital Security | Financial Services | Identity Management Solutions | Mobile Payment Solutions | Subscription Management</t>
  </si>
  <si>
    <t>Telecommunications Resellers</t>
  </si>
  <si>
    <t>Telephone and Telegraph Apparatus (except consumer external modems)</t>
  </si>
  <si>
    <t>Renovation - Residential (Singles / Semis / Townhouses) | Electrical Products Manufacturing - Not Otherwise Classified | Carpentry, trim and millwork (No Wood Shop) | Construction - Fences / Decks | Wholesale - Hardware / Plumbing Supplies / Electrical Supplies</t>
  </si>
  <si>
    <t>181102 | 357001 | 175201 | 152201 | 509201</t>
  </si>
  <si>
    <t>6392 3909</t>
  </si>
  <si>
    <t>+911143317775 | +6563923989 | +6582584280 | +88029895427 | +88029899151 | +88029894989 | +74997365763 | +911143317774 | +911143092863 | +6582548580 | +74997361431 | +6563923909</t>
  </si>
  <si>
    <t>eastcompeace@eastcompeace.com</t>
  </si>
  <si>
    <t>https://www.worldclasslighting.com/</t>
  </si>
  <si>
    <t>javascript libraries: jquery - 2.2.4 | ui frameworks: bootstrap - 3.3.7 | analytics: google ads conversion tracking | javascript libraries: slick | font scripts: google font api | reverse proxies: nginx | miscellaneous: http/3 | font scripts: font awesome - 4 | advertising: google ads | ecommerce: cart functionality | ssl/tls certificate authorities: sectigo | web servers: nginx | cdn: cloudflare | programming languages: php | analytics: google analytics | live chat: provide support</t>
  </si>
  <si>
    <t>2021-08-23T05:34:32.000Z</t>
  </si>
  <si>
    <t>EASTCOMPEACE SMART CARD (BANGLADESH) LIMITED</t>
  </si>
  <si>
    <t>d3e5dfe4-123f-11ec-b7b8-257f68cd18d4</t>
  </si>
  <si>
    <t>Eastcompeace Smart Card (Bangladesh) Ltd.</t>
  </si>
  <si>
    <t>Eastcompeace Technology Co. Ltd.</t>
  </si>
  <si>
    <t>ঢাকা বিভাগ</t>
  </si>
  <si>
    <t>ঢাকা</t>
  </si>
  <si>
    <t>Uzampur, Uttarkhan</t>
  </si>
  <si>
    <t>CN, China, Guangdong Province, Zhuhai, , , , 22.273734, 113.5721327 | BD, Bangladesh, Dhaka Division, Dhaka, 1215, , , 23.7544529, 90.393336</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</si>
  <si>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</si>
  <si>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</si>
  <si>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</si>
  <si>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</si>
  <si>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Information Security Solutions | The Iot | Government &amp; Public Sector | Information Security | IT Consulting Services | Telecommunications Services | Information Technology Services</t>
  </si>
  <si>
    <t>Payment Processing &amp; Point of Sale</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</si>
  <si>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</si>
  <si>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</si>
  <si>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01970-311445</t>
  </si>
  <si>
    <t>http://www.eastcompeace.com/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</si>
  <si>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</si>
  <si>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</si>
  <si>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2021-09-10T12:20:00.000Z</t>
  </si>
  <si>
    <t>Eastcompeace Technology Co.,Ltd</t>
  </si>
  <si>
    <t>9a1b9e1e-060f-11ec-a331-7bdbffe70970</t>
  </si>
  <si>
    <t>Pinggong Zhong Road</t>
  </si>
  <si>
    <t>CN, China, Guangdong Province, Zhuhai, , , , 22.273734, 113.5721327 | CN, China, Shaanxi, Xi'an, , , , 34.2607713, 108.9423443 | SG, Singapore, Central, Singapore, 058469, , , 1.2829435, 103.8441517 | BD, Bangladesh, Dhaka Division, Dhaka Metropolitan, 1208, , , 23.764704498039215, 90.40319420784314 | IN, India, Delhi, East Delhi, 110092, , , 28.62591584643678, 77.33712434712643</t>
  </si>
  <si>
    <t>Chinese company specialising in smart cards, digital identity security and smart card-based system solutions for telecom, finance, ID and security sectors.</t>
  </si>
  <si>
    <t>smart cards; digital identity; payment cards; telecom SIM; security solutions</t>
  </si>
  <si>
    <t>Zhuhai-based smart card and digital identity solutions provider.</t>
  </si>
  <si>
    <t>Eastcompeace Technology Co., Ltd. is a Chinese technology company headquartered at No. 8 Pinggong Zhong Road, Nanping Science &amp; Technology Industrial Community, Zhuhai, Guangdong. Established in 1998 and listed on the Shenzhen Stock Exchange (002017.SZ) since 2004, Eastcompeace develops and supplies smart card products and digital identity security solutions for telecommunications, payments, government ID and security applications worldwide.</t>
  </si>
  <si>
    <t>smart card manufacturing; digital identity; secure payment; telecom SIM; security solutions</t>
  </si>
  <si>
    <t>334613</t>
  </si>
  <si>
    <t>Magnetic and Optical Recording Media Manufacturing</t>
  </si>
  <si>
    <t>Smart Card &amp; Security Technology</t>
  </si>
  <si>
    <t>Smart card manufacturing and digital identity solutions</t>
  </si>
  <si>
    <t>Computer Peripheral Equipment, NEC (smart cards and related devices)</t>
  </si>
  <si>
    <t>+88029899151 | +862150613372 | +867568682166 | +862989296427 | +911143092863 | +862150613338 | +8657188865388 | +867568682893 | +861058362121 | +88029894989 | +867568682900 | +88029895427 | +862150613381 | +911143317774 | +861058362066 | +911143317775 | +6563923909 | +6563923989</t>
  </si>
  <si>
    <t>https://www.eastcompeace.com</t>
  </si>
  <si>
    <t>2021-08-25T14:32:30.000Z</t>
  </si>
  <si>
    <t>Ecapacity A/S</t>
  </si>
  <si>
    <t>2a2e9a98-1200-11ec-b96f-e38fcfed8310</t>
  </si>
  <si>
    <t>Valtech_eCapacity</t>
  </si>
  <si>
    <t>eCapacity A/S.</t>
  </si>
  <si>
    <t>ECapacity | Valtech_ eCapacity</t>
  </si>
  <si>
    <t>Kanonbådsvej</t>
  </si>
  <si>
    <t>DK, Denmark, Capital Region of Denmark, Copenhagen, 1577, Bernstorffsgade, 21, 55.670543, 12.569391 | DK, Denmark, Central Denmark Region, Aarhus Municipality, 8000, Ã…boulevarden, 22, 56.1550167, 10.210909499999998</t>
  </si>
  <si>
    <t>Danish digital advisory firm specialising in data-driven digital strategy, customer insight and activation for leading brands.</t>
  </si>
  <si>
    <t>digital advisory; data analytics; customer insight; digital strategy; marketing optimisation</t>
  </si>
  <si>
    <t>Copenhagen-based digital advisory focused on data-driven growth and customer insights.</t>
  </si>
  <si>
    <t>Ecapacity A/S is a Danish digital advisory company headquartered at Bernstorffsgade 21, st., 1577 København V. Founded in 2007, the firm helps leading brands across sectors such as finance, telecom, retail and media with data-driven digital strategies, customer insights, activation and optimisation of digital channels.</t>
  </si>
  <si>
    <t>digital advisory; analytics; customer data; growth strategy; performance marketing</t>
  </si>
  <si>
    <t>541511</t>
  </si>
  <si>
    <t>Digital Advisory &amp; Analytics</t>
  </si>
  <si>
    <t>Digital strategy and data analytics consulting</t>
  </si>
  <si>
    <t>Information Technology Consultants | Marketing Consultants | Operations Consultants | Management Consultants | Software Developers (Pre-Packaged)</t>
  </si>
  <si>
    <t>641411 | 641405 | 641403 | 641401 | 891801</t>
  </si>
  <si>
    <t>70 26 27 23</t>
  </si>
  <si>
    <t>+45 70 26 27 23</t>
  </si>
  <si>
    <t>info@ecapacity.dk</t>
  </si>
  <si>
    <t>http://valtech.com/ecapacity</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</si>
  <si>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</si>
  <si>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</si>
  <si>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</si>
  <si>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</si>
  <si>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</si>
  <si>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ECI Media Management AB</t>
  </si>
  <si>
    <t>2b50edd1-93e5-11eb-a746-fdabd18be9c6</t>
  </si>
  <si>
    <t>ECI Media Management</t>
  </si>
  <si>
    <t>ECI Media Management AB.</t>
  </si>
  <si>
    <t>118 53</t>
  </si>
  <si>
    <t>Maria Skolgata</t>
  </si>
  <si>
    <t>SE, Sweden, Stockholm County, Stockholm, 118 53, Maria Skolgata, 83, 59.3148577, 18.0541303 | DE, Germany, Berlin, Berlin, 12207, BrÃ¶ndbystraÃŸe, 52, 52.417876050000004, 13.296467184291954 | DE, Germany, North Rhine-Westphalia, DÃ¼sseldorf,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</si>
  <si>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 Media Benchmark Audit - Financial Media Audit</t>
  </si>
  <si>
    <t>media consulting; media audit; advertising; marketing effectiveness; contract compliance</t>
  </si>
  <si>
    <t>Stockholm-based media management consultancy focused on auditing and optimising media investments.</t>
  </si>
  <si>
    <t>ECI Media Management AB is a Swedish media and advertising consultancy headquartered at Magnus Ladulåsgatan 3, 118 65 Stockholm. Founded in 2011, the firm provides media performance audits, financial compliance reviews, pitch management and contract consultancy to help advertisers optimise media investments and ensure transparency and value from their media agency relationships.</t>
  </si>
  <si>
    <t>media audit; advertising consultancy; marketing performance; pitch management; contract consulting</t>
  </si>
  <si>
    <t>Media &amp; Marketing Consulting</t>
  </si>
  <si>
    <t>Media management and advertising consultancy</t>
  </si>
  <si>
    <t>Management Consultants | Marketing Consultants | Public Relations | Operations Consultants | Information Technology Consultants</t>
  </si>
  <si>
    <t>641401 | 641405 | 731301 | 641403 | 641411</t>
  </si>
  <si>
    <t>08-400 249 80</t>
  </si>
  <si>
    <t>+46 8 400 24 980</t>
  </si>
  <si>
    <t>value@ecimm.com</t>
  </si>
  <si>
    <t>http://www.ecimediamanagement.com/</t>
  </si>
  <si>
    <t>https://twitter.com/eci_mm</t>
  </si>
  <si>
    <t>https://www.linkedin.com/jobs/eci-media-management-jobs-worldwide</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</si>
  <si>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</si>
  <si>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</si>
  <si>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ECI MEDIA MANAGEMENT AB</t>
  </si>
  <si>
    <t>Stockholm County</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</si>
  <si>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MarkÂ® and OnTargetÂ®,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</si>
  <si>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</si>
  <si>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</si>
  <si>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
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
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
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
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</si>
  <si>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</si>
  <si>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Radio, Television, and Publishersâ€™ Advertising Representatives</t>
  </si>
  <si>
    <t>https://ecimediamanagement.com/</t>
  </si>
  <si>
    <t>https://www.linkedin.com/company/eci-media-management</t>
  </si>
  <si>
    <t>Edotco Group Sdn. Bhd.</t>
  </si>
  <si>
    <t>2ec1c3c4-bc87-11ec-a11f-5bb3d2519761</t>
  </si>
  <si>
    <t>Laman EDOTCO - EDOTCO Group Sdn Bhd</t>
  </si>
  <si>
    <t>edotco Bangladesh Co. Ltd.</t>
  </si>
  <si>
    <t>Lorong Universiti A</t>
  </si>
  <si>
    <t>MY, Malaysia, Kuala Lumpur, Kuala Lumpur, , , , 3.156151, 101.71452040976348</t>
  </si>
  <si>
    <t>Building shared connectivity for a sustainable future</t>
  </si>
  <si>
    <t>Managed Website | Network Infrastructure Solutions | Tower Management</t>
  </si>
  <si>
    <t>Edotco is a company of Axiata Group and it provides network infrastructure solutions.</t>
  </si>
  <si>
    <t>Edotco is a company of Axiata Group and it provides network infrastructure solutions. Currently edotco has over 10,000 towers and managed sites in Bangladesh.</t>
  </si>
  <si>
    <t>Network Infrastructure Solutions | Telecommunications Services</t>
  </si>
  <si>
    <t>Metal Products Manufacturing - Light, Not Otherwise Classified (incl Machine Shops / Tool &amp; Die) | Millwright / Industrial Machinery Installation (No Agricultural) | Renovation - Residential (Singles / Semis / Townhouses) | Retail - Farm Implements / Machinery | Auto Repair Garage (No heavy trucks)</t>
  </si>
  <si>
    <t>359001 | 153601 | 181102 | 551501 | 551301</t>
  </si>
  <si>
    <t>03-2779 2699</t>
  </si>
  <si>
    <t>oc@edotcogroup.com</t>
  </si>
  <si>
    <t>https://edotcogroup.com/</t>
  </si>
  <si>
    <t>https://www.facebook.com/edotcogroup/</t>
  </si>
  <si>
    <t>https://twitter.com/edotcogroup</t>
  </si>
  <si>
    <t>https://www.linkedin.com/company/e-co-group-sdn-bhd/</t>
  </si>
  <si>
    <t>2022-04-14T07:26:36.000Z</t>
  </si>
  <si>
    <t>EDOTCO TOWERS PAKISTAN (PRIVATE) LIMITED</t>
  </si>
  <si>
    <t>00585f10-03dd-11ec-88c1-8d1ee037d45b</t>
  </si>
  <si>
    <t>edotco PK</t>
  </si>
  <si>
    <t>Aquamatch Pakistan Private Limited</t>
  </si>
  <si>
    <t>Aquamatch | AQUAMATCH PAKISTAN</t>
  </si>
  <si>
    <t>Islamabad Capital Territory</t>
  </si>
  <si>
    <t>Islamabad</t>
  </si>
  <si>
    <t>Service Road West</t>
  </si>
  <si>
    <t>PK, Pakistan, Punjab, Lahore, 54010, Street 2, , 31.3766541, 74.1928959 | PK, Pakistan, Punjab, Lahore, 53200, DHA Phase 8 Main Boulevard, 367/xx, 31.5215433, 74.4308764 | PK, Pakistan, Sindh, Karachi, 74400, , , 24.8546842, 67.0207055</t>
  </si>
  <si>
    <t>Capacity Building | Technical Assistance | Water Disinfection | Desalination | Water Treatment Infrastructure | Food and Beverage | Water Treatment Plants | Membrane Technology | Super Vision Services | Manufacturing | Turnkey Installations | Grey Water Treatment | Softening Systems | Filtration Systems | Recycled Wastewater | Spare Parts &amp; Consumables | Technical Support for Hydranautics Membranes Distributor | Post-treatment Processes</t>
  </si>
  <si>
    <t>The sales and service of industrial chemicals in Pakistan will be carried out by Water Tech Engineering company in Karachi.</t>
  </si>
  <si>
    <t>Aquamatch Pakistan Private Limited (APPL) is the sister company of Aquamatch Turkey. Established in 2015, Aquamatch Pakistan is the official supplier of Hydranautics membranes in Pakistan. It had completed more than 75 projects in Food &amp; Beverage, Textile and Power Plants sector as of 2021. APPL answers the growing demand for water treatment infrastructure projects in Pakistan by forming long-term relations with the clients. Aquamatch Pakistan team has Turkish and Pakistani engineers. We became one of the most prominent water treatment companys in the region after three years. We aim to support Pakistani stakeholders and business through technical assistance and capacity-building projects. Our main objective is to raise the quality of water treatment infrastructure of Pakistan's industry and communities. We are currently active in wastewater recycling, desalination, power plants, food and beverage and textile sectors. We offer long-term employment to local engineers and sustain a grassroot understanding of water treatment technologies.</t>
  </si>
  <si>
    <t>Water Treatment Systems | Industrial Chemical | Food And Beverage | Wastewater Treatment System | Water Treatments | Membrane Technology | Filtration Systems | Desalination | Wastewater | Chemicals</t>
  </si>
  <si>
    <t>Water Supply &amp; Water Treatment</t>
  </si>
  <si>
    <t>Water Utilities &amp; Services</t>
  </si>
  <si>
    <t>IF-WU</t>
  </si>
  <si>
    <t>Sewerage Systems</t>
  </si>
  <si>
    <t>Sewerage</t>
  </si>
  <si>
    <t>(051) 7080010</t>
  </si>
  <si>
    <t>info@aquamatch.pk</t>
  </si>
  <si>
    <t>http://www.edotcogroup.com/</t>
  </si>
  <si>
    <t>https://www.instagram.com/aquamatch/</t>
  </si>
  <si>
    <t>2021-08-20T10:12:28.000Z</t>
  </si>
  <si>
    <t>Egencia Denmark A/S</t>
  </si>
  <si>
    <t>386ddce7-93e5-11eb-b4a6-27899be4e45d</t>
  </si>
  <si>
    <t>Egencia Denmark A/S.</t>
  </si>
  <si>
    <t>Egencia</t>
  </si>
  <si>
    <t>3H</t>
  </si>
  <si>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</si>
  <si>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</si>
  <si>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</si>
  <si>
    <t>Find lÃ¸sninger til administration af erhvervsrejser, som passer til alle typer virksomheder â€“ bÃ¥de store og smÃ¥. Egencia gÃ¸r erhvervsrejser bÃ¥de nemmere og bedre.</t>
  </si>
  <si>
    <t>Moderne administration af erhvervsrejser til en rejsebranche i hastig forandring. Vores platform kan optimeres til alle typer af brugere i smÃ¥ og store virksomheder. Vores kunstige intelligens sikrer en skrÃ¦ddersyet brugeroplevelse, som fÃ¸jer vÃ¦rdi til jeres rejselÃ¸sning. Amex GBT Egencias Ã¥bne API-platform gÃ¸r det muligt at oprette en effektiv integration, som hjÃ¦lper med at automatisere, forbinde og forenkle administrationen af erhvervsrejser og rejseafregning. Vi er fÃ¸rende i branchen med over 290 globale flyselskaber og 650.000 overnatningssteder. Det unikke indhold fra Amex GBT Egencia giver enestÃ¥ende udvalg og vÃ¦rdi inden for flyrejser, overnatning, billeje og togrejser. Vores platform og tjenester har en kundetilfredshedsbedÃ¸mmelse pÃ¥ over 95%. Vi leverer tjenester til over to millioner rejsende i mere end 60 lande. Vi leverer konsekvent optimering og innovation pÃ¥ tvÃ¦rs af online- og offlinetjenester. Vores teknologi giver en intelligent og hurtig kÃ¸bsoplevelse i topklasse, sÃ¥ vi kan tilbyde de bedste ruter og priser baseret pÃ¥ brugernes prÃ¦ferencer.</t>
  </si>
  <si>
    <t>Software Developers (Pre-Packaged) | Software Developers (Custom) | Technology Customer Support Services (For others) | Software Implementation Integration | Travel Agencies</t>
  </si>
  <si>
    <t>891801 | 891802 | 740809 | 740810 | 729801</t>
  </si>
  <si>
    <t>43 32 72 63</t>
  </si>
  <si>
    <t>+4543327263 | +4570708000 | +4570708120 | +4570708132</t>
  </si>
  <si>
    <t>http://www.egencia.dk/</t>
  </si>
  <si>
    <t>https://www.facebook.com/amexgbt/</t>
  </si>
  <si>
    <t>https://www.linkedin.com/company/american-express-global-business-travel</t>
  </si>
  <si>
    <t>https://apps.apple.com/us/app/egencia/id446768364</t>
  </si>
  <si>
    <t>https://play.google.com/store/apps/details?id=com.egencia.app</t>
  </si>
  <si>
    <t>https://www.youtube.com/channel/UC6RjB6tXwztw4qaB7pxmbbw</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</si>
  <si>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</si>
  <si>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2020-04-30T13:13:04.000Z</t>
  </si>
  <si>
    <t>EGENCIA LLC</t>
  </si>
  <si>
    <t>21683381-0e12-11ec-9290-4759484bcf45</t>
  </si>
  <si>
    <t>Egencia, An American Express Global Business Company</t>
  </si>
  <si>
    <t>Egencia New Zealand Limited</t>
  </si>
  <si>
    <t>Egencia New Zealand</t>
  </si>
  <si>
    <t>110th Avenue Northeast</t>
  </si>
  <si>
    <t>US, United States, Washington, Seattle, , , , 47.6038321, -122.330062 | US, United States, Illinois, Chicago, , , , 41.8755616, -87.6244212 | ES, Spain, Community of Madrid, Madrid, , , , 40.4167047, -3.7035825 | LK, Sri Lanka, Western Province, Colombo, , , , 6.9387469, 79.8541134 | PY, Paraguay, Distrito Capital, AsunciÃ³n, , , , -25.2800459, -57.6343814 | CZ, Czechia, Prague, Prague, , , , 50.0874654, 14.4212535 | UA, Ukraine, Kyiv, Kyiv, , , , 50.4500336, 30.5241361 | RU, Russia, Moscow, Moscow, , , , 55.7504461, 37.6174943 | PK, Pakistan, Punjab, Lahore, , , , 31.5656822, 74.3141829 | BO, Bolivia, La Paz, La Paz, , , , -16.4955455, -68.1336229</t>
  </si>
  <si>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</si>
  <si>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</si>
  <si>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Discover corporate travel management solutions that suit any business, large or small. Egencia is making business travel easier â€” and better.</t>
  </si>
  <si>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</si>
  <si>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Travel Manager | Business Travellers | Corporate Travel Management | Corporate Travels | Business Travel Services | Traveler Services | Travel Risk Management | Transportation &amp; Logistics | Travel Experience | Travel Policy</t>
  </si>
  <si>
    <t>Software Developers (Pre-Packaged) | Software Developers (Custom) | Travel Agencies | Technology Customer Support Services (For others) | Software Implementation Integration</t>
  </si>
  <si>
    <t>891801 | 891802 | 729801 | 740809 | 740810</t>
  </si>
  <si>
    <t>+18005594857 | +18175240991</t>
  </si>
  <si>
    <t>nzmanagementteam@egencia.com</t>
  </si>
  <si>
    <t>https://www.egencia.com/</t>
  </si>
  <si>
    <t>https://www.facebook.com/EgenciaBusinessTravel/</t>
  </si>
  <si>
    <t>https://twitter.com/Egencia</t>
  </si>
  <si>
    <t>https://www.linkedin.com/company/egencia</t>
  </si>
  <si>
    <t>https://www.youtube.com/channel/UC6FavVCFRkSq6CLRMmXpVwQ</t>
  </si>
  <si>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</si>
  <si>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2021-09-04T19:39:26.000Z</t>
  </si>
  <si>
    <t>EGENCIA NORWAY AS</t>
  </si>
  <si>
    <t>06e4ced6-ff7f-11eb-84ab-359586b9329a</t>
  </si>
  <si>
    <t>Egencia Norway AS</t>
  </si>
  <si>
    <t>Egencia | Egencia Norge | Egencias</t>
  </si>
  <si>
    <t>Cort Adelers gate</t>
  </si>
  <si>
    <t>NO, Norway, Innlandet, GjÃ¸vik,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MosjÃ¸en - Mussere, 8656, Petter Dass gate, 3, 65.8377591, 13.1913819 | NO, Norway, Vestfold og Telemark, TÃ¸nsberg, 3110, Stoltenbergs gate, 1, 59.269361700000005, 10.4100087</t>
  </si>
  <si>
    <t>Egencias, legally known as Egencia LLC., based in GjÃ¸vik,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</si>
  <si>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</si>
  <si>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VÃ¥r kunstige intelligens gir skreddersydde brukeropplevelser som skaper Ã¸kt verdi for bedriftens forretningsreiseprogram.</t>
  </si>
  <si>
    <t>VÃ¥r kunstige intelligens gir skreddersydde brukeropplevelser som skaper Ã¸kt verdi for bedriftens forretningsreiseprogram. Vi er ledende i bransjen, med over 290 globale flyselskaper og 650 000 overnattingssteder. Vi gir forretningsreisende mest for pengene med tilgang til spesialpriser pÃ¥ flybilletter. Amex GBT Egencias unike innhold sÃ¸rger for enestÃ¥ende valgmuligheter og valuta for pengene pÃ¥ bestilling av fly, hotell, bil og tog. VÃ¥r plattform og vÃ¥re tjenester fÃ¥r konsekvent en rangering pÃ¥ over 95 % for kundetilfredshet. Vi tilbyr vÃ¥re tjenester til over 2 millioner reisende i over 60 land. VÃ¥r teknologi tilbyr den smarteste og raskeste bestillingsopplevelsen for Ã¥ tilby de beste rutene og prisene basert pÃ¥ brukernes preferanser. Amex GBT Egencia hjelper deg med Ã¥ holde kontakten 14 millioner forretningsreiser ble utfÃ¸rt med Amex GBT Egencia i fjor. Reisebransjen er i endring, men bedrifter mÃ¥ fremdeles ta strategiske beslutninger basert pÃ¥ kostnader og avkastning. FÃ¥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</si>
  <si>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</si>
  <si>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</si>
  <si>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</si>
  <si>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24 14 06 19</t>
  </si>
  <si>
    <t>+4723151600 | +4735588000 | +4751444440 | +4761133180</t>
  </si>
  <si>
    <t>http://www.egencia.no/</t>
  </si>
  <si>
    <t>https://www.facebook.com/egencianorge/</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</si>
  <si>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</si>
  <si>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2021-08-17T16:10:51.000Z</t>
  </si>
  <si>
    <t>Egencia Sweden AB</t>
  </si>
  <si>
    <t>3198bf61-93e5-11eb-8e19-198fb02d6f96</t>
  </si>
  <si>
    <t>Egencia Hong Kong Limited</t>
  </si>
  <si>
    <t>Egencia | Egencia Hong Kong</t>
  </si>
  <si>
    <t>117 43</t>
  </si>
  <si>
    <t>Mejerivägen</t>
  </si>
  <si>
    <t>ES, Spain, Community of Madrid, Madrid, , , , 40.4167047, -3.7035825 | ES, Spain, Andalusia, Seville, , , , 37.3886303, -5.9953403 | MX, Mexico, Mexico City, Mexico City, , , , 19.4326296, -99.1331785 | SV, El Salvador, Departamento de San Salvador, San Salvador, , , , 13.6989939, -89.1914249 | GB, United Kingdom, England, Manchester, , , , 53.4794892, -2.2451148 | NL, Netherlands, North Holland, Amsterdam, , , , 52.3730796, 4.8924534 | ID, Indonesia, Special Capital Region of Jakarta, Special Capital Region of Jakarta, , , , -6.175247, 106.8270488 | HN, Honduras, Francisco MorazÃ¡n, Tegucigalpa, , , , 14.1057433, -87.2040052 | NZ, New Zealand, Wellington, Wellington, , , , -41.2887953, 174.7772114 | VE, Venezuela, Capital District, Caracas, , , , 10.5060934, -66.9146008</t>
  </si>
  <si>
    <t>Egencia, legally known as Egencia Hong Kong Limited.,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customer satisfaction, and innovative distribution capabilities. It is part of American Express Global Business Travel (Amex GBT) and offers a suite of APIs for integrating travel management solutions.</t>
  </si>
  <si>
    <t>Industry Solutions | Legal Services | Amex GBT Select | Logistics Services | Traveler Well-being Support | Travel Risk Management | Reporting Services | Travel Spend Analysis | Travel Expense Management | Robust Integrations | AI and Machine Learning Technologies | B2B Travel Platform | API Open Platform | Travel and Expense Automation Solution</t>
  </si>
  <si>
    <t>Egencia is part of the largest B2B travel company in the world, now backed by Amex GBT.</t>
  </si>
  <si>
    <t>About Egencia: the world's business travel platform. Our platform and services are consistently rated above 95% satisfaction by customers. We provide services to more than 2 million travellers in over 60 countries. Egencia proudly supports over 9,000 companies of all sizes around the world. Our platform can be optimised for all types of users, in companies big or small. We originated in the labs of global tech giants and are now a part of the most valuable B2B travel solution in the world. Our AI delivers custom user experiences that add value to your company's travel programme. We lead the industry with over 290 global airlines and 650,000 lodging partners. The unique combination of content from Amex GBT and Egencia provides unrivalled choice and value for air, hotel, car and rail. Our technology provides the smartest, quickest shopping experience to give the best routes and rates based on user preferences. Our AI and machine learning delivers the best experience and enhancements for savings, traveller well-being and sustainability.</t>
  </si>
  <si>
    <t>Business Travellers | Travel Manager | Corporate Travels | Last Minute Hotel Deals | Human Resources | Travel Experience | Transportation &amp; Logistics | Traveler Services | Travel Consultants | Travel Risk Management</t>
  </si>
  <si>
    <t>Software Developers (Pre-Packaged) | Software Developers (Custom) | Travel Agencies | Management Consultants | Technology Customer Support Services (For others)</t>
  </si>
  <si>
    <t>891801 | 891802 | 729801 | 641401 | 740809</t>
  </si>
  <si>
    <t>08-517 108 36</t>
  </si>
  <si>
    <t>gbtprivacy@amexgbt.com</t>
  </si>
  <si>
    <t>https://www.egencia.se/</t>
  </si>
  <si>
    <t>2020-04-28T10:23:48.000Z</t>
  </si>
  <si>
    <t>Egeneration Limited</t>
  </si>
  <si>
    <t>9ade0445-93e4-11eb-8ad6-7326edce8d21</t>
  </si>
  <si>
    <t>eGeneration PLC</t>
  </si>
  <si>
    <t>eGeneration Ltd.</t>
  </si>
  <si>
    <t>eGeneration</t>
  </si>
  <si>
    <t>Pragati Sharani</t>
  </si>
  <si>
    <t>BD, Bangladesh, Dhaka Division, Dhaka, 1212, Pragati Sarani, level 9, 23.8152557, 90.4213441</t>
  </si>
  <si>
    <t>eGeneration delivers system integration, cloud, cybersecurity, ERP, EHR, HIS, AI, and digital transformation solutions for enterprises.</t>
  </si>
  <si>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</si>
  <si>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</si>
  <si>
    <t>EGeneration PLC is the first IT consulting and software solutions company in Bangladesh listed in the Dhaka Stock Exchange and Chattogram Stock Exchangee
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â€“ Financial (Banks and NBF
Is), Manufacturing and Public sector â€“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</si>
  <si>
    <t>Digital Transformation | Natural Language Processing | Project Management | AI/Machine Learning | Artificial Intelligence | Advanced Analytics | Machine Learning | System Integration | Data Analytics | Software Development</t>
  </si>
  <si>
    <t>02-8419177</t>
  </si>
  <si>
    <t>+8801768415522 | +88028419177</t>
  </si>
  <si>
    <t>https://www.egeneration.co/</t>
  </si>
  <si>
    <t>https://www.facebook.com/egeneration.co</t>
  </si>
  <si>
    <t>https://www.checkmarx.com/</t>
  </si>
  <si>
    <t>https://www.linkedin.com/</t>
  </si>
  <si>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</si>
  <si>
    <t>2019-11-25T13:49:59.000Z</t>
  </si>
  <si>
    <t>ELGIGANTEN GROSSIST A/S</t>
  </si>
  <si>
    <t>6cc5eff0-93e4-11eb-8ad6-7326edce8d21</t>
  </si>
  <si>
    <t>Elgiganten</t>
  </si>
  <si>
    <t>Elgiganten A/S</t>
  </si>
  <si>
    <t>Elgiganten | Elgiganten DK | Elgigantens</t>
  </si>
  <si>
    <t>Hovedvejen</t>
  </si>
  <si>
    <t>DK, Denmark, Capital Region of Denmark, Copenhagen, 2300, Arne Jacobsens AllÃ©, 16, 55.631206, 12.576541 | DK, Denmark, Capital Region of Denmark, HÃ¸je-Taastrup Municipality, 2630, , , 55.64995033129052, 12.290226126449951 | DK, Denmark, Capital Region of Denmark, Copenhagen Municipality, 1100, Ã˜stergade, 47, 55.679195404052734, 12.581338882446289 | DK, Denmark, Region of Southern Denmark, Svendborg Municipality, 5700, MÃ¸lmarksvej, 191, 55.062435, 10.590087 | DK, Denmark, Region Zealand, NÃ¦stved, 4700, VestergÃ¥rdsvej,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Ã˜sterbrogade, 62, 55.69832229614258, 12.578839302062988 | DK, Denmark, Central Denmark Region, Aarhus, 8000, SÃ¸ndergade, 30, 56.15477752685547, 10.206809043884277 | DK, Denmark, Central Denmark Region, Aarhus, 8200, Karl KrÃ¸yers Vej, 25, 56.206735, 10.173197</t>
  </si>
  <si>
    <t>Stort udvalg af hvidevarer, computere, TV, mobiltelefoner, køkkener og meget mere til erhverv og kundeklub.</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</si>
  <si>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</si>
  <si>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kÃ¸kkener og meget mere til erhverv og kundeklub.</t>
  </si>
  <si>
    <t>Elgiganten is a consumer electronics retailer operating in Denmark (including Greenland) and Sweden, where its parent ElkjÃ¸p operates in Norway and have subsidiaries like Gigantti (Finland), Elko (Iceland) and Elding (Faroe Islands). There are Elgiganten A/S (Denmark) and Elgiganten AB (Sweden) both directly operated under ElkjÃ¸p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</si>
  <si>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</si>
  <si>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</si>
  <si>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</si>
  <si>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</si>
  <si>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Manufacture of consumer electronics</t>
  </si>
  <si>
    <t>571801 | 571401 | 509401 | 509101 | 571301</t>
  </si>
  <si>
    <t>70 80 70 70</t>
  </si>
  <si>
    <t>+4527050906 | +4527051407 | +4570807070 | +4527051606 | +4527050707</t>
  </si>
  <si>
    <t>hello@elgiganten.dk</t>
  </si>
  <si>
    <t>https://www.elgiganten.dk/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</si>
  <si>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</si>
  <si>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</si>
  <si>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</si>
  <si>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</si>
  <si>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</si>
  <si>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2019-11-24T00:45:45.000Z</t>
  </si>
  <si>
    <t>ELTEL NETWORKS CONNECT A/S</t>
  </si>
  <si>
    <t>f2d78814-93e4-11eb-8859-29e7c34dee35</t>
  </si>
  <si>
    <t>Eltel networks</t>
  </si>
  <si>
    <t>Eltel Networks Corporation | Eltel AB.</t>
  </si>
  <si>
    <t>Eltel Networks AS | Eltel Networks</t>
  </si>
  <si>
    <t>DK, Denmark, Capital Region of Denmark, Herlev, 2730, HÃ¸rkÃ¦r, 13, 55.719639, 12.438094 | DE, Germany, North Rhine-Westphalia, Recklinghausen, 45661, Wanner StraÃŸe, 30, 51.5620392, 7.1820856 | LT, Lithuania, Vilnius County, Vilnius, LT-03151, VilkpÄ—dÄ—s g., 4, 54.66451895, 25.247673598559814 | DE, Germany, Lower Saxony, Hanover, 30659, Rendsburger StraÃŸe, 16, 52.4210149, 9.8324762 | PL, Poland, Pomeranian Voivodeship, GdaÅ„sk, 80-864, , , 54.3620256326087, 18.648128917391304 | NO, Norway, Oslo, Oslo, 0614, , , 59.9287861, 10.8376972 | SE, Sweden, Stockholm County, Stockholm, 111 29, , , 59.351804288888886, 17.959547044444445</t>
  </si>
  <si>
    <t>Eltel er en førende nordisk leverandør af tjenester inden for el- og telekommunikationsnetværk.</t>
  </si>
  <si>
    <t>power networks; telecom infrastructure; engineering; construction; maintenance</t>
  </si>
  <si>
    <t>Herlev-based provider of power and telecom network services.</t>
  </si>
  <si>
    <t>Eltel Networks A/S, with binames including ELTEL NETWORKS CONNECT A/S, is a Danish company headquartered at Hørkær 3, 2730 Herlev. Established in 2000, it delivers engineering, construction and maintenance services for electricity grids and telecommunications networks, including fibre, mobile and fixed communication infrastructure, across Denmark.</t>
  </si>
  <si>
    <t>utility networks; power distribution; telecom infrastructure; field services; engineering</t>
  </si>
  <si>
    <t>238210</t>
  </si>
  <si>
    <t>Electrical Contractors and Other Wiring Installation Contractors</t>
  </si>
  <si>
    <t>Infrastructure Engineering &amp; Construction</t>
  </si>
  <si>
    <t>Construction and maintenance of power and telecom networks</t>
  </si>
  <si>
    <t>Construction / Utilities</t>
  </si>
  <si>
    <t>88 13 50 00</t>
  </si>
  <si>
    <t>+4798702530 | +4588135000 | +492361497920 | +48695170146 | +46858537600 | +35820411211 | +46709100903 | +37052131221</t>
  </si>
  <si>
    <t>alexandra.karnlund@eltelnetworks.com</t>
  </si>
  <si>
    <t>https://www.eltelnetworks.dk/</t>
  </si>
  <si>
    <t>https://facebook.com/Beelinerus</t>
  </si>
  <si>
    <t>https://twitter.com/Beeline_RUS</t>
  </si>
  <si>
    <t>https://www.linkedin.com/company/eltel-networks/mycompany/?viewAsMember=true</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</si>
  <si>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</si>
  <si>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</si>
  <si>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</si>
  <si>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Energy Cool ApS</t>
  </si>
  <si>
    <t>ab422f07-93e4-11eb-86dd-ffbd1b53140e</t>
  </si>
  <si>
    <t>Energy Cool</t>
  </si>
  <si>
    <t>Fredericia</t>
  </si>
  <si>
    <t>Prins Georgs Kvarter</t>
  </si>
  <si>
    <t>DK, Denmark, Region of Southern Denmark, Fredericia Municipality, 7000, Prins Georgs Kvarter, 13, 55.531324, 9.707464 | CA, Canada, Ontario, Toronto, M4M 3C6, Leslie Street, 149, 43.665130000000005, -79.33089824999999</t>
  </si>
  <si>
    <t>Danish company developing and supplying energy-efficient cooling and climate solutions for technical installations and data centres.</t>
  </si>
  <si>
    <t>cooling solutions; energy efficiency; HVAC; data centre cooling; climate control</t>
  </si>
  <si>
    <t>Fredericia-based provider of energy-efficient cooling systems.</t>
  </si>
  <si>
    <t>Energy Cool ApS is a Danish company headquartered at Prins Georgs Kvarter 13, 7000 Fredericia. Founded in the mid-2000s, the company develops, manufactures and supplies energy-efficient cooling and climate systems for technical installations, telecom sites, data centres and industrial applications, helping customers reduce energy consumption and environmental impact.</t>
  </si>
  <si>
    <t>cooling technology; HVAC; data centre cooling; telecom site cooling; energy optimisation</t>
  </si>
  <si>
    <t>423730</t>
  </si>
  <si>
    <t>Warm Air Heating and Air-Conditioning Equipment and Supplies Merchant Wholesalers</t>
  </si>
  <si>
    <t>Cooling &amp; HVAC Technology</t>
  </si>
  <si>
    <t>Energy-efficient cooling equipment and solutions</t>
  </si>
  <si>
    <t>Refrigeration and Heating Equipment</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</si>
  <si>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</si>
  <si>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Manufacture of machinery for food, beverage and tobacco processing (approx. cooling equipment)</t>
  </si>
  <si>
    <t>Manufacture of non-domestic cooling and ventilation equipment</t>
  </si>
  <si>
    <t>509301 | 171501 | 171502 | 171801 | 551302</t>
  </si>
  <si>
    <t>70 26 25 29</t>
  </si>
  <si>
    <t>+45 70 26 25 29</t>
  </si>
  <si>
    <t>info@energy-cool.com</t>
  </si>
  <si>
    <t>cl@energy-cool.com | mp@energy-cool.com | bp@energy-cool.com | nh@energy-cool.com | rt@energy-cool.com | dr@energy-cool.com | js@energy-cool.com | mk@energy-cool.com | henrik@energy-cool.com</t>
  </si>
  <si>
    <t>https://energy-cool.com/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</si>
  <si>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</si>
  <si>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</si>
  <si>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</si>
  <si>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</si>
  <si>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ENETEK POWER SPOLKA Z OGRANICZONA ODPOWIEDZIALNOSCIA</t>
  </si>
  <si>
    <t>13aeaab0-93e5-11eb-8474-3bbe2d07207d</t>
  </si>
  <si>
    <t>Enerp sp. z o.o.</t>
  </si>
  <si>
    <t>Enetek Power Group Pte Ltd.</t>
  </si>
  <si>
    <t>ENETEK POWER | Enetek Power ME | Enetek Power Middle East and Africa | Enetek Power Middle East</t>
  </si>
  <si>
    <t>PL</t>
  </si>
  <si>
    <t>Poland</t>
  </si>
  <si>
    <t>Województwo mazowieckie</t>
  </si>
  <si>
    <t>Warszawa</t>
  </si>
  <si>
    <t>03-289</t>
  </si>
  <si>
    <t>Ostródzka</t>
  </si>
  <si>
    <t>AE, United Arab Emirates, Dubai, Dubai, , Al Asayel Street, , 24.9713858, 55.130648300000004</t>
  </si>
  <si>
    <t>Enerp to firma zakładająca panele fotowoltaiczne. Jeśli interesuje Cię montaż fotowoltaiki zapraszamy do kontaktu! Zacznij oszczędzać z fotowoltaiką!</t>
  </si>
  <si>
    <t>Power Conversion Specialist | Telecom Cell Site Power Solutions | Manufacturing | Energy Infrastructure Solutions | Energy and Equipment Solutions | Uninterrupted Power Backup | Design, Installation, Commissioning, and Maintenance | Smart Tower System | Gas Turbine Generator Sets Manufacturer | After-sales Service | Power Building Blocks | Tailor-made Solutions for Energy Service Companies</t>
  </si>
  <si>
    <t>Our Engineering knowledge and experience working with most famous branded DC power and Hybrid companies during our team history based on different products and projects since 2002 in Middle East and Africa helps us to design and produce professional and sustainable solutions matching our regional environment and business culture.</t>
  </si>
  <si>
    <t>We are Enetek Power Middle East supplying Enetek products, solutions, and high-end expertise to our customers in our region. Our Engineering knowledge and experience working with most famous branded DC power and Hybrid companies during our team history based on different products and projects since 2002 in Middle East helps us to design and produce professional and sustainable solutions matching our regional environment and business culture. Our concentration on partnership has enhanced mutual power to serve Telecom operators in professional way for suppling state of art quality products and services. This enables the management team of Enetek Power to focus on delivering the goals. Industry knowledge and human interaction is key to achieve success. Enetek is a spin-off from different companies in the power conversion industry. We move fast and adapt our solutions quickly to industry trends, providing our customers with the best possible solutions. We embrace innovation, transform technology and deliver a high degree of reliability and environmental sustainability.</t>
  </si>
  <si>
    <t>Dc Power Systems | Alternate Energy | Development &amp; Design | Fiber Networks | Backup Power Solutions | Environmental Management | Power Utilities | Oil &amp; Gas Industries | Network Management Systems | Power System</t>
  </si>
  <si>
    <t>Wholesale - Hardware / Plumbing Supplies / Electrical Supplies | Electrical Products Manufacturing - Not Otherwise Classified | Circuit Board / Electrical Component / Semi-Conductor Manufacturing | Electronic Equipment Manufacturing (No Computers / Circuit Boards) | Electrical Wiring and Cable Manufacturing</t>
  </si>
  <si>
    <t>509201 | 357001 | 349501 | 349101 | 349502</t>
  </si>
  <si>
    <t>570 617 505</t>
  </si>
  <si>
    <t>info@enetek-power-me.com</t>
  </si>
  <si>
    <t>biuro@enerp.pl</t>
  </si>
  <si>
    <t>https://enerp.pl/</t>
  </si>
  <si>
    <t>https://www.facebook.com/EnerpFotowoltaika/</t>
  </si>
  <si>
    <t>https://www.instagram.com/enerp.pl/</t>
  </si>
  <si>
    <t>https://www.linkedin.com/company/enerppl/</t>
  </si>
  <si>
    <t>https://www.youtube.com/@enerp6882</t>
  </si>
  <si>
    <t>web servers: ibm websphere application server | web servers: litespeed | javascript libraries: core-js | miscellaneous: rss | web servers: empathy platform | performance: priority hints | ecommerce: woocommerce | javascript libraries: swiper | miscellaneous: webpack | wordpress plugins: elementor | javascript frameworks: jquery blockui | font scripts: google font api | security: hsts | miscellaneous: http/3 | databases: mysql | miscellaneous: module federation | issue trackers: really simple discovery | cms: site.com | network devices: html | miscellaneous: jquery easing | font scripts: font awesome | javascript libraries: jquery ui | web servers: schannel | wordpress plugins: woocommerce | cms: wordpress | blogs: wordpress | tag managers: google tag manager | javascript libraries: jquery | wordpress plugins: smart slider 3 | form builders: contact form 7 | programming languages: php | wordpress themes: hello elementor | javascript libraries: jquery migrate | page builders: elementor | wordpress plugins: contact form 7 | analytics: google analytics | programming languages: java</t>
  </si>
  <si>
    <t>2020-12-07T16:24:14.000Z</t>
  </si>
  <si>
    <t>ENERGI HOBRO TELE A/S</t>
  </si>
  <si>
    <t>048d6286-247d-11ed-94bd-fb4903e54c24</t>
  </si>
  <si>
    <t>Elteknik A/S</t>
  </si>
  <si>
    <t>EnergiMidt Handel A/S</t>
  </si>
  <si>
    <t>Energimidt | EnergiMidt Handel</t>
  </si>
  <si>
    <t>Hobro</t>
  </si>
  <si>
    <t>Rugmarksvej</t>
  </si>
  <si>
    <t>DK, Denmark, Central Denmark Region, Silkeborg, 8600, Tietgensvej, 4, 56.200371, 9.575205</t>
  </si>
  <si>
    <t>Hos HERA A/S har vi fokus på projektstyring med speciale i procesindustrien ✅ Vi løser store og små opgaver | Faglige kompetencer i TOP!</t>
  </si>
  <si>
    <t>fibre broadband; telecommunications; internet service provider; regional telco; wholesale network</t>
  </si>
  <si>
    <t>Silkeborg-based telecom company providing fibre broadband and communication services.</t>
  </si>
  <si>
    <t>Energi Hobro Tele A/S is used as a biname under Sinal A/S, a Danish telecommunications company headquartered at Tietgensvej 4, 8600 Silkeborg. Established in 2014, Sinal A/S operates fibre-based broadband and related communication services across several regions in Denmark through brands such as Energi Hobro Tele, Energi Randers Tele and others.</t>
  </si>
  <si>
    <t>telecom operator; fibre network; broadband; regional telecommunications; ISP</t>
  </si>
  <si>
    <t>Telecommunications – Fixed Broadband</t>
  </si>
  <si>
    <t>Provision of wired and fibre-based telecom services</t>
  </si>
  <si>
    <t>Information &amp; Communication</t>
  </si>
  <si>
    <t>96 40 82 00</t>
  </si>
  <si>
    <t>kontor@hera.dk</t>
  </si>
  <si>
    <t>https://hera.dk/?utm_source=googlebusinessprofile&amp;utm_medium=organic</t>
  </si>
  <si>
    <t>http://www.facebook.com/460185497327305_1815653362602081</t>
  </si>
  <si>
    <t>https://twitter.com/energimidt</t>
  </si>
  <si>
    <t>2022-03-05T01:46:02.000Z</t>
  </si>
  <si>
    <t>Enreach Campaigns A/S</t>
  </si>
  <si>
    <t>378ef9cd-dfcd-11ed-9724-3d5242e4c304</t>
  </si>
  <si>
    <t>Outbound by Enreach A/S</t>
  </si>
  <si>
    <t>Enreach DK</t>
  </si>
  <si>
    <t>Hvidovre</t>
  </si>
  <si>
    <t>Stamholmen</t>
  </si>
  <si>
    <t>DK, Denmark, Capital Region of Denmark, Copenhagen, 2300, Raffinaderivej, 10, 55.672100300000004, 12.6210178</t>
  </si>
  <si>
    <t>Uncover 'Outbound Calling Solutions for Businesses', a powerful tool in the CCaaS arsenal. Discover how 'Outbound Calling' can turbocharge your sales strategy, streamline operations and drive business growth. Get up-to-date with the future of sales communication today!</t>
  </si>
  <si>
    <t>Employee Mobility | Total Solution for Corporate Communication | Telecommunications Reseller | High Level of Service | Mobile Telephony Solutions | Constant Data Access | Internet Solutions</t>
  </si>
  <si>
    <t>M Mobility leverer en fleksibel totallÃ¸sning indenfor virksomheders kommunikation, herunder tele og internet-lÃ¸sninger til konkurrencedygtige priser, tilfÃ¸rt et hÃ¸jt service niveau og innovative telelÃ¸sninger.</t>
  </si>
  <si>
    <t>M Mobility leverer en fleksibel totallÃ¸sning indenfor virksomheders kommunikation, herunder tele og internet-lÃ¸sninger til konkurrencedygtige priser, tilfÃ¸rt et hÃ¸jt service niveau og innovative telelÃ¸sninger. Dette med fokus pÃ¥ medarbejderes mobilitet og behov for konstant adgang til data. Ã‰n aftale for alle virksomhedens tele- og kommunikationslÃ¸sninger, Ã©n faktura, der dÃ¦kker det hele, Ã©n fast kontaktperson og Ã©t flatratefee pr. mÃ¥ned, sÃ¥ virksomheden kender de prÃ¦cise omkostninger.</t>
  </si>
  <si>
    <t>Marketing Automation | Computer Software | Marketing And Advertising | B2bâ€™s | Enterprise Software Solution | Saas | Telecommunications Services | Information Technology Services</t>
  </si>
  <si>
    <t>70 20 23 04</t>
  </si>
  <si>
    <t>info@enreach.com</t>
  </si>
  <si>
    <t>https://www.enreach.com/en/products/outbound</t>
  </si>
  <si>
    <t>https://twitter.com/enreach_group</t>
  </si>
  <si>
    <t>https://www.linkedin.com/company/enreachgroup/?originalSubdomain=nl</t>
  </si>
  <si>
    <t>https://www.youtube.com/channel/UCMxfdFXXedBJeYt11CNCdAA</t>
  </si>
  <si>
    <t>2023-02-05T00:41:40.619Z</t>
  </si>
  <si>
    <t>Ericsson (Malaysia) Sdn. Bhd.</t>
  </si>
  <si>
    <t>06b6a8c3-93e5-11eb-b5f6-816dd10ac7b0</t>
  </si>
  <si>
    <t>Ericsson Malaysia Sdn. Bhd.</t>
  </si>
  <si>
    <t>Ericsson Telephone Manufacturing Company | Fully Automation Company | Ericsson Co.</t>
  </si>
  <si>
    <t>Ericsson | Telefonaktiebolaget LM Ericsson | L. M. Ericsson | Telefonaktiebolaget LM Ericsson publ Stockholm</t>
  </si>
  <si>
    <t>Persiaran Lagoon</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</si>
  <si>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NÄdu,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StraÃŸe, 1, 48.17316818237305, 11.52773666381836 | DE, Germany, Bavaria, Rosenheim, 83026, , , 47.83777869716273, 12.107973613179572</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</si>
  <si>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</si>
  <si>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</si>
  <si>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</si>
  <si>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</si>
  <si>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</si>
  <si>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Data Processing Centres / Server Farms | Communication Equipment Installation - Commercial | Communication Equipment Installation - Residential | Construction - Electric / Telephone / Power Lines (Above Ground) | Underground Cable / Conduit Installation</t>
  </si>
  <si>
    <t>740701 | 153402 | 153401 | 173201 | 173301</t>
  </si>
  <si>
    <t>03-5021 6200</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</si>
  <si>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</si>
  <si>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</si>
  <si>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</si>
  <si>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</si>
  <si>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http://www.ericsson.com/my</t>
  </si>
  <si>
    <t>https://www.facebook.com/ericsson/</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</si>
  <si>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</si>
  <si>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</si>
  <si>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</si>
  <si>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</si>
  <si>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</si>
  <si>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2019-11-24T11:00:36.000Z</t>
  </si>
  <si>
    <t>Ericsson (Thailand) Limited</t>
  </si>
  <si>
    <t>d2916f52-250a-11ec-8093-db09f614eb78</t>
  </si>
  <si>
    <t>Ericsson (Thailand) Ltd.</t>
  </si>
  <si>
    <t>Ericsson Thailand Ltd.</t>
  </si>
  <si>
    <t>TH, Thailand, Bangkok, Chatuchak, 10900, Vibhavadi Rangsit Road, 199, 13.807627900000002, 100.55873369999999</t>
  </si>
  <si>
    <t>Ericsson (Thailand) Ltd. is a telecommunications service provider based in Bangkok, Thailand.</t>
  </si>
  <si>
    <t>Telecommunications Services | Wired Telecommunications Carriers</t>
  </si>
  <si>
    <t>Ericsson Thailand Ltd. is a telecommunications company based in Chatuchak, Thailand.</t>
  </si>
  <si>
    <t>02 821 7000</t>
  </si>
  <si>
    <t>https://www.ericsson.com/en/about-us/company-facts/ericsson-worldwide/thailand</t>
  </si>
  <si>
    <t>2021-10-01T20:48:47.000Z</t>
  </si>
  <si>
    <t>ERICSSON AB</t>
  </si>
  <si>
    <t>334cae31-0bcc-11ec-a040-cbff7458f722</t>
  </si>
  <si>
    <t>Ericsson HQ</t>
  </si>
  <si>
    <t>Ericsson AB.</t>
  </si>
  <si>
    <t>Ericsson VÃ¤st SeniorfÃ¶rening | EricssonVÃ¤stSen</t>
  </si>
  <si>
    <t>164 40</t>
  </si>
  <si>
    <t>Torshamnsgatan</t>
  </si>
  <si>
    <t>SE, Sweden, , , , , , 59.6749712, 14.5208584</t>
  </si>
  <si>
    <t>Swedish multinational networking and telecommunications company providing mobile networks, cloud and digital services to communication service providers worldwide.</t>
  </si>
  <si>
    <t>telecom equipment; 5G; mobile networks; cloud core; OSS/BSS; managed services</t>
  </si>
  <si>
    <t>Stockholm-based global telecom equipment and services provider.</t>
  </si>
  <si>
    <t>Ericsson AB is a Swedish multinational networking and telecommunications company headquartered in Stockholm. Founded in 1876, Ericsson develops and supplies mobile network infrastructure, 5G solutions, cloud core and digital services, OSS/BSS systems and managed services to communication service providers and enterprises around the world.</t>
  </si>
  <si>
    <t>telecommunications equipment; 5G networks; RAN; core network; digital services; managed services</t>
  </si>
  <si>
    <t>517919</t>
  </si>
  <si>
    <t>Telecommunications Equipment &amp; Services</t>
  </si>
  <si>
    <t>Telecom network equipment and services</t>
  </si>
  <si>
    <t>Community / Civic / Special Interest Groups (Non-Medical) | Social / Counselling / Consulting Services | Professional Associations | Business Improvement Associations / Chambers of Commerce | Fundraising Organizations (Charitable / Religious)</t>
  </si>
  <si>
    <t>864401 | 808501 | 862001 | 862002 | 867301</t>
  </si>
  <si>
    <t>010-719 00 00</t>
  </si>
  <si>
    <t>+46 10 719 00 00</t>
  </si>
  <si>
    <t>ericsson.vast.seniorforening@gmail.com</t>
  </si>
  <si>
    <t>http://www.ericsson.com/</t>
  </si>
  <si>
    <t>2021-09-02T07:23:15.000Z</t>
  </si>
  <si>
    <t>ERICSSON AS</t>
  </si>
  <si>
    <t>ff083300-a7b5-11ed-bec3-afeedabcf530</t>
  </si>
  <si>
    <t>Ericsson AS</t>
  </si>
  <si>
    <t>Fornebu</t>
  </si>
  <si>
    <t>Snarøyveien</t>
  </si>
  <si>
    <t>30C</t>
  </si>
  <si>
    <t>NO, Norway, , Oslo, 0179, Grubbegata, 14, 59.916385650634766, 10.747699737548828</t>
  </si>
  <si>
    <t>Norwegian subsidiary of Ericsson providing telecom network equipment, services and solutions to communication service providers.</t>
  </si>
  <si>
    <t>telecom equipment; network services; 5G; mobile infrastructure; managed services</t>
  </si>
  <si>
    <t>Norwegian Ericsson subsidiary focused on telecom networks and services.</t>
  </si>
  <si>
    <t>Ericsson AS is the Norwegian subsidiary of Ericsson AB, supplying mobile network equipment, 5G solutions and related services to telecom operators and enterprises in Norway. The company supports deployment and maintenance of radio access, transmission and core network infrastructure.</t>
  </si>
  <si>
    <t>telecom infrastructure; 5G; mobile networks; managed services; network rollout</t>
  </si>
  <si>
    <t>https://epignosis.no/</t>
  </si>
  <si>
    <t>2023-02-05T21:43:59.000Z</t>
  </si>
  <si>
    <t>ERICSSON DANMARK A/S</t>
  </si>
  <si>
    <t>fc16bb84-726e-11ec-b6f0-47a47d649a3b</t>
  </si>
  <si>
    <t>Ericsson</t>
  </si>
  <si>
    <t>Sony Ericsson</t>
  </si>
  <si>
    <t>Rubber Boots | Home Office Solutions | Mobile Plans | Laptop Rentals | Home Office Organization and Focus Techniques | Banking and Insurance Services for Housing | Big Data in The Restaurant Industry | Fresh Fruit Boxes and Baskets | Insurance and Pension Funds | Google Ads Performance Max Campaigns | Business Mobile Subscriptions | Video Journalism Technical Skills | Retirement Planning</t>
  </si>
  <si>
    <t>PÃ¥ grundlag af en solid og ansvarlig Ã¸konomistyring kan Pensam tilbyde attraktive produkter inden for pension, bolig, forsikring og bank til deres medlemmer.</t>
  </si>
  <si>
    <t>VÃ¦lg det Rigtige Mobilabonnement til Dine Behov ForstÃ¥ Grundlaget for Mobilabonnementer At vÃ¦lge det rigtige mobilabonnement kan virke som en uoverskuelig opgave med de mange tilbud, der florerer pÃ¥ markedet. I dagens Danmark er et pÃ¥lideligt mobilabonnement ikke blot en luksus, men en nÃ¸dvendighed. Vi jonglerer med arbejde, familie, fritidsaktiviteter og sociale forpligtelser, og det kan vÃ¦re svÃ¦rt at finde tid til at slappe af og genoplade batterierne. Optimer din annonceeffektivitet med Google Ads Performance Max-kampagner 11. oktober 2023 Ingen kommentarer. Disse elementer varierer i mÃ¦ngde og pris, og . Gennem Ã¥rene har gummistÃ¸vlerne undergÃ¥et adskillige forbedringer og tilpasninger, der har . Fra at forstÃ¥ dit forbrugsmÃ¸nster til . Bananchips kan vÃ¦re en lÃ¦kker snack, som du kan nyde, mens du gÃ¸r noget aktivt for . Firma Frugt og FirmaFrugt med Ã˜kologisk Frugt i FrugtKurve og FrugtKasser â€“ Ã˜kologisk Frugtordning erhverv kan fungere sÃ¥vel . At skabe en sÃ¥dan kultur krÃ¦ver ikke nÃ¸dvendigvis store Ã¦ndringer, men snarere smÃ¥, konsekvente gestus og praksisser, der demonstrerer omsorg og vÃ¦rdsÃ¦ttelse.</t>
  </si>
  <si>
    <t>Big Data | Organic Fruit | Yummy Snacks</t>
  </si>
  <si>
    <t>Chemicals</t>
  </si>
  <si>
    <t>RT-CH</t>
  </si>
  <si>
    <t>RT.2</t>
  </si>
  <si>
    <t>Insurance Agents / Brokers / Adjusters | Inspection Services - Not Otherwise Classified | Home Inspection Services | Insurance Inspection Services | Insurance Companies</t>
  </si>
  <si>
    <t>641201 | 891702 | 891202 | 891701 | 631001</t>
  </si>
  <si>
    <t>33 88 33 88</t>
  </si>
  <si>
    <t>http://www.ericsson.com/thecompany/company_facts/worldwide/eu/dk</t>
  </si>
  <si>
    <t>miscellaneous: rss | web servers: empathy platform | performance: priority hints | javascript libraries: slick | seo: yoast seo | widgets: css | miscellaneous: http/3 | databases: mysql | issue trackers: really simple discovery | miscellaneous: open graph | network devices: html | miscellaneous: jquery easing | web servers: schannel | network devices: html5 | cms: wordpress | blogs: wordpress | javascript libraries: jquery | widgets: javascript | form builders: contact form 7 | font scripts: twitter emoji (twemoji) | cdn: cloudflare | wordpress plugins: yoast seo | programming languages: php | javascript libraries: jquery migrate | hosting panels: plesk | wordpress plugins: contact form 7</t>
  </si>
  <si>
    <t>2022-01-09T00:07:56.000Z</t>
  </si>
  <si>
    <t>ERNST &amp; YOUNG LLP</t>
  </si>
  <si>
    <t>78556121-93e4-11eb-91fb-73d498260b10</t>
  </si>
  <si>
    <t>Ernst &amp; Young Singapore</t>
  </si>
  <si>
    <t>Ernst Group Holdings Limited. | Ernst Asia Limited | Ernst Asia Pacific Pte. Ltd. | Ernst Management Limited</t>
  </si>
  <si>
    <t>ERNST GROUP</t>
  </si>
  <si>
    <t>Raffles Quay</t>
  </si>
  <si>
    <t>HK, Hong Kong, Hong Kong, Kowloon, 999077, Castle Peak Road, 499, 22.337249149999998, 114.14573809125403 | SG, Singapore, Southwest, , , , , 1.3273734, 103.74760984090034 | CN, China, Guangdong Province, Shenzhen, , , , 22.5506391, 114.1261389</t>
  </si>
  <si>
    <t>EY provides consulting, assurance, tax and transaction services that help solve our client’s toughest challenges and build a better working world for all.</t>
  </si>
  <si>
    <t>Commercial Product Marketing | Happy Spa | Chinese Market Solutions | Market Resources | Pro-aqua Room Cleaning System | Final Shipment of Goods | Industrial Inspections | Procurement Services | Communication Arrangement | Comprehensive Market Research Solutions | Production and Quality Control | ET Steamer | Joint Venture Partnership Management | Marketing Structure | New Touch System</t>
  </si>
  <si>
    <t>Ernst Group Hong Kong Holdings Limited was established in Hong Kong in 1993 and offers its clients comprehensive market solutions in China. Whether you wish to sell your manufactured goods on the Asian market or find a factory to manufacture your products for you for sale elsewhere, the Ernst Group will give you practical advice, help and support. Joint venture partnerships can also be arranged.</t>
  </si>
  <si>
    <t>Ernst Group Hong Kong Holdings Limited was founded in Hong Kong in 1993. The Ernst Group offers a range of solutions for your market success. Throughout its development, the company has established subsidiaries for its individual business sectors. Ernst Consultancy Limited, established in 1999, handles consultancy, marketing, sales and market launches in China. Together with Pro-Aqua International GmbH (Germany), we established Pro-Aqua Asia Limited in 2006. The purpose of this partnership venture is the introduction of the Pro-Aqua Room Cleaning System to the Asian market. We wanted to place a new '100% Made in Germany' quality product on the Asian market which far exceeded our competitors' products. Ernst Technologies Limited, established in 2014, is responsible for the direct marketing structure of our commercial goods that we produce in collaboration with our manufacturers and resell directly to our customers via our sales team. Ernst Import &amp; Export Trading (Shenzhen) Company Limited, established in 2007, mainly looks after production quality control, collection of market resources, procurement, and marketing and sales in China.</t>
  </si>
  <si>
    <t>Construction Materials</t>
  </si>
  <si>
    <t>EM-CM</t>
  </si>
  <si>
    <t>EM.2</t>
  </si>
  <si>
    <t>Extractives &amp; Minerals Processing</t>
  </si>
  <si>
    <t>EM</t>
  </si>
  <si>
    <t>Building Owner - Multiple Occupancy - Mixed-Use Commercial | Water Softening or Treatment Equipment Sales / Installation / Service (No Water Treatment Facilities) | Wholesale - Hardware / Plumbing Supplies / Electrical Supplies | Burlap / Canvas / Awnings / Tents / Sails Manufacturing | Tool and Die Manufacturing</t>
  </si>
  <si>
    <t>399101 | 172001 | 509201 | 235201 | 359006</t>
  </si>
  <si>
    <t>6535 7777</t>
  </si>
  <si>
    <t>+6568996900 | +8675582300323 | +8675582300232 | +85231885877 | +6568996712 | +85231881233</t>
  </si>
  <si>
    <t>https://www.ey.com/en_sg</t>
  </si>
  <si>
    <t>http://www.facebook.com/pages/Ernst-Young/195665063800329</t>
  </si>
  <si>
    <t>https://www.linkedin.com/company/1073</t>
  </si>
  <si>
    <t>http://www.youtube.com/ernstandyoungglobal</t>
  </si>
  <si>
    <t>javascript libraries: lodash | javascript libraries: core-js | javascript libraries: lit-html | wordpress themes: astra | miscellaneous: rss | maps: google maps | web servers: empathy platform | ecommerce: woocommerce | wordpress plugins: elementor | seo: yoast seo | javascript frameworks: jquery blockui | widgets: css | miscellaneous: twitter emoji (twemoji) | photo galleries: slider revolution | maps: wp google map plugin | javascript frameworks: jquery mousewheel | font scripts: google font api | analytics: monsterinsights | reverse proxies: nginx | blogging platforms: wordpress | video players: youtube | analytics: site kit | javascript libraries: modernizr | databases: mysql | issue trackers: really simple discovery | wordpress plugins: elementor header &amp; footer builder | advertising: doubleclick floodlight | widgets: miniorange login | miscellaneous: touchswipe | cms: site.com | cdn: google hosted libraries | miscellaneous: open graph | miscellaneous: revslider | seo: yoast seo premium | seo tool: yoast seo | network devices: html | miscellaneous: jquery easing | font scripts: font awesome | javascript libraries: jquery ui | paas: cloudways | javascript frameworks: jquery migrate | javascript frameworks: modernizr | translation: wpml | seo tool: facebook friendly | javascript frameworks: webfont loader | network devices: html5 | web servers: apache http server | miscellaneous: facebook | wordpress plugins: woocommerce | cms: wordpress | blogs: wordpress | javascript frameworks: jquery ui | ecommerce: cart functionality | tag managers: google tag manager | analytics: google campaign manager 360 | wordpress plugins: site kit | form builders: wpforms | javascript libraries: isotope | javascript libraries: jquery | wordpress plugins: miniorange login | wordpress plugins: wpml | widgets: slider revolution | widgets: javascript | analytics: facebook pixel | wordpress plugins: wpforms | form builders: contact form 7 | font scripts: twitter emoji (twemoji) | wordpress plugins: wp google map plugin | seo tool: twitter friendly | javascript libraries: lit-element | wordpress plugins: monsterinsights | web servers: nginx | cdn: cloudflare | wordpress plugins: yoast seo | programming languages: php | javascript libraries: jquery migrate | web frameworks: html5 | page builders: elementor | wordpress plugins: contact form 7 | javascript frameworks: jquery | analytics: google analytics</t>
  </si>
  <si>
    <t>2019-11-24T00:25:09.000Z</t>
  </si>
  <si>
    <t>EY Godkendt Revisionspartnerselskab</t>
  </si>
  <si>
    <t>032b0e60-d905-11ec-abe7-ff3ce871cab3</t>
  </si>
  <si>
    <t>EY</t>
  </si>
  <si>
    <t>Bech &amp; Barkholt</t>
  </si>
  <si>
    <t>Dirch Passers Allé</t>
  </si>
  <si>
    <t>DK, Denmark, Capital Region of Denmark, Frederiksberg Municipality, 2000, StÃ¦gers AllÃ©, 3 st. th, 55.6772039, 12.509981</t>
  </si>
  <si>
    <t>Medical and Clinic Services | Health Cards | Sample Responses | Telephone Consultations with Doctors | Tests and Answering | Mental Health Services | Prescription Renewal | Healthcare Services | COVID-19 Vaccination 2023</t>
  </si>
  <si>
    <t>Konsultation Konsultation kun efter aftale. Alle konsultationer foregÃ¥r hos lÃ¦gerne. Vores sekretÃ¦r Johanne foretager...</t>
  </si>
  <si>
    <t>Telefonkonsultation hos lÃ¦gerne : Alle hverdage mellem kl 8.00-9.00. LÃ¦gerne sidder ved telefonen hver dag mellem kl 8.00 og 9.00, hvor der. LÃ¦gerne Bech og Barkholt StÃ¦gers Alle 3 st. th.</t>
  </si>
  <si>
    <t>Clinics - Surgeons &amp; Physicians</t>
  </si>
  <si>
    <t>8031 | 8011</t>
  </si>
  <si>
    <t>Offices and Clinics of Doctors of Osteopathy (except mental health specialists) | Offices and Clinics of Doctors of Medicine (except mental health specialists, HMO medical centers, and ambulatory surgical and emergency centers)</t>
  </si>
  <si>
    <t>Medical and dental practice activities</t>
  </si>
  <si>
    <t>86.22 | 86.23 | 86.21</t>
  </si>
  <si>
    <t>Specialist medical practice activities | Dental practice activities | General medical practice activities</t>
  </si>
  <si>
    <t>73 23 30 00</t>
  </si>
  <si>
    <t>+4535394004 | +4533246688 | +4533246005 | +4530948858 | +4533241144</t>
  </si>
  <si>
    <t>http://ey.com/da_dk</t>
  </si>
  <si>
    <t>javascript libraries: lodash | web servers: empathy platform | javascript frameworks: angularjs | widgets: css | javascript libraries: lazysizes | font scripts: google font api | security: hsts | reverse proxies: nginx | javascript libraries: modernizr | javascript libraries: select2 | cdn: owl carousel | miscellaneous: open graph | network devices: html | miscellaneous: jquery easing | network devices: html5 | javascript libraries: fancybox | javascript libraries: jquery | widgets: javascript | javascript libraries: jquery.scrollto | web servers: nginx | programming languages: php | performance: lazysizes</t>
  </si>
  <si>
    <t>2022-05-16T23:25:43.000Z</t>
  </si>
  <si>
    <t>ERP DENMARK ApS</t>
  </si>
  <si>
    <t>33a00afc-f81d-11ed-8ed0-97e170af3960</t>
  </si>
  <si>
    <t>Erp Denmark ApS</t>
  </si>
  <si>
    <t>Batteriindsamling ERP Denmark ApS.</t>
  </si>
  <si>
    <t>Nyborg</t>
  </si>
  <si>
    <t>Lindholm Havnevej</t>
  </si>
  <si>
    <t>DK, Denmark, Region of Southern Denmark, Nyborg, 5800, Falstervej, 7, 55.31368689999999, 10.754163 | DK, Denmark, Region of Southern Denmark, Nyborg, 5800, Lindholm Havnevej, 31, 55.2970998, 10.816809199999998</t>
  </si>
  <si>
    <t>Danish compliance scheme operator managing producer responsibility for WEEE and batteries as part of the European Recycling Platform (ERP).</t>
  </si>
  <si>
    <t>producer responsibility; WEEE; batteries; recycling compliance; take-back schemes</t>
  </si>
  <si>
    <t>Nyborg-based compliance scheme for WEEE and battery producer responsibility.</t>
  </si>
  <si>
    <t>ERP Denmark ApS is a Danish collective compliance scheme headquartered at Lindholm Havnevej 31, 5800 Nyborg. As part of the European Recycling Platform (ERP) and Landbell Group, it manages producer responsibility obligations for waste electrical and electronic equipment (WEEE) and batteries on behalf of manufacturers and importers in Denmark.</t>
  </si>
  <si>
    <t>environmental compliance; producer responsibility; WEEE; batteries; recycling</t>
  </si>
  <si>
    <t>562920</t>
  </si>
  <si>
    <t>Materials Recovery Facilities</t>
  </si>
  <si>
    <t>Environmental Compliance &amp; Recycling</t>
  </si>
  <si>
    <t>Producer responsibility organisation for WEEE and batteries</t>
  </si>
  <si>
    <t>Administrative and Support Services / Environmental Services</t>
  </si>
  <si>
    <t>Refuse Systems</t>
  </si>
  <si>
    <t>Collection of non-hazardous waste</t>
  </si>
  <si>
    <t>63 33 00 28</t>
  </si>
  <si>
    <t>+45 63 33 00 28</t>
  </si>
  <si>
    <t>denmark@erp-recycling.org</t>
  </si>
  <si>
    <t>https://erp-recycling.org/en-dk/</t>
  </si>
  <si>
    <t>https://www.facebook.com/Batteriindsamling/</t>
  </si>
  <si>
    <t>2021-10-01T23:34:23.000Z</t>
  </si>
  <si>
    <t>Estel Technologies Private Limited</t>
  </si>
  <si>
    <t>e87217f9-93e4-11eb-8ad6-7326edce8d21</t>
  </si>
  <si>
    <t>Estel Technologies Pvt. Ltd.</t>
  </si>
  <si>
    <t>Estel Technologies | EstelTelecom</t>
  </si>
  <si>
    <t>Institutional Area</t>
  </si>
  <si>
    <t>IN, India, Haryana, Gurugram, 122001, Service Road, , 28.492867, 77.0910235</t>
  </si>
  <si>
    <t>Indian technology company providing mobile financial services and mobile payments platforms for telecom operators and financial institutions.</t>
  </si>
  <si>
    <t>mobile payments; mobile financial services; fintech platform; telecom VAS; digital wallets</t>
  </si>
  <si>
    <t>Gurugram-based provider of mobile payments and mobile financial services platforms.</t>
  </si>
  <si>
    <t>Estel Technologies Private Limited is an Indian technology company based in Gurugram, Haryana. Founded in 1997, and now a division of Pelatro Limited, Estel provides mobile financial services and mobile payments platforms to telecom operators, banks and payment service providers, enabling digital wallets, mobile money and value-added services.</t>
  </si>
  <si>
    <t>fintech; mobile money; mobile payments; digital wallets; telecom value-added services</t>
  </si>
  <si>
    <t>522320</t>
  </si>
  <si>
    <t>Financial Transactions Processing, Reserve, and Clearinghouse Activities</t>
  </si>
  <si>
    <t>Fintech &amp; Mobile Payments Software</t>
  </si>
  <si>
    <t>Mobile financial services and payments platforms</t>
  </si>
  <si>
    <t>Information &amp; Communication Technology / Financial Services</t>
  </si>
  <si>
    <t>0124 257 8200</t>
  </si>
  <si>
    <t>+91 124 257 8200</t>
  </si>
  <si>
    <t>info@esteltelecom.com</t>
  </si>
  <si>
    <t>https://atlanta.co.in/</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</si>
  <si>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</si>
  <si>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</si>
  <si>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</si>
  <si>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</si>
  <si>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</si>
  <si>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</si>
  <si>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2019-11-23T23:30:31.000Z</t>
  </si>
  <si>
    <t>EUTELSAT S.A.</t>
  </si>
  <si>
    <t>45dbaaf8-93e5-11eb-8e19-198fb02d6f96</t>
  </si>
  <si>
    <t>Eutelsat S.A.</t>
  </si>
  <si>
    <t>Eutelsat IGO | European Telecommunications Satellite Organization</t>
  </si>
  <si>
    <t>Issy-les-Moulineaux</t>
  </si>
  <si>
    <t>Boulevard Gallieni</t>
  </si>
  <si>
    <t>FR, France, Ile-de-France, Paris, 75015, Avenue du Maine, 33, 48.8440574, 2.3202154</t>
  </si>
  <si>
    <t>French-based satellite provider</t>
  </si>
  <si>
    <t>satellite communications; broadcasting; broadband; data connectivity; government communications</t>
  </si>
  <si>
    <t>Issy-les-Moulineaux-based global satellite communications operator.</t>
  </si>
  <si>
    <t>34 GEO satellites and Eutelsat’s OneWeb LEO constellation of +600 satellites deliver resilient, secure connectivity across land, sea and air.</t>
  </si>
  <si>
    <t>satellite capacity; video broadcast; broadband connectivity; mobility services; government and enterprise networks</t>
  </si>
  <si>
    <t>Satellite Telecommunications</t>
  </si>
  <si>
    <t>Satellite communications services</t>
  </si>
  <si>
    <t>Communications Services, NEC</t>
  </si>
  <si>
    <t>Communication Equipment Installation - Commercial | Wholesale - Hardware / Plumbing Supplies / Electrical Supplies | Communication Equipment Installation - Residential | Communications Equipment Manufacturing (Outside) | Motion Picture / Television Production (incl Commercials)</t>
  </si>
  <si>
    <t>Satellite telecommunications activities</t>
  </si>
  <si>
    <t>153402 | 509201 | 153401 | 349401 | 781101</t>
  </si>
  <si>
    <t>01 53 98 47 47</t>
  </si>
  <si>
    <t>+33 1 53 98 47 47</t>
  </si>
  <si>
    <t>eschnitzler@eutelsatigo.int</t>
  </si>
  <si>
    <t>https://www.eutelsat.com/en/regional-offices.html</t>
  </si>
  <si>
    <t>https://www.facebook.com/EutelsatGroup</t>
  </si>
  <si>
    <t>https://x.com/eutelsatgroup</t>
  </si>
  <si>
    <t>https://www.instagram.com/eutelsatgroup/</t>
  </si>
  <si>
    <t>https://www.linkedin.com/company/eutelsat</t>
  </si>
  <si>
    <t>https://www.youtube.com/c/Eutelsat_Satellites</t>
  </si>
  <si>
    <t>javascript libraries: core-js | wordpress themes: astra | miscellaneous: rss | web servers: empathy platform | performance: priority hints | translation: polylang | wordpress plugins: elementor | widgets: css | javascript libraries: lazysizes | miscellaneous: twitter emoji (twemoji) | font scripts: google font api | blogging platforms: wordpress | databases: mysql | issue trackers: really simple discovery | cms: site.com | performance: wp fastest cache | reverse proxies: nunjucks | network devices: html | miscellaneous: jquery easing | javascript libraries: jquery ui | javascript frameworks: jquery migrate | web servers: apache | network devices: html5 | wordpress plugins: polylang | web servers: apache http server | javascript libraries: imagesloaded | cms: wordpress | blogs: wordpress | wordpress plugins: wp fastest cache | javascript libraries: jquery | widgets: javascript | performance: ewww image optimizer | wordpress plugins: ewww image optimizer | programming languages: php | javascript libraries: jquery migrate | performance: lazysizes | page builders: elementor | javascript frameworks: jquery</t>
  </si>
  <si>
    <t>2020-05-29T13:13:04.000Z</t>
  </si>
  <si>
    <t>Ework Group AB (Publ)</t>
  </si>
  <si>
    <t>8674cc02-93e4-11eb-be5a-4f810ab55f2e</t>
  </si>
  <si>
    <t>Ework Group</t>
  </si>
  <si>
    <t>Ework Group AB.</t>
  </si>
  <si>
    <t>Ework Group | Ework | Ework Groups</t>
  </si>
  <si>
    <t>111 20</t>
  </si>
  <si>
    <t>Vasagatan</t>
  </si>
  <si>
    <t>SE, Sweden, Stockholm County, Stockholm, 111 20, Vasagatan, 16, 59.3332181, 18.0569365 | SE, Sweden, JÃ¶nkÃ¶ping County, JÃ¶nkÃ¶ping, 554 54, HuskvarnavÃ¤gen, 82, 57.7867259, 14.2336436 | SE, Sweden, VÃ¤stmanland County, VÃ¤sterÃ¥s kommun, 722 13, KopparbergsvÃ¤gen, 10, 59.61076, 16.5498194 | SE, Sweden, SkÃ¥ne County, Malmo, 211 46, Sankt Johannesgatan, 1d, 55.5947824, 12.9979184 | SE, Sweden, VÃ¤stra GÃ¶taland County, Gothenburg, 411 36, Kungsportsavenyen, 34, 57.7016068, 11.9730887 | SE, Sweden, Ã–stergÃ¶tland County, LinkÃ¶ping, 582 19, , 3, 58.4104342, 15.6211713 | PL, Poland, Silesian Voivodeship, Katowice, 40-026, WojewÃ³dzka, 10, 50.2564128, 19.021756590316215 | PL, Poland, Masovian Voivodeship, Warsaw, 00-110, MarszaÅ‚kowska, 107, 52.23543435, 21.0075280795362 | PL, Poland, Lower Silesian Voivodeship, WrocÅ‚aw, 50-079, Grabarska, 1, 51.11093365, 17.024749473472703 | PL, Poland, Pomeranian Voivodeship, GdaÅ„sk, 80-236, Aleja Grunwaldzka, 409, 54.3758208, 18.6160356</t>
  </si>
  <si>
    <t>We form successful collaborations, connecting partners &amp; professionals and clients in partnerships, by bridging brilliant minds to great ideas.</t>
  </si>
  <si>
    <t>consultant brokerage; talent solutions; IT consulting; engineering; staffing; MSP</t>
  </si>
  <si>
    <t>Stockholm-based consultant broker and total talent solutions provider.</t>
  </si>
  <si>
    <t>Ework Group AB (publ) is a Sweden-based consultant broker and total talent solutions provider headquartered at Mäster Samuelsgatan 60, 111 21 Stockholm. Founded in 2000, the company matches independent consultants and specialist suppliers to client assignments across IT/OT, telecom, engineering and business development in the Nordics and northern Europe, offering consultant brokerage, managed service provider (MSP) solutions and talent advisory services.</t>
  </si>
  <si>
    <t>consultant brokerage; staffing; talent management; MSP; IT and engineering consulting</t>
  </si>
  <si>
    <t>561312</t>
  </si>
  <si>
    <t>Executive Search Services</t>
  </si>
  <si>
    <t>Consultant Brokerage &amp; Talent Solutions</t>
  </si>
  <si>
    <t>Consultant brokerage and total talent solutions</t>
  </si>
  <si>
    <t>08-506 055 00</t>
  </si>
  <si>
    <t>+46 8 50 60 55 00</t>
  </si>
  <si>
    <t>ework.sv@bscs.basware.com</t>
  </si>
  <si>
    <t>support@eworkgroup.com</t>
  </si>
  <si>
    <t>https://www.eworkgroup.com/</t>
  </si>
  <si>
    <t>https://www.facebook.com/eworkgroup</t>
  </si>
  <si>
    <t>https://twitter.com/EworkGroupSwe</t>
  </si>
  <si>
    <t>https://www.instagram.com/eworkgroup/</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</si>
  <si>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</si>
  <si>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</si>
  <si>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</si>
  <si>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EWORK NORDIC ApS</t>
  </si>
  <si>
    <t>478d3928-f773-11ec-8aaa-43579fe070c2</t>
  </si>
  <si>
    <t>EWORK GROUP DENMARK ApS</t>
  </si>
  <si>
    <t>Nordic Medical Equipment &amp; Services | Nordic Medical Equipment</t>
  </si>
  <si>
    <t>Axeltorv</t>
  </si>
  <si>
    <t>2F</t>
  </si>
  <si>
    <t>DK, Denmark, Capital Region of Denmark, Copenhagen, 1609, Axeltorv, 2 5, 55.6758636, 12.5639798</t>
  </si>
  <si>
    <t>Disposable Products | Medical Equipments | Innov8 Iq Hospital Ward Bed | Silicone Foley Catheters | Steel/nylon Wheelchair with Fixed Arm/foot | Hospital Beds and Furniture</t>
  </si>
  <si>
    <t>Motor and electric system.</t>
  </si>
  <si>
    <t>Side Rails | Central Locking | Operating Tables | Foot Rest | Bed Frames | Bed Availability | Occupant Safety | Furniture &amp; Mattresses | Headboards | Electrical Systems</t>
  </si>
  <si>
    <t>Medical Supply Manufacturers</t>
  </si>
  <si>
    <t>Medical Equipment &amp; Supplies</t>
  </si>
  <si>
    <t>Health Care Distributors</t>
  </si>
  <si>
    <t>HC-DI</t>
  </si>
  <si>
    <t>3069 | 3089 | 3842 | 3851 | 5999 | 3821 | 2599 | 3841 | 2499</t>
  </si>
  <si>
    <t>Fabricated Rubber Products, NEC (rubber gloves, inflatable rubber lifejackets) | Plastics Products, NEC (inflatable plastic life jackets) | Orthopedic, Prosthetic, and Surgical Appliances and Supplies (except electronic hearing aids, incontinent pads, anatomical models, and bed pads) | Ophthalmic Goods (intraoccular lenses, i.e., surgical implants) | Miscellaneous Retail Stores, NEC (manufacture of orthopedic devices to prescription in a retail environment) | Laboratory Apparatus and Furniture | Furniture and Fixtures, NEC (hospital beds) | Surgical and Medical Instruments and Apparatus (operating room tables) | Wood Products, NEC (cork life preservers)</t>
  </si>
  <si>
    <t>Wholesale - Surgical / Dental / Hospital / Drafting / Engineering / Scientific Supplies | Ambulances (Patient Transfer, Non-Emergency) | Gas Fitting (Non-Medical) | Chiropractors | Millwright / Industrial Machinery Installation (No Agricultural)</t>
  </si>
  <si>
    <t>2100 | 2651 | 2813 | 3092 | 3250 | 3290</t>
  </si>
  <si>
    <t>Manufacture of pharmaceuticals, medicinal chemical and botanical products | Manufacture of measuring, testing, navigating, and control equipment | Manufacture of other pumps, compressors, taps and valves | Manufacture of bicycles and invalid carriages | Manufacture of medical and dental instruments and supplies | Other manufacturing n.e.c.</t>
  </si>
  <si>
    <t>21.2 | 21.1 | 32.5 | 30.92 | 28.14 | 28.13 | 26.51 | 32.99 | 32.91</t>
  </si>
  <si>
    <t>Manufacture of pharmaceutical preparations | Manufacture of basic pharmaceutical products | Manufacture of medical and dental instruments and supplies | Manufacture of bicycles and invalid carriages | Manufacture of other taps and valves | Manufacture of other pumps and compressors | Manufacture of instruments and appliances for measuring, testing and navigation | Other manufacturing n.e.c. | Manufacture of brooms and brushes</t>
  </si>
  <si>
    <t>519201 | 808003 | 171302 | 802101 | 153601</t>
  </si>
  <si>
    <t>31 10 18 75</t>
  </si>
  <si>
    <t>+256776015278 | +27781857487 | +4565746824</t>
  </si>
  <si>
    <t>sales@nordicmedicalequipment.com</t>
  </si>
  <si>
    <t>http://www.eworkgroup.com/</t>
  </si>
  <si>
    <t>2022-06-25T23:29:05.000Z</t>
  </si>
  <si>
    <t>EWORK GROUP NORWAY AS</t>
  </si>
  <si>
    <t>ef614d16-93e4-11eb-aa66-9b8d95e2171b</t>
  </si>
  <si>
    <t>Ework Norway</t>
  </si>
  <si>
    <t>Universal Music Group N.V.</t>
  </si>
  <si>
    <t>Universal Music | Universal Music Group Norway AS | Universal Music Norge</t>
  </si>
  <si>
    <t>Øvre Slottsgate</t>
  </si>
  <si>
    <t>NO, Norway, Oslo, Oslo, 0180, Akersgata, 34, 59.91433389999999, 10.743362499999998</t>
  </si>
  <si>
    <t>Music Distribution Services | Physical Catalogue Services | Music Production Services | Licensing Services | Synchronization Services | Record Company</t>
  </si>
  <si>
    <t>Universal Music Official Merchandise Store â€“ Universal Music Merch Store</t>
  </si>
  <si>
    <t>Universal Music AS er verdens, og Norges, stÃ¸rste musikkselskap og representerer blant annet artister som Astrid S, Post Malone, Ariana Grande, The 1975, Onkl P, Shawn Mendes, The Beatles, Odd Nordstoga, Drake, Imagine Dragons, Seeb, The Rolling Stones m.fl.</t>
  </si>
  <si>
    <t>3652 | 8999</t>
  </si>
  <si>
    <t>Phonograph Records and Prerecorded Audio Tapes and Disks (integrated record companies, except duplication only) | Services, NEC (record production)</t>
  </si>
  <si>
    <t>22 40 36 20</t>
  </si>
  <si>
    <t>atle.schie@umusic.com</t>
  </si>
  <si>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</si>
  <si>
    <t>2019-12-04T11:45:00.000Z</t>
  </si>
  <si>
    <t>EXFO Ltd.</t>
  </si>
  <si>
    <t>3cac22c6-93e5-11eb-9937-4fab995bf8ff</t>
  </si>
  <si>
    <t>EXFO Finland Oy</t>
  </si>
  <si>
    <t>EXFO Inc.</t>
  </si>
  <si>
    <t>EXFO | Exfo Electro-Optical Engineering Canada</t>
  </si>
  <si>
    <t>Pohjois-Pohjanmaa</t>
  </si>
  <si>
    <t>Oulu</t>
  </si>
  <si>
    <t>Elektroniikkatie</t>
  </si>
  <si>
    <t>CA, Canada, Quebec, Quebec, G1M 2K2, Avenue Godin, 400, 46.814118, -71.2713353 | FR, France, Brittany, Saint-Jacques-de-la-Lande, 35136, Rue Jacqueline Auriol, 2, 48.07581905, -1.720276882988912 | GB, United Kingdom, England, Eastleigh, SO53 4DG, School Lane, , 50.9789764, -1.3924664 | US, United States, Texas, Richardson, 75080, Waterview Parkway, 3400, 32.996041500000004, -96.75404636517555 | CA, Canada, Quebec, Montreal, H4S 0A9, Boulevard Alfred-Nobel, 2500, 45.486171999999996, -73.76305603749627 | DE, Germany, Bavaria, Hallbergmoos, 85399, LudwigstraÃŸe, 47, 48.3319396, 11.7387785 | IN, India, Maharashtra, Pune, 411013, Magarpatta Inner Circle, , 18.514188766479492, 73.92739868164062 | CN, China, Beijing, Haidian District, 100081, Zhongguancun Main Street, , 39.9826574, 116.3103787 | CN, China, Guangdong Province, Shenzhen, 518103, Huanguan South Road, no. 71-3, 22.7123141, 114.0904406804076 | FI, Finland, North Ostrobothnia, Oulu, 90501, Elektroniikkatie, 2 A, 65.0570043, 25.44335930030673</t>
  </si>
  <si>
    <t>EXFO Asia Pacific PTE Ltd. is a company based in Quebec, specializing in network test, monitoring, and analytics solutions. The company provides equipment, software, and services that accelerate digital transformations related to fiber, 4G/Lte, and 5G deployments. EXFO's offerings include adaptive service assurance platforms, field network testing, lab and manufacturing testing, and various optical and electrical test instruments. The company serves a diverse range of clients, including communications service providers, network equipment manufacturers, and government agencies, focusing on areas such as 5G, fiber optic testing, and network performance monitoring.</t>
  </si>
  <si>
    <t>Network Troubleshooting Tools | Data Center Management | Cloud Services Monitoring | Network Performance Management | Mobile Network Monitoring | R&amp;D Testing Instruments | Service Assurance Solutions | Telecom Analytics Software | Optical Measurement Products | 5G Testing Solutions | Fiber Optic Testing | Communications Service Providers Support | Lab and Manufacturing Testing | Network Testing Equipment | Wireless Network Optimization</t>
  </si>
  <si>
    <t>EXFO is a Canada-based manufacturer and marketer of software-integrated testing and monitoring instruments for wireless and wireline network operators.</t>
  </si>
  <si>
    <t>EXFOâ€¯is a telecommunications company that develops test, monitoring and analytics equipment and software for fixed and mobile network operators, hyperscaler companies, and leaders in the manufacturing, development and research sector. EXFO is headquartered in Quebec City, Canada and has approximately 2,000 employees in 25 countries.</t>
  </si>
  <si>
    <t>Spectrum Analyzers</t>
  </si>
  <si>
    <t>Radio and Television Broadcasting and Wireless Communications Equipment Manufacturing</t>
  </si>
  <si>
    <t>Communications Equipment Manufacturing (Outside) | Scientific Instruments Manufacturing (Not Otherwise Classified) | Electronic Equipment Manufacturing (No Computers / Circuit Boards) | Electrical Products Manufacturing - Not Otherwise Classified | Circuit Board / Electrical Component / Semi-Conductor Manufacturing</t>
  </si>
  <si>
    <t>349401 | 382601 | 349101 | 357001 | 349501</t>
  </si>
  <si>
    <t>040 3010300</t>
  </si>
  <si>
    <t>+442380246810 | +35885645203 | +8675582032306 | +15148562232 | +80022553936 | +18006633936 | +4981112492560 | +18889727666 | +358403010300 | +14186830211 | +35885645202 | +8675582032300 | +19727619067 | +19727619271 | +442380246801 | +861089508859 | +6563338242 | +15148562222 | +14186832170 | +6563338241 | +861089508858 | +442380246800 | +525554311062 | +33299048060 | +919871871633 | +46707323901</t>
  </si>
  <si>
    <t>pr@exfo.com</t>
  </si>
  <si>
    <t>pr@exfo.com | orders.exfo.europe@exfo.com | orders@exfo.com | orders.exfo.america@exfo.com | orders.exfo.asia@exfo.com</t>
  </si>
  <si>
    <t>https://www.exfo.com/</t>
  </si>
  <si>
    <t>https://www.facebook.com/EXFOInc/</t>
  </si>
  <si>
    <t>https://twitter.com/EXFO</t>
  </si>
  <si>
    <t>https://www.linkedin.com/company/exfo</t>
  </si>
  <si>
    <t>https://www.youtube.com/user/EXFOTube</t>
  </si>
  <si>
    <t>cms: umbraco | web servers: ibm websphere application server | miscellaneous: qualtrics site intercept | performance: azure monitor | javascript libraries: lodash | cookie compliance: cookie control | web servers: .net framework | miscellaneous: babel | javascript libraries: core-js | paas: netlify | analytics: facebook custom audiences | analytics: hotjar | ui frameworks: bootstrap | paas: azure | web servers: empathy platform | web frameworks: bootstrap | analytics: google universal analytics | miscellaneous: webpack | security: recaptcha | javascript frameworks: stimulus | javascript frameworks: vue.js | javascript frameworks: angularjs | cdn: netlify | web servers: azure app service | widgets: css | miscellaneous: x | web frameworks: microsoft asp.net | paas: amazon web services | ui frameworks: animate.css | web frameworks: animate.css | font scripts: google font api | security: hsts | javascript frameworks: rightjs | miscellaneous: http/3 | video players: youtube | surveys: qualaroo | cms: site.com | widgets: facebook | javascript libraries: select2 | retargeting: facebook custom audiences | miscellaneous: open graph | captchas: recaptcha | reverse proxies: nunjucks | load balancer: amazon elb | network devices: html | miscellaneous: pyscript | miscellaneous: jquery easing | font scripts: font awesome | ui frameworks: vuetify | javascript frameworks: jquery migrate | marketing automation: marketo | web servers: schannel | web servers: apache | operating systems: windows server | seo tool: facebook friendly | javascript libraries: lightbox | cms: optimizely content management | network devices: html5 | javascript frameworks: toastr | web servers: apache http server | miscellaneous: facebook | analytics: linkedin insight tag | analytics: azure monitor | ecommerce: cart functionality | web servers: iis | analytics: quantcast measure | programming languages: python | tag managers: google tag manager | issue trackers: trackjs | miscellaneous: linkedin | cookie compliance: cookiebot | javascript libraries: jquery | retargeting: facebook | widgets: javascript | advertising: microsoft advertising | web mail: marketo mail | miscellaneous: prism | rum: microsoft application insights | cookie compliance: cookiebot - 1 | search engines: addsearch | cdn: cloudflare | advertising: twitter ads | javascript libraries: jquery migrate | web frameworks: html5 | javascript libraries: moment.js | marketing automation: marketo - 163 | javascript frameworks: jquery | analytics: google analytics | programming languages: java</t>
  </si>
  <si>
    <t>2019-11-24T00:40:24.000Z</t>
  </si>
  <si>
    <t>EXIDE TECHNOLOGIES AS</t>
  </si>
  <si>
    <t>240ec88e-0d0c-11ec-ba39-9dfb291dc0cf</t>
  </si>
  <si>
    <t>Exide Technologies AS</t>
  </si>
  <si>
    <t>Air Cargo Logistics AS | Air Cargo Logistics</t>
  </si>
  <si>
    <t>Karenslyst allé</t>
  </si>
  <si>
    <t>NO, Norway, Viken, Ullensaker, 2040, Dyrskuevegen, 3, 60.0820732, 11.144950699999999</t>
  </si>
  <si>
    <t>Sønnak har utviklet innovative høykvalitetsbatterier i mer enn 100 år. Vårt batterisortiment dekker de fleste behov og vi har løsninger til biler, busser, lastebiler, motorsykler, landbruk- og byggemaskiner, båt, bobil - for å nevne noen!</t>
  </si>
  <si>
    <t>Logistics Solutions Provider | Airfreight Logistic Provider | Logistics Services | Transport Solutions | Logistic Service Planning | Air Cargo Services | Safe Seafood Handling Tips | Imports and Exports | Fre Forwarding Agent</t>
  </si>
  <si>
    <t>We are a freight forwarding agent, with more than 100 years of experience within airfreight and transportation. We are proud to pronounce that we put quality in motion by doing Airfreight your way.</t>
  </si>
  <si>
    <t>Air Cargo Logistics AS, is amongst the top leading airfreight logistic providers of seafood in Norway. Our key success factor is based on personal service, flexibility, and high quality performance. We offer a safe and professional handling of all kinds of seafood, by worldwide airfreight. With well experienced acknowledge and high competence, Air Cargo Logistics offers to become a solid business partner for customers in their Global markets. Our professional team is set to find the best transport solutions for your needs. Due to our unique competence in planning, handling and conducting fast reliable solutions â€“ our logistic services provides a high performance.</t>
  </si>
  <si>
    <t>Freight Transportation Arrangement</t>
  </si>
  <si>
    <t>Trucking and Logistics</t>
  </si>
  <si>
    <t>Freight Transport</t>
  </si>
  <si>
    <t>Transport &amp; Warehousing</t>
  </si>
  <si>
    <t>Rail Transportation</t>
  </si>
  <si>
    <t>TR-RA</t>
  </si>
  <si>
    <t>Land Transportation</t>
  </si>
  <si>
    <t>TR.4</t>
  </si>
  <si>
    <t>Air Transportation, Scheduled (freight)</t>
  </si>
  <si>
    <t>Business Services - Not Otherwise Classified | Freight Brokers | Warehousing - General Merchandise (No Flammables / Explosives) | Motorcoaches / Charter Bus Operations | Household Moving / Packing Operations</t>
  </si>
  <si>
    <t>Freight air transport</t>
  </si>
  <si>
    <t>51.22 | 51.21</t>
  </si>
  <si>
    <t>Space transport | Freight air transport</t>
  </si>
  <si>
    <t>740801 | 487101 | 427301 | 411902 | 426301</t>
  </si>
  <si>
    <t>22 07 47 00</t>
  </si>
  <si>
    <t>post@aclogistics.no</t>
  </si>
  <si>
    <t>https://sonnak.com/</t>
  </si>
  <si>
    <t>https://www.linkedin.com/company/exidegroup/</t>
  </si>
  <si>
    <t>ui frameworks: bootstrap | web frameworks: wow | javascript graphics: wow | cdn: jquery cdn | font scripts: google font api | databases: mysql | authentication: facebook login | miscellaneous: open graph | font scripts: font awesome | javascript libraries: jquery ui | web servers: apache http server | cms: wordpress | cookie compliance: cookie notice | blogs: wordpress | javascript libraries: jquery | form builders: contact form 7 | programming languages: php | javascript frameworks: wow | wordpress plugins: cookie notice | wordpress plugins: contact form 7</t>
  </si>
  <si>
    <t>2021-09-03T21:15:32.000Z</t>
  </si>
  <si>
    <t>EXPRESS PUBLICATIONS (PVT.) LIMITED</t>
  </si>
  <si>
    <t>02833843-93e5-11eb-b4a6-27899be4e45d</t>
  </si>
  <si>
    <t>Express Publications (Madurai) Limited</t>
  </si>
  <si>
    <t>Express Digital Pvt. LTD.</t>
  </si>
  <si>
    <t>ISHTIAQ ALI</t>
  </si>
  <si>
    <t>Tamil Nadu</t>
  </si>
  <si>
    <t>Chennai</t>
  </si>
  <si>
    <t>Gurumangat Road</t>
  </si>
  <si>
    <t>PK, Pakistan, Sindh, Karachi, , , , 24.8546842, 67.0207055</t>
  </si>
  <si>
    <t>Ishtiaqali is a digital marketing specialist with over 7 years of experience in Google products such as Google Ad Manager, Google Ad Exchange, Google Advertising, Google Analytics, Google Ads, and Google Search Console. They also specialize in boosting Facebook Ads and PPC, as well as Google Analytics. Ishtiaq Ali is an expert in digital marketing, advertising operations, SEO, social media management, web traffic analysis, web development, digital marketing design, and marketing.</t>
  </si>
  <si>
    <t>Google Analytics | Advertising Operation Specialists | Facebook Ads and PPC Services | Project Name Web Design | Social Media Management Services | SEO Services | Web Traffic Analysis Services | Google Search Console | Microsoft Office | Google Ad Manager | Digital Content Creation | HTML/CSS/JS | Adobe Photoshop CC | Website Development Services | Wordpress CMS | Video and Graphic Content Management</t>
  </si>
  <si>
    <t>Hi, my name is Ishtiaq Ali. Manage Video and Textual content, using the CMS of Wordpress 01-Jan-2010 to 31-Dec-2010.</t>
  </si>
  <si>
    <t>Ishtiaq Ali is an expert Digital Marketing Specialist, having 10+ experience in the field of Digital Marketing with strong analytical skills.</t>
  </si>
  <si>
    <t>Digital Content Creation | Computational Science | Video And Graphics</t>
  </si>
  <si>
    <t>Search Engine Optimization</t>
  </si>
  <si>
    <t>Software Developers (Pre-Packaged) | Software Developers (Custom) | Advertising Agencies | Technology Customer Support Services (For others) | Software Implementation Integration</t>
  </si>
  <si>
    <t>891801 | 891802 | 731201 | 740809 | 740810</t>
  </si>
  <si>
    <t>044 2345 7601</t>
  </si>
  <si>
    <t>info@ishtiaqali.com</t>
  </si>
  <si>
    <t>http://www.epmltd.com/</t>
  </si>
  <si>
    <t>https://www.facebook.com/ishtiaq4ali/</t>
  </si>
  <si>
    <t>https://twitter.com/ishtiaq4ali</t>
  </si>
  <si>
    <t>https://www.instagram.com/ishtiaq4ali/</t>
  </si>
  <si>
    <t>2020-07-16T18:14:24.000Z</t>
  </si>
  <si>
    <t>Extenda Retail AS Avd Oslo</t>
  </si>
  <si>
    <t>12f96461-93e5-11eb-be3a-7f925cb94351</t>
  </si>
  <si>
    <t>Extenda Retail AS</t>
  </si>
  <si>
    <t>Extenda Retail | Extenda Retails | Extenda Retail AS</t>
  </si>
  <si>
    <t>169 73</t>
  </si>
  <si>
    <t>SE, Sweden, Stockholm County, Solna, 169 73, Gustav III:s boulevard, 46, 59.373582899999995, 18.015972299999994 | NO, Norway, Vestfold og Telemark, TÃ¸nsberg, 3157, Wirgenes vei, 19, 59.3096815, 10.3832718 | SE, Sweden, VÃ¤stra GÃ¶taland County, Gothenburg, 411 40, Ullevigatan, 17-19, 57.7067203, 11.983804800000001 | NO, Norway, Oslo, Oslo, 0277, Karenslyst allÃ©, 55, 59.9134415, 10.742604399999998 | NL, Netherlands, Gelderland, West Betuwe, 4181 CE, Regterweistraat, 15, 51.8317373, 5.2513087 | NL, Netherlands, North Brabant, Oosterhout, , , , 51.632237599999996, 4.863042417836681</t>
  </si>
  <si>
    <t>Extenda Retail is a global retailer and logistics software provider that offers state-of-the-art solutions to industry leaders worldwide. With a client base of leading retailers in over 37 countries, they specialize in the Grocery, Pharmaceutical, Convenience &amp; fuel, and Fashion &amp; specialised trade industries. Their software enables smooth logistics, transactions, operations, and customer journeys, enabling customers to offer the next generation of shopping experience.</t>
  </si>
  <si>
    <t>Custom Programming Services | Retail Software | Software Development and Implementation of Software | Open Architecture | Logistics Optimization | Next-gen Shopping Experience | Customer Journey Optimization | Logistic Software Solutions for Retailers | POS Systems for Businesses | Cloud-native Retail Platform | Software Development Company | Logistics and Smooth Transactions | Hardware-agnostic Design | Operations Optimization | Self-service Loss Prevention | Retail Software Development | Onsite Services | State-of-the-art Solutions for Industry Leaders | Software Development</t>
  </si>
  <si>
    <t>Extenda Retail is a global retailer and logistics software provider.</t>
  </si>
  <si>
    <t>Extenda Retail inspires retailers to go further through game-changing software, which helps retailers grow their business and optimise their customers' experience. The extensive portfolio of solutions includes Hii Retail, retail ERP, POS (point-of-sale) &amp; Checkout, WMS, Customer Intelligence &amp; Loyalty, and Pharmacy software. With almost 40 years as an industry-leader in retail software development, hundreds of retail chains with a presence in over 36 countries across the globe utilise solutions by Extenda Retail.</t>
  </si>
  <si>
    <t>Unified Commerce | Retail Logistics | Logistics Providers | Warehouse Management System Wms | Logistics Software | Warehouse Software | Personalized Shopping | Retail &amp; E Commerce | Warehousing | Distribution Company</t>
  </si>
  <si>
    <t>Software Publishers</t>
  </si>
  <si>
    <t>Management Consultants | Software Implementation Integration | Technology Customer Support Services (For others) | Software Developers (Pre-Packaged) | Software Developers (Custom)</t>
  </si>
  <si>
    <t>641401 | 740810 | 740809 | 891801 | 891802</t>
  </si>
  <si>
    <t>+46707615199 | +31681910283 | +46707930287 | +46732512561 | +46760046100 | +46313640400 | +31610529718</t>
  </si>
  <si>
    <t>carolin.jaques@extendaretail.com</t>
  </si>
  <si>
    <t>marketing@extendaretail.com | dpo@extendaretail.com</t>
  </si>
  <si>
    <t>wim.kroes@extendaretail.com | ronald.bakker@extendaretail.com | carolin.jaques@extendaretail.com | johannes.puonti@extendaretail.com | jonas.leifhelm@extendaretail.com | tomas.karlsson@extendaretail.com</t>
  </si>
  <si>
    <t>https://www.extendaretail.com/</t>
  </si>
  <si>
    <t>extendaretail.com</t>
  </si>
  <si>
    <t>com</t>
  </si>
  <si>
    <t>https://www.facebook.com/extendaretail/</t>
  </si>
  <si>
    <t>https://twitter.com/extendaretail</t>
  </si>
  <si>
    <t>https://www.linkedin.com/company/extenda-retail</t>
  </si>
  <si>
    <t>cdn: section.io | paas: kinsta | analytics: facebook custom audiences | ui frameworks: bootstrap | web servers: empathy platform | performance: priority hints | miscellaneous: webpack | widgets: css | javascript frameworks: react | cdn: cdnjs | miscellaneous: pwa | authentication: google sign-in | font scripts: google font api | cache tools: varnish | security: hsts | reverse proxies: nginx | blogging platforms: wordpress | video players: youtube | databases: mysql | miscellaneous: module federation | reverse proxy: nginx | performance: google cloud trace | widgets: facebook | retargeting: facebook custom audiences | marketing automation: pardot | miscellaneous: open graph | captchas: recaptcha | seo tool: yoast seo | miscellaneous: swiper slider | page builders: pardot | network devices: html | miscellaneous: jquery easing | font scripts: font awesome | seo tool: facebook friendly | javascript libraries: lightbox | network devices: html5 | miscellaneous: gravity forms | lead generation: gravity forms | cms: wordpress | lead generation: pardot | feature management: launchdarkly | ecommerce: cart functionality | maps: leaflet | caching: varnish | tag managers: google tag manager | javascript libraries: jquery | retargeting: facebook | cms: adobe experience manager (aem) | widgets: javascript | javascript graphics: chart.js | operating systems: ubuntu | seo tool: twitter friendly | web servers: nginx | cdn: cloudflare | iaas: google cloud | programming languages: php | web frameworks: html5 | javascript libraries: polyfill | javascript frameworks: jquery | analytics: google analytics</t>
  </si>
  <si>
    <t>2019-11-24T10:49:58.000Z</t>
  </si>
  <si>
    <t>F5 NETWORKS LIMITED</t>
  </si>
  <si>
    <t>631c5ae7-e7f1-11ec-ad32-8d2a499c20f7</t>
  </si>
  <si>
    <t>F5 Networks Ltd</t>
  </si>
  <si>
    <t>F5 Networks Inc.</t>
  </si>
  <si>
    <t>Chertsey</t>
  </si>
  <si>
    <t>KT16 8AP</t>
  </si>
  <si>
    <t>London Street</t>
  </si>
  <si>
    <t>43-47</t>
  </si>
  <si>
    <t>GB, United Kingdom, , , , , , 54.702354431152344, -3.2765753269195557</t>
  </si>
  <si>
    <t>F5 application services ensure that applications are always secure and perform the way they should—in any environment and on any device.</t>
  </si>
  <si>
    <t>application delivery; application security; load balancing; multi-cloud networking; zero trust</t>
  </si>
  <si>
    <t>Chertsey-based F5 subsidiary delivering application delivery and security solutions.</t>
  </si>
  <si>
    <t>F5 Networks Limited is the United Kingdom subsidiary of F5, Inc., headquartered at Chertsey Gate West, 43–47 London Street, Chertsey, Surrey KT16 8AP. Incorporated in 1999, the company provides application delivery controllers, application security, web application firewalls and multi-cloud networking solutions and services to enterprises and service providers across Europe, the Middle East and Africa.</t>
  </si>
  <si>
    <t>application delivery controllers; app security; load balancers; multi-cloud; zero trust; cybersecurity</t>
  </si>
  <si>
    <t>Application Delivery &amp; Security Software</t>
  </si>
  <si>
    <t>Application delivery and security solutions</t>
  </si>
  <si>
    <t>01932 582000</t>
  </si>
  <si>
    <t>+44 1932 582 000</t>
  </si>
  <si>
    <t>https://f5.com/</t>
  </si>
  <si>
    <t>https://www.facebook.com/f5incorporated</t>
  </si>
  <si>
    <t>https://docs.nginx.com/</t>
  </si>
  <si>
    <t>https://www.instagram.com/f5.global/</t>
  </si>
  <si>
    <t>https://www.linkedin.com/company/f5/</t>
  </si>
  <si>
    <t>https://www.youtube.com/user/f5networksinc</t>
  </si>
  <si>
    <t>2022-06-09T11:11:33.000Z</t>
  </si>
  <si>
    <t>FACEBOOK IRELAND LIMITED</t>
  </si>
  <si>
    <t>6de3c7f3-0472-11ec-8154-fd26fdffca6b</t>
  </si>
  <si>
    <t>Meta</t>
  </si>
  <si>
    <t>META PLATFORMS IRELAND LIMITED</t>
  </si>
  <si>
    <t>Facebook Training Ireland</t>
  </si>
  <si>
    <t>D04 H0C9</t>
  </si>
  <si>
    <t>Serpentine Avenue</t>
  </si>
  <si>
    <t>IE, Ireland, , , , , , 52.865196, -7.9794599</t>
  </si>
  <si>
    <t>Irish subsidiary of Facebook</t>
  </si>
  <si>
    <t>Hosting and Domain Services | Facebook Pixel Guide | Google Adwords and Facebook Ads Campaigns | Digital Advertising for Hospitality Industry | Facebook Feed Algorithms | Social Media Marketing Strategy</t>
  </si>
  <si>
    <t>Welcome to Facebook Training Ireland. Irelandâ€™s best blog and website dedicated to the latest facebook news, and guidance on how to improve social media marketing. This website is operated by... Read more Â»</t>
  </si>
  <si>
    <t>Shop the latest AI glasses and wearable technology from Meta. Explore Ray-Ban Meta, Oakley Meta, display glasses, and cutting-edge VR headsets.</t>
  </si>
  <si>
    <t>Community / Civic / Special Interest Groups (Non-Medical) | Trade Schools / Vocational Schools | Schools - Not Otherwise Classified (incl Business Colleges) | Operations Consultants | Marketing Consultants</t>
  </si>
  <si>
    <t>864401 | 832401 | 832301 | 641403 | 641405</t>
  </si>
  <si>
    <t>http://meta.com/</t>
  </si>
  <si>
    <t>web servers: ibm websphere application server | wordpress plugins: contentviews | miscellaneous: rss | web servers: empathy platform | performance: priority hints | analytics: google universal analytics | security: recaptcha | seo: yoast seo | font scripts: google font api | miscellaneous: http/3 | databases: mysql | issue trackers: really simple discovery | widgets: contentviews | cms: site.com | miscellaneous: open graph | network devices: html | miscellaneous: jquery easing | font scripts: font awesome | cms: wordpress | blogs: wordpress | geolocation: twitter cards | tag managers: google tag manager | javascript libraries: jquery | cdn: cloudflare | wordpress plugins: yoast seo | programming languages: php | javascript libraries: jquery migrate | analytics: google analytics | programming languages: java</t>
  </si>
  <si>
    <t>2021-08-21T03:27:49.000Z</t>
  </si>
  <si>
    <t>Falck Danmark A/S</t>
  </si>
  <si>
    <t>e9312230-93e4-11eb-86dd-ffbd1b53140e</t>
  </si>
  <si>
    <t>Falck Autohjælp - København</t>
  </si>
  <si>
    <t>Falck A/S. | Falck Rettungsdienst Nord GmbH | Falck Fire Services DE GmbH | Falck emergency services company</t>
  </si>
  <si>
    <t>Falck | Falck - Danish | Falck A S DÃ¡nsko | Falck Sverige</t>
  </si>
  <si>
    <t>Frederikssundsvej</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</si>
  <si>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SkÃ¥ne County, Bjuvs kommun, 26734, Tulpangatan, , 56.083736419677734, 12.900421142578125</t>
  </si>
  <si>
    <t>Danish emergency response and healthcare company providing ambulance services, roadside assistance, fire services and healthcare solutions.</t>
  </si>
  <si>
    <t>ambulance services; emergency response; roadside assistance; healthcare services; fire services</t>
  </si>
  <si>
    <t>Copenhagen-based provider of emergency response, ambulance and healthcare services.</t>
  </si>
  <si>
    <t>Falck Danmark A/S is a Danish emergency response and healthcare company headquartered at Sydhavnsgade 18, 2450 København SV. Established in 1992 as part of the Falck Group, it delivers ambulance and patient transport, roadside assistance, fire and rescue and various healthcare services to public authorities, companies and individuals across Denmark.</t>
  </si>
  <si>
    <t>emergency medical services; ambulance; rescue; roadside assistance; healthcare; fire services</t>
  </si>
  <si>
    <t>524210</t>
  </si>
  <si>
    <t>Insurance Agencies and Brokerages</t>
  </si>
  <si>
    <t>Emergency Response &amp; Healthcare Services</t>
  </si>
  <si>
    <t>Ambulance, rescue and roadside assistance services</t>
  </si>
  <si>
    <t>Human Health and Social Work Activities / Transportation</t>
  </si>
  <si>
    <t>Local Passenger Transportation, NEC (ambulance services)</t>
  </si>
  <si>
    <t>Physiotherapists / Occupational Therapists | Physicians and Surgeons (Specialist Surgeons) | Physicians and Surgeons (No Specialist Surgeons) | Chiropractors | Ambulances (Patient Transfer, Non-Emergency)</t>
  </si>
  <si>
    <t>801801 | 801201 | 801101 | 802101 | 808003</t>
  </si>
  <si>
    <t>70 10 20 31</t>
  </si>
  <si>
    <t>+45 70 33 33 11</t>
  </si>
  <si>
    <t>kontakt@falck.dk</t>
  </si>
  <si>
    <t>infoffsde@falck.com | contact.france@falck.com | dpo@falck.com</t>
  </si>
  <si>
    <t>fga@dk.falck.com | crm.fga@falck.com | david.morin@falck.com</t>
  </si>
  <si>
    <t>https://www.falck.dk/vejhjaelp/produkter/autohjaelp/?utm_source=GMBlisting&amp;utm_medium=organic</t>
  </si>
  <si>
    <t>https://twitter.com/falck_ffs_uk</t>
  </si>
  <si>
    <t>https://www.instagram.com/falck_global/</t>
  </si>
  <si>
    <t>https://www.linkedin.com/company/falck</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</si>
  <si>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</si>
  <si>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2019-11-24T01:59:32.000Z</t>
  </si>
  <si>
    <t>Fastbridge Malaysia Sdn Bhd</t>
  </si>
  <si>
    <t>4bd4a421-725b-11ec-a37c-11c248193b5d</t>
  </si>
  <si>
    <t>Drawbridge Technologies (M) Sdn. Bhd. KL</t>
  </si>
  <si>
    <t>Mall of Malaysia Sdn. Bhd.</t>
  </si>
  <si>
    <t>Mall of Malaysia</t>
  </si>
  <si>
    <t>Jalan Kemajuan</t>
  </si>
  <si>
    <t>MY, Malaysia, Selangor, Petaling Jaya, 46100, Jalan 51A/223, no. 328, 3.1007802, 101.633307 | MY, Malaysia, Selangor, Puchong, 47160, Jalan Bandar 3, , 3.031571583623675, 101.61518247315038</t>
  </si>
  <si>
    <t>Drawbridge Technologies (M) Sdn Bhd is an organization that specialize in provide the industry software such as Autodesk and system for many years.</t>
  </si>
  <si>
    <t>Retail Development | Lifestyle Mall Development | Sumptuous Dining | One Stop Concept | Family Entertainment | Leasing Enquiries</t>
  </si>
  <si>
    <t>We're an award-winning retail developer specialising in creating lifestyle malls catering to everyone from urban youths to families.</t>
  </si>
  <si>
    <t>We're an award-winning retail developer specialising in creating lifestyle malls catering to everyone from urban youths to families. Our malls are visited by both locals and tourists alike, and are constantly ranked amongst Malaysia's best. Mall of Malaysia Sdn. No. 328, Jalan 51A/223, Seksyen 51A, 46100 Petaling Jaya, Selangor.</t>
  </si>
  <si>
    <t>Leasing Enquiries</t>
  </si>
  <si>
    <t>Building Owner - Multiple Occupancy - Retail (Not Enclosed Mall) | Building Owner - Multiple Occupancy - Mixed-Use Commercial | Building Owner - Multiple Occupancy - Office | Building Owner - Multiple Occupancy - Warehouse / Wholesale | Building Owner - Residential - One or Two Family Dwellings (Not Townhouse)</t>
  </si>
  <si>
    <t>529101 | 399101 | 651101 | 663301 | 663101</t>
  </si>
  <si>
    <t>03-4818 8188</t>
  </si>
  <si>
    <t>+60123315058 | +60178784321 | +60379603218 | +60379603219</t>
  </si>
  <si>
    <t>yvonneang@mallofmalaysia.com.my</t>
  </si>
  <si>
    <t>http://www.drawbridge.com.my/</t>
  </si>
  <si>
    <t>https://www.facebook.com/drawbridgetechmalaysia/</t>
  </si>
  <si>
    <t>https://www.instagram.com/drawbridge_technologies/</t>
  </si>
  <si>
    <t>https://www.linkedin.com/company/drawbridge-technologies-m-sdn-bhd/</t>
  </si>
  <si>
    <t>https://www.youtube.com/@drawbridgetech</t>
  </si>
  <si>
    <t>ui frameworks: bootstrap | javascript libraries: jquery - 1.10.2 | javascript libraries: modernizr | javascript libraries: prettyphoto | font scripts: font awesome | web servers: apache http server | advertising: google adsense | analytics: google analytics</t>
  </si>
  <si>
    <t>2022-01-05T02:11:56.000Z</t>
  </si>
  <si>
    <t>Favro Holding AB</t>
  </si>
  <si>
    <t>ff5c55c1-93e4-11eb-aa66-9b8d95e2171b</t>
  </si>
  <si>
    <t>Favro AB</t>
  </si>
  <si>
    <t>FAVRO AB.</t>
  </si>
  <si>
    <t>Favro</t>
  </si>
  <si>
    <t>Uppsala län</t>
  </si>
  <si>
    <t>Uppsala</t>
  </si>
  <si>
    <t>753 10</t>
  </si>
  <si>
    <t>SE, Sweden, Uppsala County, Uppsala, 753 10, Drottninggatan, 2, 59.858258899999996, 17.6384591</t>
  </si>
  <si>
    <t>The Collaborative Management Platform for the Future of Work in Tech and Games</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</si>
  <si>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</si>
  <si>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</si>
  <si>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DahlstrÃ¶m,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</si>
  <si>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</si>
  <si>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Software Developers (Pre-Packaged) | Software Developers (Custom) | Technology Customer Support Services (For others) | Software Implementation Integration | Management Consultants</t>
  </si>
  <si>
    <t>891801 | 891802 | 740809 | 740810 | 641401</t>
  </si>
  <si>
    <t>018-444 45 00</t>
  </si>
  <si>
    <t>+18605583049 | +46184444500</t>
  </si>
  <si>
    <t>privacy@favro.com</t>
  </si>
  <si>
    <t>jobs@favro.com | privacy@favro.com</t>
  </si>
  <si>
    <t>u003eprivacy@favro.com</t>
  </si>
  <si>
    <t>https://www.favro.com/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</si>
  <si>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</si>
  <si>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</si>
  <si>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</si>
  <si>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</si>
  <si>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</si>
  <si>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</si>
  <si>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</si>
  <si>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Fiberail Sdn. Bhd.</t>
  </si>
  <si>
    <t>0ebd415c-93e5-11eb-919a-b3f9a5ad205c</t>
  </si>
  <si>
    <t>Fiberail Sdn Bhd</t>
  </si>
  <si>
    <t>nnw films sdn bhd.</t>
  </si>
  <si>
    <t>Next New Wave</t>
  </si>
  <si>
    <t>Cyberjaya</t>
  </si>
  <si>
    <t>Persiaran Multimedia</t>
  </si>
  <si>
    <t>MY, Malaysia, Kuala Lumpur, Kuala Lumpur, 58100, Jalan 1/109F, 11, 3.09840745, 101.68727405388248</t>
  </si>
  <si>
    <t>Next New Wave is a company that aims to support emerging filmmakers who are exploring new ways of filmmaking using new technology and platforms. They focus on cultivating experimentation and perspective in these storytellers by providing opportunities for Southeast Asian collaboration, including exposing young Malaysian filmmakers to films from the region and bringing in established filmmakers to share their experiences.</t>
  </si>
  <si>
    <t>Filmmaking Workshops | Motion Picture Industry | Astro Shortcuts Workshop | Short Films Production | Production Workshop | Scriptwriting Workshops | Film Festival Organization</t>
  </si>
  <si>
    <t>Next New Wave is an initiative founded in 2015 to focus on nurturing young and emerging filmmakers in Malaysia.</t>
  </si>
  <si>
    <t>Next New Wave is an initiative founded in 2015 to focus on nurturing young and emerging filmmakers in Malaysia. A new generation of filmmakers are beginning to find their own way with new technology and platforms, exploring new ways of filmmaking. Next New Wave is determined to help cultivate in these emerging storytellers the spirit for experimentation and perspective. One of our main goals is the emphasis on Southeast Asian collaboration - exposing young Malaysian filmmakers to films from the region and also bringing in established filmmakers from Southeast Asia to share their experiences.</t>
  </si>
  <si>
    <t>Digital Media | Independent Films | Training &amp; Coaching | Filmmaking Workshops</t>
  </si>
  <si>
    <t>Video and Audio Production</t>
  </si>
  <si>
    <t>7822 | 7829</t>
  </si>
  <si>
    <t>Motion Picture and Video Tape Distribution (except video tape and cassette wholesalers) | Services Allied to Motion Picture Distribution (commercial distribution film libraries)</t>
  </si>
  <si>
    <t>Motion Picture / Television Production (incl Commercials) | Retail - Audio / Video Media Sales / Rentals (Music / Movies / Etc) | Television / Radio Stations (No Stage / Scenery Storage) | Movie Theatres (No Drive-Ins) | Movie Theatres (Drive-In)</t>
  </si>
  <si>
    <t>Motion picture, video and television programme distribution activities</t>
  </si>
  <si>
    <t>781101 | 571501 | 489101 | 783101 | 784001</t>
  </si>
  <si>
    <t>malaysianextnewwave@gmail.com</t>
  </si>
  <si>
    <t>enquiry@fiberail.com.my</t>
  </si>
  <si>
    <t>http://www.fiberail.com.my/</t>
  </si>
  <si>
    <t>https://www.facebook.com/nextnewwave</t>
  </si>
  <si>
    <t>https://www.instagram.com/nextnewwave/</t>
  </si>
  <si>
    <t>http://www.linkedin.com/company/next-new-wave</t>
  </si>
  <si>
    <t>https://www.youtube.com/@NextNewWave/about</t>
  </si>
  <si>
    <t>miscellaneous: webpack | security: recaptcha | issue trackers: sentry | security: hsts | video players: youtube | ecommerce: squarespace commerce - 7 | javascript libraries: core-js - 3.26.0 | miscellaneous: module federation | javascript libraries: modernizr - 2.8.3 | javascript libraries: lodash - 4.17.21 | cms: squarespace - 7 | miscellaneous: open graph | javascript libraries: yui - 3.17.2 | font scripts: typekit - 1.21.0</t>
  </si>
  <si>
    <t>2019-11-23T23:59:28.000Z</t>
  </si>
  <si>
    <t>Fibrecomm Network (M) Sdn. Bhd.</t>
  </si>
  <si>
    <t>aade3d11-93e4-11eb-919a-b3f9a5ad205c</t>
  </si>
  <si>
    <t>Fibrecomm Network (M) Sdn Bhd</t>
  </si>
  <si>
    <t>Fibrecomm Network M Sdn. Bhd. | Fibre Communication Network M Sdn Bhd.</t>
  </si>
  <si>
    <t>Fibrecomm | Fibrecomm Network | Fibrecomm Network M</t>
  </si>
  <si>
    <t>WP Kuala Lumpur</t>
  </si>
  <si>
    <t>Jalan Pantai Baharu</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</si>
  <si>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</si>
  <si>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</si>
  <si>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</si>
  <si>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</si>
  <si>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</si>
  <si>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</si>
  <si>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</si>
  <si>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</si>
  <si>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03-2240 1533</t>
  </si>
  <si>
    <t>+601800880923 | +60322401530 | +60322401533 | +60322468400</t>
  </si>
  <si>
    <t>enquiries@fibrecomm.net.my</t>
  </si>
  <si>
    <t>nocfcn@fibrecomm.net.my</t>
  </si>
  <si>
    <t>https://www.fibrecomm.net.my/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</si>
  <si>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</si>
  <si>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</si>
  <si>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2020-05-06T17:04:38.000Z</t>
  </si>
  <si>
    <t>DANSK HALON TEKNIK ApS</t>
  </si>
  <si>
    <t>19d6ea02-7283-11ec-86f6-89657e84dbb2</t>
  </si>
  <si>
    <t>Dansk Rense - Teknik v/Johnny Lylloff</t>
  </si>
  <si>
    <t>Dansk Natur Teknik - Topkapning NordsjÃ¦lland</t>
  </si>
  <si>
    <t>Duevej</t>
  </si>
  <si>
    <t>DK, Denmark, Capital Region of Denmark, FrederiksvÃ¦rk, 3300, Lisbeths VÃ¦nge, 5, 56.019194, 12.064301999999998</t>
  </si>
  <si>
    <t>Dansk Natur Teknik - Topkapning NordsjÃ¦lland is a company based in FrederiksvÃ¦rk, Denmark, operating within the Capital Region of Denmark. The company specializes in tree services, landscaping, lawn care, logging, and park management.</t>
  </si>
  <si>
    <t>Logging Contractor Services | Landscaping Services | Park Management Services | Lawn Care</t>
  </si>
  <si>
    <t>Dansk Natur Teknik - Topkapning NordsjÃ¦lland is a tree services company based in FrederiksvÃ¦rk, Denmark.</t>
  </si>
  <si>
    <t>Tree Services</t>
  </si>
  <si>
    <t>Architecture &amp; Planning</t>
  </si>
  <si>
    <t>Architecture &amp; Engineering Services</t>
  </si>
  <si>
    <t>0783 | 0782</t>
  </si>
  <si>
    <t>Ornamental Shrub and Tree Services | Lawn and Garden Services</t>
  </si>
  <si>
    <t>Landscape care and maintenance service activities</t>
  </si>
  <si>
    <t>Landscape service activities</t>
  </si>
  <si>
    <t>40 13 54 60</t>
  </si>
  <si>
    <t>johnny.lylloff@gmail.com</t>
  </si>
  <si>
    <t>http://www.danskrense-teknik.dk/html/kontakt_os.html</t>
  </si>
  <si>
    <t>2022-01-11T02:06:34.000Z</t>
  </si>
  <si>
    <t>FORM DANMARK ApS</t>
  </si>
  <si>
    <t>44240fe3-93e5-11eb-919a-b3f9a5ad205c</t>
  </si>
  <si>
    <t>Form Danmark ApS</t>
  </si>
  <si>
    <t>Form Danmark ApS.</t>
  </si>
  <si>
    <t>Form Danmark</t>
  </si>
  <si>
    <t>Odder</t>
  </si>
  <si>
    <t>Snærildvej</t>
  </si>
  <si>
    <t>DK, Denmark, Central Denmark Region, Odder, 8300, SnÃ¦rildvej, 40, 55.97189259999999, 10.1340902 | DK, Denmark, Capital Region of Denmark, HÃ¸rsholm, 2970, Svenstrupvej, 12, 55.890488, 12.486027</t>
  </si>
  <si>
    <t>Form Danmark, legally known as Form Danmark ApS., is a company based in HÃ¸rsholm,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</si>
  <si>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</si>
  <si>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</si>
  <si>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Ã¥r leveret succesfulde lÃ¸sninger til bÃ¥de mulige og umulige projekter.</t>
  </si>
  <si>
    <t>Architects &amp; Architectural Services</t>
  </si>
  <si>
    <t>Architectural and engineering activities and related technical consultancy</t>
  </si>
  <si>
    <t>71.11 | 71.12</t>
  </si>
  <si>
    <t>Architectural activities | Engineering activities and related technical consultancy</t>
  </si>
  <si>
    <t>86 17 58 11</t>
  </si>
  <si>
    <t>+4520675811 | +4532768539 | +4540605811 | +4586175811</t>
  </si>
  <si>
    <t>md@formdanmark.dk</t>
  </si>
  <si>
    <t>hb@formdanmark.dk</t>
  </si>
  <si>
    <t>http://www.formdanmark.dk/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</si>
  <si>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</si>
  <si>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2019-11-24T01:16:39.000Z</t>
  </si>
  <si>
    <t>SYKES ENTERPRISES NORWAY AS</t>
  </si>
  <si>
    <t>33003ea0-93e5-11eb-b5f6-816dd10ac7b0</t>
  </si>
  <si>
    <t>Foundever</t>
  </si>
  <si>
    <t>Dalen legesenter</t>
  </si>
  <si>
    <t>NO, Norway, Vestland, Bergen, 5147, Folke Bernadottes vei, 52, 60.348956, 5.291796 | NO, Norway, Vestland, Bergen, 5147, Folke Bernadottes vei, 50, 60.34980199999999, 5.289797300000001</t>
  </si>
  <si>
    <t>Discover customer service jobs at Foundever, working with +750 of the world's leading brands. Explore work-from-home, hybrid, and on-site career opportunities in a company with an award-winning culture. Easily apply online. Sitel Group &amp; SYKES are now Foundever.</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</si>
  <si>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</si>
  <si>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</si>
  <si>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pÃ¥ vÃ¥re hjemmesider. Du finner ogsÃ¥ viktige meldinger, Ã¥pningstider og kontaktinformasjon.</t>
  </si>
  <si>
    <t>Medical / Health Services - Not Otherwise Classified | Physiotherapists / Occupational Therapists | Physicians and Surgeons (Specialist Surgeons) | Physicians and Surgeons (No Specialist Surgeons) | Podiatrists / Chiropodists</t>
  </si>
  <si>
    <t>808001 | 801801 | 801201 | 801101 | 802501</t>
  </si>
  <si>
    <t>53 00 11 01</t>
  </si>
  <si>
    <t>https://jobs.foundever.com/</t>
  </si>
  <si>
    <t>https://www.facebook.com/foundever.usa</t>
  </si>
  <si>
    <t>https://www.instagram.com/foundever_life/</t>
  </si>
  <si>
    <t>https://www.linkedin.com/company/foundever/</t>
  </si>
  <si>
    <t>https://www.youtube.com/@FoundeverLife</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</si>
  <si>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</si>
  <si>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2020-10-27T16:00:36.000Z</t>
  </si>
  <si>
    <t>GARTNER ADVISORY (SINGAPORE) PTE LTD</t>
  </si>
  <si>
    <t>4b912e03-2d51-11ed-9dca-a136f2c2d761</t>
  </si>
  <si>
    <t>Gartner Advisory (S) Pte Ltd</t>
  </si>
  <si>
    <t>AEC Technical Advisory | AEC Technical Advisory Singapore</t>
  </si>
  <si>
    <t>Straits View</t>
  </si>
  <si>
    <t>SG, Singapore, Central, Singapore, 038987, Temasek Boulevard, 7, 1.295351, 103.8583839</t>
  </si>
  <si>
    <t>AEC Technical Advisory is a Singapore-based company that offers a comprehensive range of Architecture and Engineering Services. They specialize in providing PE endorsements and Authority Submissions for various types of projects, including Industrial, Commercial, Residential, High rise, and underground works. With experience in both large infrastructure projects (LTA, JTC, PUB) and high-rise private client projects, they also handle A&amp;A works such as Awnings, Trellis, Hacking of Walls, BCA Periodic Structural Inspection, and BCA Perioidic Facade Inspection. Additionally, they handle Architectural services such as URA change of Use, SCDF Fire Safety Certificate, LTA roads clearance, Nparks, and PUB Drainage and Sewer. Specialist works include development plans for En Bloc, risk management facilitation, and preparing tender bids for clients.</t>
  </si>
  <si>
    <t>Technical Advisory Services | Design Drawings Services | Tender Bid Preparation | LTA Roads Clearance | High-rise Private Client Projects | PE Endorsement Services | Authority Submissions | Repair Solutions | Lightning Protection | Temporary Structures Design | Mechanical and Electrical Design | PE Endorsement | Awnings and Trellis | Structural Strengthening | Large-scale Infrastructure Projects | Building Information Modelling | Material Endorsements | Interior Design Services | Landed Property Design, Drawings, and Approvals | Industrial And Commercial | Geotechnical Engineering Consultation | Geotextile Solutions for Settlement | Development Plan for En Bloc | BCA Periodic Structural Inspection | Construction &amp; Renovation | Risk Management Facilitation | PUB Drainage and Sewer | Architecture and Engineering Services | Structural Inspection | Facade Inspection</t>
  </si>
  <si>
    <t>We also work on A&amp;A works and helping our clients on projects such as Awnings, Trellis, Hacking of Walls, BCA Periodic Structural Inspection, BCA Perioidic Facade Inspection and Others.</t>
  </si>
  <si>
    <t>AEC Technical Advisory is a one stop 360 solution for Architecture and Engineering Services in Singapore. We provide PE endorsements and Authority Submissions for every kind of project whether it be small to large scale works. Focused on Industrial, Commercial, Residential, High rise and underground works. We have experience in large infrastructure projects (LTA, JTC, PUB) to High rise private client projects. We also work on A&amp;A works and helping our clients on projects such as Awnings, Trellis, Hacking of Walls, BCA Periodic Structural Inspection , BCA Perioidic Facade Inspection and Others. For Architectural works, we handle URA change of Use, SCDF Fire Safety Certificate, LTA roads clearance, Nparks and PUB Drainage and Sewer. Specialist works include development plan for En Bloc, risk management facilitator (RMF) and preparing tender bid for clients. Please contact us for a non-obligatory quote to any engineering or architectural services we provide at contact@aectechnicalsg.com or whatsapp us at 65-8385 9933.</t>
  </si>
  <si>
    <t>Engineering Services | Architectural Services | Residential High Rise | Construction Contractor | Structural Inspection | Large Scale Works | Tendering &amp; Bidding | Construction | Engineering | Development Planning</t>
  </si>
  <si>
    <t>Other Engineering Services</t>
  </si>
  <si>
    <t>8711 | 8748</t>
  </si>
  <si>
    <t>Engineering Services | Business Consulting Services, NEC (traffic consultants)</t>
  </si>
  <si>
    <t>6771 3700</t>
  </si>
  <si>
    <t>+6583859933 | +6596661180</t>
  </si>
  <si>
    <t>contact@aectechnicalsg.com</t>
  </si>
  <si>
    <t>https://www.gartner.com/en/contact/worldwide-offices/apac</t>
  </si>
  <si>
    <t>https://www.instagram.com/aectechnicalsg/</t>
  </si>
  <si>
    <t>http://www.linkedin.com/company/aec-technical-advisory-singapore</t>
  </si>
  <si>
    <t>2022-09-04T01:34:03.000Z</t>
  </si>
  <si>
    <t>GARTNER NORGE AS</t>
  </si>
  <si>
    <t>21d91ebf-1b00-11ec-a8e8-f10d0988514b</t>
  </si>
  <si>
    <t>Gartner Norge</t>
  </si>
  <si>
    <t>Karenslyst Allé</t>
  </si>
  <si>
    <t>NO, Norway, Oslo, Oslo, 0277, Karenslyst allÃ©,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</si>
  <si>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</si>
  <si>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</si>
  <si>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</si>
  <si>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23 08 51 00</t>
  </si>
  <si>
    <t>http://www.gartner.com/</t>
  </si>
  <si>
    <t>2021-08-21T03:15:33.000Z</t>
  </si>
  <si>
    <t>GBT TRAVEL SERVICES UK LIMITED</t>
  </si>
  <si>
    <t>0165a523-f0b3-11ee-849e-f5d408dc71cd</t>
  </si>
  <si>
    <t>Amex GBT 5CP</t>
  </si>
  <si>
    <t>PAF Securitisation No. 1 Plc.</t>
  </si>
  <si>
    <t>PAF SECURITISATION NO. | PAF Securitisation No. 1</t>
  </si>
  <si>
    <t>E14 5HU</t>
  </si>
  <si>
    <t>Churchill Place</t>
  </si>
  <si>
    <t>GB, United Kingdom, England, London, E14 5HU, Churchill Place, 5, 51.504577, -0.0132848</t>
  </si>
  <si>
    <t>PAF Securitisation No. 1, legally known as PAF Securitisation No. 1 Plc., is a London-based company in England, authorized by the United Kingdom Prudential Regulation Authority (Ukra) to conduct general insurance business and holding a United Kingdom Financial Services Licence (Ukfsl). The company offers a diverse portfolio of insurance products, including property and casualty insurance, environmental insurance, and risk engineering services. 1 Plc serves multinational corporations, mid-size companies, small businesses, and high-net-worth individuals. The company is known for its extensive product and service offerings, broad distribution capabilities, and direct-to-consumer platform partnerships.</t>
  </si>
  <si>
    <t>Financial Services | Property and Casualty Insurance | Mining Rehabilitation Bonds | Environmental Insurance | Management Consulting Services | Credit Enhancement | Lease Bonds | Building Warranty Insurance | Freight Insurance | Risk Engineering Services</t>
  </si>
  <si>
    <t>Innovating Solutions in the United Kingdom. PAF Securitisation No. 1 Plc is a United Kingdom company authorized by the United Kingdom Prudential Regulation Authority (UKRA) to conduct general insurance business and holds a United Kingdom Financial Services Licence (UKFSL). Contact Us Credit Enhancement Surety Bonds Lease Bonds Construction Warranty Insurance Mining Rehabilitation Bonds Risk Partners</t>
  </si>
  <si>
    <t>Innovating Solutions in the United Kingdom. PAF Securitisation No. 1 Plc is a United Kingdom company authorized by the United Kingdom Prudential Regulation Authority (UKRA) to conduct general insurance business and holds a United Kingdom Financial Services Licence (UKFSL). PAF Securitisation No. 1 Plc â€“ Who we are. We provide a diverse portfolio of products for insurance, Bonds and credit enhancement that we support directly. We pride ourself on providing personalised service to our clients, and we work closely with our clients and partners to ensure that our products meet different needs. The company has a team of experienced underwriters who have deep knowledge of the insurance, banking and surety bond industry and are dedicated to providing high-quality solutions for our clients. We are driven by our companies core values that defines our approach to work, collaboration and employee well-being. Show up every day, be curious, solve problems, help others. "How can I make a difference?".</t>
  </si>
  <si>
    <t>Credit Enhancement | Warranties &amp; Insurance | Surety Bonding | Freight Insurance | General Insurance | Financial Services | Clients &amp; Colleagues | Employees Well Being | Claim Processing | Claims Information</t>
  </si>
  <si>
    <t>6331 | 6351</t>
  </si>
  <si>
    <t>Fire, Marine, and Casualty Insurance (fire, marine, and casualty insurers-direct, except contact lens insurance) | Surety Insurance (financial responsibility insurers-direct)</t>
  </si>
  <si>
    <t>01273 521268</t>
  </si>
  <si>
    <t>info@pafsecuritisationno1plc.com</t>
  </si>
  <si>
    <t>20info@pafsecuritisationno1plc.com</t>
  </si>
  <si>
    <t>http://americanexpressgbt.com/</t>
  </si>
  <si>
    <t>2024-02-22T11:27:04.000Z</t>
  </si>
  <si>
    <t>Genex Infosys Limited</t>
  </si>
  <si>
    <t>ce7a4c04-93e4-11eb-90d2-e3355a7e800b</t>
  </si>
  <si>
    <t>Genex Infosys PLC.</t>
  </si>
  <si>
    <t>Genex Infosys</t>
  </si>
  <si>
    <t>Tongi Diversion Road</t>
  </si>
  <si>
    <t>C/A</t>
  </si>
  <si>
    <t>BD, Bangladesh, Dhaka Division, Dhaka, 1215, Front Road, , 23.834505699999998, 90.418494</t>
  </si>
  <si>
    <t>Bangladesh-based business process outsourcing and IT services company providing contact centre, back office and technology solutions.</t>
  </si>
  <si>
    <t>BPO; contact centre; IT services; outsourcing; customer service; back office</t>
  </si>
  <si>
    <t>Dhaka-based BPO and IT services provider.</t>
  </si>
  <si>
    <t>Genex Infosys Limited is a Bangladeshi BPO and IT services company offering contact centre operations, customer experience management, back-office processing and technology services to clients in telecom, banking and other industries.</t>
  </si>
  <si>
    <t>customer support; inbound &amp; outbound services; CX management; process outsourcing; IT-enabled services</t>
  </si>
  <si>
    <t>BPO &amp; Customer Experience Services</t>
  </si>
  <si>
    <t>Business process outsourcing and IT-enabled services</t>
  </si>
  <si>
    <t>Administrative and Support Services / ICT</t>
  </si>
  <si>
    <t>Business Services, NEC</t>
  </si>
  <si>
    <t>09612-111000</t>
  </si>
  <si>
    <t>info@genexinfosys.com</t>
  </si>
  <si>
    <t>69nfo@genexinfosys.com</t>
  </si>
  <si>
    <t>https://genexinfosys.com/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</si>
  <si>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</si>
  <si>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</si>
  <si>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</si>
  <si>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</si>
  <si>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</si>
  <si>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</si>
  <si>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GEO ENTERTAINMENT TELEVISION (PVT.) LIMITED</t>
  </si>
  <si>
    <t>23524480-93e5-11eb-b5f6-816dd10ac7b0</t>
  </si>
  <si>
    <t>Geo Entertainment Television (Pvt) Ltd.</t>
  </si>
  <si>
    <t>Geo Tv Network | Geo News | Geo TV | Geo Television Network</t>
  </si>
  <si>
    <t>Khayaban-e-Ittehad</t>
  </si>
  <si>
    <t>PK, Pakistan, Sindh, Karachi Division, , , , ,  | PK, Pakistan, Sindh, Karachi, 74400, Dr. Ziauddin Road (Katchery Road), , 24.842262400000003, 67.03021249999999 | PK, Pakistan, Islamabad Capital Territory, Islamabad, 44000, Ataturk Avenue, , 33.726009999999995, 73.08876 | PK, Pakistan, Sindh, Ø­ÛŒØ¯Ø±Ø¢Ø¨Ø§Ø¯, 91000, , , 25.385801199999996, 68.3580314</t>
  </si>
  <si>
    <t>Har Pal Geo home of Tv serials</t>
  </si>
  <si>
    <t>Entertainment Show Production | Investigative Journalism Content | Media Content Distribution | Media Industry Analysis | Talk Show Programming | Satellite Television Services | Television Programming Production | Current Affairs Coverage | Digital News Streaming | Cultural Programming Content | Television Audience Research | News Broadcasting Services | Media Advertising Solutions | Audience Engagement Platforms</t>
  </si>
  <si>
    <t>GEO will propagate transparency of responsibility that will ensure its position as the most credible and meaningful source of information, through quality programming based on issues.</t>
  </si>
  <si>
    <t>Geo News is a Pakistani news channel owned by the Jang Media Group. It was launched in October 2002 as the news and current affairs program was under its flagship channel Geo TV, which later in 2004, Geo TV decided to launch its own news channel.</t>
  </si>
  <si>
    <t>Media | News News | Television Networks | Sports | Media Broadcasting and Distribution</t>
  </si>
  <si>
    <t>Directory and Mailing List Publishers</t>
  </si>
  <si>
    <t>Television Broadcasting</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</si>
  <si>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</si>
  <si>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</si>
  <si>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Newspaper / Magazine Publishing / Printing | Motion Picture / Television Production (incl Commercials) | Television / Radio Stations (No Stage / Scenery Storage) | Motion Picture / Television Distribution (incl Exchanges) | Retail - Audio / Video Media Sales / Rentals (Music / Movies / Etc)</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</si>
  <si>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</si>
  <si>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</si>
  <si>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</si>
  <si>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</si>
  <si>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271001 | 781101 | 489101 | 781201 | 571501</t>
  </si>
  <si>
    <t>(021) 32271133</t>
  </si>
  <si>
    <t>+9251111436111 | +966557597164 | +923028370448 | +9221111436111 | +971501138392</t>
  </si>
  <si>
    <t>shaheen.raza@geo.tv</t>
  </si>
  <si>
    <t>yousuf.aslam@geo.tv | editorgeo.tv@immcorporate.com</t>
  </si>
  <si>
    <t>uzair.ahmed@geo.tv | aliraza@geo.tv | ali.sheikh@geo.tv | ahmad.faraz@geo.tv | syndication@geo.tv | mhassan.rizvi@geo.tv | khurram.siddiqi@geo.tv | naseer.rana@geo.tv | shakeel.ahmad@geo.tv | shaheen.raza@geo.tv | muaaz.ahsan@geo.tv | uzair.lakdawalla@geo.tv | saquib.malik@geo.tv</t>
  </si>
  <si>
    <t>http://www.harpalgeo.tv/</t>
  </si>
  <si>
    <t>https://www.facebook.com/harpalgeotv</t>
  </si>
  <si>
    <t>https://twitter.com/harpalgeotv</t>
  </si>
  <si>
    <t>https://www.instagram.com/harpalgeotv/</t>
  </si>
  <si>
    <t>http://www.linkedin.com/company/geo-tv-network</t>
  </si>
  <si>
    <t>https://www.youtube.com/channel/UCe9JSDmyqNgA_l2BzGHq1Ug?sub_confirmation=1</t>
  </si>
  <si>
    <t>web servers: ibm websphere application server | analytics: doubleclick | javascript libraries: core-js | web servers: empathy platform | web frameworks: bonfire | video players: videojs | javascript frameworks: datatables | widgets: css | javascript frameworks: amp | web frameworks: microsoft asp.net | rum: cloudflare browser insights | authentication: google sign-in | font scripts: google font api | cache tools: varnish | advertising: google publisher tag | miscellaneous: http/3 | video players: youtube | javascript graphics: d3 | cookie compliance: funding choices | miscellaneous: touchswipe | cms: site.com | widgets: facebook | advertising networks: google doubleclick for publishers (dfp) | cdn: google hosted libraries | miscellaneous: open graph | captchas: recaptcha | network devices: html | miscellaneous: jquery easing | seo tool: facebook friendly | network devices: html5 | web frameworks: codeigniter | retargeting: google doubleclick for publishers (dfp) | analytics: cloudflare browser insights | widgets: sharethis | advertising networks: doubleclick for publishers (dfp) | tag managers: google tag manager | analytics: facebook analytics | javascript libraries: jquery | retargeting: facebook | advertising: prebid | analytics: chartbeat | widgets: javascript | widgets: outbrain | advertising: doubleclick campaign manager (dcm) | javascript libraries: datatables | seo tool: twitter friendly | analytics: google interactive media ads | cdn: cloudflare | programming languages: php | advertising: doubleclick for publishers (dfp) | advertising: google adsense | javascript frameworks: jquery | analytics: google analytics</t>
  </si>
  <si>
    <t>2019-11-24T01:49:38.000Z</t>
  </si>
  <si>
    <t>GINTEL AS</t>
  </si>
  <si>
    <t>404994d0-93e5-11eb-8474-3bbe2d07207d</t>
  </si>
  <si>
    <t>Gintel</t>
  </si>
  <si>
    <t>Gintel AS | Gintel Norway</t>
  </si>
  <si>
    <t>Otto Nielsens veg</t>
  </si>
  <si>
    <t>NO, Norway, TrÃ¸ndelag, Trondheim, 7052, Otto Nielsens veg, 12, 63.42207589999999, 10.437779500000001</t>
  </si>
  <si>
    <t>Gintel provides powerful, carrier-grade Cloud PBX and B2B services for your corporate, enterprise and SME customers.</t>
  </si>
  <si>
    <t>contact centre; enterprise telephony; telecom software; value-added services; cloud</t>
  </si>
  <si>
    <t>Trondheim-based provider of contact centre and telecom value-added service software.</t>
  </si>
  <si>
    <t>Gintel AS develops software platforms that allow telecom operators and service providers to offer cloud-based contact centres, enterprise telephony and advanced call handling services to business customers.</t>
  </si>
  <si>
    <t>cloud contact centre; virtual PBX; call recording; routing; telecom VAS; operator solutions</t>
  </si>
  <si>
    <t>Contact Centre &amp; Enterprise Telephony Software</t>
  </si>
  <si>
    <t>Telecom value-added and contact centre software</t>
  </si>
  <si>
    <t>Information &amp; Communication Technology / Telecommunications</t>
  </si>
  <si>
    <t>73 18 70 00</t>
  </si>
  <si>
    <t>+442037146065 | +4773187000</t>
  </si>
  <si>
    <t>sales@gintel.com</t>
  </si>
  <si>
    <t>anders.solhaug@gintel.com</t>
  </si>
  <si>
    <t>https://www.gintel.com/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</si>
  <si>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</si>
  <si>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</si>
  <si>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</si>
  <si>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2019-11-24T02:53:15.000Z</t>
  </si>
  <si>
    <t>GLOBALCONNECT A/S</t>
  </si>
  <si>
    <t>d9a64075-93e4-11eb-9937-4fab995bf8ff</t>
  </si>
  <si>
    <t>Gigacontent - A GlobalConnect service</t>
  </si>
  <si>
    <t>GlobalConnect A/S.</t>
  </si>
  <si>
    <t>GlobalConnect | GlobalConnectBook | GlobalConnect Denmark</t>
  </si>
  <si>
    <t>Taastrup</t>
  </si>
  <si>
    <t>Hørskætten</t>
  </si>
  <si>
    <t>DK, Denmark, Capital Region of Denmark, Copenhagen, 2450, Havneholmen, 6, 55.660288, 12.558139</t>
  </si>
  <si>
    <t>Danish telecommunications company</t>
  </si>
  <si>
    <t>fibre; connectivity; data centres; telecom; wholesale; enterprise services</t>
  </si>
  <si>
    <t>Nordic digital infrastructure provider focused on fibre connectivity and data centres.</t>
  </si>
  <si>
    <t>GigaContent</t>
  </si>
  <si>
    <t>fibre backbone; Ethernet services; IP-VPN; data centre colocation; internet access; wholesale capacity</t>
  </si>
  <si>
    <t>Fibre Network &amp; Data Communications Services</t>
  </si>
  <si>
    <t>Fibre connectivity, internet and data centre services</t>
  </si>
  <si>
    <t>77 30 30 77</t>
  </si>
  <si>
    <t>+4531584360 | +4577303101 | +4526759722 | +4570208733 | +4577302925 | +4577303000 | +4577302997 | +4577303188 | +4538401600 | +4570151526 | +4525507267</t>
  </si>
  <si>
    <t>kontakt@globalconnect.dk</t>
  </si>
  <si>
    <t>info@gigacontent.dk</t>
  </si>
  <si>
    <t>omc-manager@globalconnect.dk | pm@globalconnect.dk | disconnect@globalconnect.dk | escalation@globalconnect.dk | cm@globalconnect.dk</t>
  </si>
  <si>
    <t>http://www.gigacontent.dk/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</si>
  <si>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</si>
  <si>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</si>
  <si>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</si>
  <si>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2019-11-24T01:44:18.000Z</t>
  </si>
  <si>
    <t>Glory Fashions Ltd.</t>
  </si>
  <si>
    <t>fe92eb43-93e4-11eb-9937-4fab995bf8ff</t>
  </si>
  <si>
    <t>Glory Textile &amp; Apparels Ltd</t>
  </si>
  <si>
    <t>Glory Fashion Ltd.</t>
  </si>
  <si>
    <t>Glory Fashions</t>
  </si>
  <si>
    <t>Gulshan Avenue</t>
  </si>
  <si>
    <t>BD, Bangladesh, Dhaka Division, Dhaka, 1213, , , 23.784472700176334, 90.40979983863515</t>
  </si>
  <si>
    <t>Bangladesh-based garment manufacturer producing knitwear and woven apparel for international brands.</t>
  </si>
  <si>
    <t>garments; apparel manufacturing; knitwear; woven; export; fashion</t>
  </si>
  <si>
    <t>Bangladeshi apparel manufacturer supplying international fashion brands.</t>
  </si>
  <si>
    <t>Glory Fashions Ltd. is a garment manufacturing company in Bangladesh producing knit and woven apparel items such as t-shirts, polo shirts and casual wear for export markets and global fashion brands.</t>
  </si>
  <si>
    <t>OEM manufacturing; knit garments; woven garments; export-oriented; fashion production</t>
  </si>
  <si>
    <t>Apparel &amp; Garment Manufacturing</t>
  </si>
  <si>
    <t>Manufacture of garments for export</t>
  </si>
  <si>
    <t>Women's, Misses', and Juniors' Outerwear, Not Elsewhere Classified</t>
  </si>
  <si>
    <t>Manufacture of wearing apparel, except fur apparel</t>
  </si>
  <si>
    <t>Manufacture of other outerwear</t>
  </si>
  <si>
    <t>2588177356</t>
  </si>
  <si>
    <t>+88028713457 | +88029890389</t>
  </si>
  <si>
    <t>alaksaha@gloryfashions.com</t>
  </si>
  <si>
    <t>https://gloryfashions.com/</t>
  </si>
  <si>
    <t>http://www.linkedin.com/company/glory-fashion</t>
  </si>
  <si>
    <t>web servers: litespeed | miscellaneous: http/3 | editors: dreamweaver | network devices: html | programming languages: adobe flash | widgets: javascript</t>
  </si>
  <si>
    <t>2020-05-29T21:24:21.000Z</t>
  </si>
  <si>
    <t>Goecker Service A/S</t>
  </si>
  <si>
    <t>eb6bf704-93e4-11eb-97db-273ba5953680</t>
  </si>
  <si>
    <t>Goecker</t>
  </si>
  <si>
    <t>Goecker A/S.</t>
  </si>
  <si>
    <t>Goecker since 1862</t>
  </si>
  <si>
    <t>Svanevej</t>
  </si>
  <si>
    <t>DK, Denmark, Capital Region of Denmark, Copenhagen, 2400, Svanevej, 24, 55.698562, 12.533266 | DK, Denmark, Central Denmark Region, Aarhus, 8240, Sindalsvej, 30B, 56.210102, 10.212414</t>
  </si>
  <si>
    <t>Goecker tilbyder dig markedets største udvalg inden for foto og video. Rådgivning, kurser og service. Foto/video butik i både København og Århus.</t>
  </si>
  <si>
    <t>photo equipment; video; cameras; reseller; service; rental</t>
  </si>
  <si>
    <t>Copenhagen-based supplier of professional photographic and video equipment.</t>
  </si>
  <si>
    <t>Goecker Service A/S is a Denmark-based reseller and service partner for professional photographic and video equipment, offering cameras, lenses, lighting, accessories and technical support to photographers, studios and broadcasters.</t>
  </si>
  <si>
    <t>camera reselling; studio equipment; rentals; repairs; professional imaging solutions</t>
  </si>
  <si>
    <t>Photographic Equipment and Supplies Merchant Wholesalers</t>
  </si>
  <si>
    <t>Professional Photo &amp; Video Equipment</t>
  </si>
  <si>
    <t>Reselling and servicing professional imaging equipment</t>
  </si>
  <si>
    <t>Wholesale and Retail Trade</t>
  </si>
  <si>
    <t>Miscellaneous Retail Stores, Not Elsewhere Classified</t>
  </si>
  <si>
    <t>Other retail sale of new goods in specialised stores</t>
  </si>
  <si>
    <t>35 82 11 00</t>
  </si>
  <si>
    <t>+4570205515 | +46317203480 | +4536927799 | +49644120800 | +4538887869 | +4631102460 | +4520013536 | +4580251425 | +4538322724 | +4532729210 | +4530706706 | +4538887868 | +4577346201 | +4535821100 | +4532452000 | +4573238315</t>
  </si>
  <si>
    <t>service@dfaservice.dk</t>
  </si>
  <si>
    <t>info@goecker.dk</t>
  </si>
  <si>
    <t>kundeservic@goecker.dk</t>
  </si>
  <si>
    <t>https://www.goecker.dk/</t>
  </si>
  <si>
    <t>https://www.facebook.com/Goecker.AS</t>
  </si>
  <si>
    <t>https://twitter.com/GoeckerAB</t>
  </si>
  <si>
    <t>https://www.instagram.com/goeckerdanmark/</t>
  </si>
  <si>
    <t>http://www.linkedin.com/company/goecker-a-s</t>
  </si>
  <si>
    <t>https://www.youtube.com/channel/UCe-Iya5cAIYOyEM_uKAWWIA</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</si>
  <si>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</si>
  <si>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2019-11-24T13:01:45.000Z</t>
  </si>
  <si>
    <t>GOGIFT.COM A/S</t>
  </si>
  <si>
    <t>b8ca3bec-93e4-11eb-9937-4fab995bf8ff</t>
  </si>
  <si>
    <t>GoGift</t>
  </si>
  <si>
    <t>GoGift A/S.</t>
  </si>
  <si>
    <t>Strandgade</t>
  </si>
  <si>
    <t>4C</t>
  </si>
  <si>
    <t>DK, Denmark, Capital Region of Denmark, Copenhagen, 2500, Mosedalvej, 14, 55.667812, 12.513982 | DK, Denmark, Region Zealand, Vordingborg, 4760, BogÃ¸vej, 6, 54.9968232, 11.8998972</t>
  </si>
  <si>
    <t>GoGift helps companies send digital gift cards across borders and currencies — with access to trusted, local brands employees and clients already love.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</si>
  <si>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</si>
  <si>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</si>
  <si>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</si>
  <si>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</si>
  <si>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Gift Shops</t>
  </si>
  <si>
    <t>Alcoholic Beverages</t>
  </si>
  <si>
    <t>FB-AB</t>
  </si>
  <si>
    <t>Beverages</t>
  </si>
  <si>
    <t>FB.2</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</si>
  <si>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</si>
  <si>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</si>
  <si>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4773 | 4789 | 4791 | 4799</t>
  </si>
  <si>
    <t>Other retail sale of new goods in specialized stores | Retail sale via stalls and markets of other goods | Retail sale via mail order houses or via Internet | Other retail sale not in stores, stalls or markets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</si>
  <si>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</si>
  <si>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</si>
  <si>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70 89 00 60</t>
  </si>
  <si>
    <t>+4527322034 | +4538237020 | +4570890060 | +4570890063</t>
  </si>
  <si>
    <t>global@gogift.com</t>
  </si>
  <si>
    <t>https://www.gogift.com/</t>
  </si>
  <si>
    <t>https://linkedin.com/company/gogift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</si>
  <si>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</si>
  <si>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2019-11-24T02:42:29.000Z</t>
  </si>
  <si>
    <t>Google Asia Pacific Pte. Ltd.</t>
  </si>
  <si>
    <t>1d514729-01ae-11ef-ba8c-a5c322c4d97c</t>
  </si>
  <si>
    <t>Google Singapore</t>
  </si>
  <si>
    <t>Pasir Panjang Road</t>
  </si>
  <si>
    <t>SG, Singapore, Southwest, , 117371, Pasir Panjang Road, 70, 1.2780316, 103.7867696</t>
  </si>
  <si>
    <t>Singaporean subsidiary of Google LLC</t>
  </si>
  <si>
    <t>online advertising; search; cloud; regional HQ; technology; platforms</t>
  </si>
  <si>
    <t>Google regional entity managing Asia Pacific operations from Singapore.</t>
  </si>
  <si>
    <t>As our Asia-Pacific headquarters, our Singapore office plays a pivotal role in our global strategy to reach millions of users around the region. Our engineers here are building new products for the next wave of users coming online, and making critical contributions to global products such as Google Pay. Our advertising and Cloud teams serve multinational and small, local businesses, while our partnership teams support creators, developers, and publishers across the region. Our Googlers also do crucial work in fields like Finance, People Operations, Marketing, and Legal. In a country with four official languages (English, Chinese, Malay, and Tamil), we celebrate our multiculturalism everyday in the office. Want to work at the crossroads of commerce in one of the world’s fastest-growing regions and be within a six-hour flight to some of the coolest destinations in Asia-Pacific? Come to Google Singapore and make an impact.</t>
  </si>
  <si>
    <t>Google Ads; YouTube; Google Cloud; regional sales; partnerships; support</t>
  </si>
  <si>
    <t>Internet Services &amp; Online Advertising</t>
  </si>
  <si>
    <t>Online platforms, advertising and regional tech operations</t>
  </si>
  <si>
    <t>Information Retrieval Services</t>
  </si>
  <si>
    <t>Web portals</t>
  </si>
  <si>
    <t>6521 8000</t>
  </si>
  <si>
    <t>http://www.google.com.sg/about/careers/locations/sing</t>
  </si>
  <si>
    <t>vi</t>
  </si>
  <si>
    <t>https://www.facebook.com/lifeatgoogle/</t>
  </si>
  <si>
    <t>https://twitter.com/lifeatgoogle</t>
  </si>
  <si>
    <t>https://www.instagram.com/lifeatgoogle/</t>
  </si>
  <si>
    <t>https://www.linkedin.com/company/google/jobs/</t>
  </si>
  <si>
    <t>https://www.youtube.com/lifeatgoogle</t>
  </si>
  <si>
    <t>2024-04-15T08:06:42.000Z</t>
  </si>
  <si>
    <t>Google Cloud EMEA Limited</t>
  </si>
  <si>
    <t>a7fea907-199d-11f0-9eba-c9ebbf6c8560</t>
  </si>
  <si>
    <t>Google Dublin - Gordon House</t>
  </si>
  <si>
    <t>Google Cloud</t>
  </si>
  <si>
    <t>D04 E5W5</t>
  </si>
  <si>
    <t>Barrow Street</t>
  </si>
  <si>
    <t>US, United States, California, Mountain View, 94043, Amphitheatre Parkway, 1600, 37.4217636, -122.084614 | US, United States, California, San Bruno, 94066, Cherry Avenue, 901, 37.628145950000004, -122.4264270211096 | IE, Ireland, Leinster, Dublin 4, , , , 53.32750729999999, -6.227487166789869</t>
  </si>
  <si>
    <t>Google has offices in nearly 60 countries. View a directory of our locations around the world.</t>
  </si>
  <si>
    <t>The Publisher Query Language (PQL) Developer's Guide Ad Manager SOAP API Google for Developers</t>
  </si>
  <si>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</si>
  <si>
    <t>8999 | 2741 | 8999 | 2771 | 2731 | 2711 | 7389 | 2721</t>
  </si>
  <si>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</si>
  <si>
    <t>9101 | 6312 | 6399</t>
  </si>
  <si>
    <t>Library and archives activities | Web portals | Other information service activities n.e.c.</t>
  </si>
  <si>
    <t>91.01 | 63.12 | 63.99</t>
  </si>
  <si>
    <t>(01) 436 1000</t>
  </si>
  <si>
    <t>+14155550132 | +18007490205 | +18889358880 | +18667777550 | +12018021501 | +18004267378 | +14155550188 | +18778243983 | +18339992889 | +18003345144 | +12015090119</t>
  </si>
  <si>
    <t>bq-project-config-service@google.com</t>
  </si>
  <si>
    <t>https://www.google.ie/about/company/facts/locations/</t>
  </si>
  <si>
    <t>https://www.facebook.com/GoogleCloudHK/</t>
  </si>
  <si>
    <t>https://twitter.com/googledevs</t>
  </si>
  <si>
    <t>https://www.instagram.com/googlefordevs/</t>
  </si>
  <si>
    <t>https://www.linkedin.com/showcase/googledevelopers</t>
  </si>
  <si>
    <t>https://www.youtube.com/googlecloud</t>
  </si>
  <si>
    <t>2025-04-14T08:22:47.000Z</t>
  </si>
  <si>
    <t>GOOGLE COMMERCE LIMITED</t>
  </si>
  <si>
    <t>be55a775-c4b2-11ec-af9f-718ab7b26330</t>
  </si>
  <si>
    <t>Google Commerce Limited</t>
  </si>
  <si>
    <t>IE, Ireland, Leinster, Dublin 4, D04 R674, Barrow Street, , 53.3398189, -6.2381879 | US, United States, California, Mountain View, 94043, Amphitheatre Parkway, 1600, 37.4217636, -122.084614</t>
  </si>
  <si>
    <t>online payments; billing; digital services; e-commerce; platforms</t>
  </si>
  <si>
    <t>Dublin-based Google entity handling commerce and billing functions.</t>
  </si>
  <si>
    <t>Google Commerce Limited is an Ireland-based Google company that facilitates billing, payments and commercial transactions for specific Google digital products and services in EMEA.</t>
  </si>
  <si>
    <t>merchant of record; digital content billing; subscriptions; online transactions; platform commerce</t>
  </si>
  <si>
    <t>Digital Commerce &amp; Payments Operations</t>
  </si>
  <si>
    <t>Billing and payments operations for digital services</t>
  </si>
  <si>
    <t>Information &amp; Communication / Financial Services</t>
  </si>
  <si>
    <t>+33185149665 | +34912158627 | +35315339837</t>
  </si>
  <si>
    <t>account-withdrawal@google.com</t>
  </si>
  <si>
    <t>2022-04-25T16:14:11.000Z</t>
  </si>
  <si>
    <t>GOOGLE IRELAND LIMITED</t>
  </si>
  <si>
    <t>c9226d45-aa22-11ed-bb93-cd216f6acc3c</t>
  </si>
  <si>
    <t>Anbieter Google Ireland</t>
  </si>
  <si>
    <t>IE, Ireland, Leinster, Dublin 4, D04 R674, Barrow Street, , 53.3398189, -6.2381879</t>
  </si>
  <si>
    <t>holding company</t>
  </si>
  <si>
    <t>online advertising; search; YouTube; cloud; EMEA sales; technology</t>
  </si>
  <si>
    <t>Dublin-based main Google sales entity for EMEA.</t>
  </si>
  <si>
    <t>Google Ads sales; YouTube ads; Google Cloud sales; partnerships; customer support</t>
  </si>
  <si>
    <t>Sales and support of Google advertising and cloud services</t>
  </si>
  <si>
    <t>info@diessen-mitte.com</t>
  </si>
  <si>
    <t>2023-02-11T15:06:54.000Z</t>
  </si>
  <si>
    <t>GRAMEENPHONE LTD</t>
  </si>
  <si>
    <t>256c6779-12d8-11ec-8e15-2f3e108a1f34</t>
  </si>
  <si>
    <t>Grameenphone Head Office, Dhaka</t>
  </si>
  <si>
    <t>Grameenphone Customer care</t>
  </si>
  <si>
    <t>Bashundhara Residential Area</t>
  </si>
  <si>
    <t>BD, Bangladesh, Dhaka Division, Ashulia, 1341, , , 23.9314913, 90.30737409999999</t>
  </si>
  <si>
    <t>Niu is a Chinese company that specializes in the production and sale of water treatment equipment for various industries, including municipal water treatment, animal husbandry, disinfection, slaughterhouses, life sciences, electric power, paper, leather, baking, catering, oil, food, and coal mining. The company is based in Shenzhen and is committed to modern enterprise management and values, with a focus on integrity and communication. They offer a range of products and services, including water treatment and purification equipment, water treatment plants, and water treatment technology. The equipment is widely used in dozens of industries, and the company is known for its brand excellence, first-class service, and commitment to integrity and mutual benefit.</t>
  </si>
  <si>
    <t>Design Services | Interior Decoration Services | Customer Support Services for Home Appliances | Architectural Services | Customer Care Services | Architecture and Design</t>
  </si>
  <si>
    <t>Grameenphone Customer care is a decorators &amp; interior designer based in Ashulia, Bangladesh.</t>
  </si>
  <si>
    <t>Decorators &amp; Interior Designers</t>
  </si>
  <si>
    <t>Business Services, NEC (interior design)</t>
  </si>
  <si>
    <t>Specialized design activities</t>
  </si>
  <si>
    <t>Specialised design activities</t>
  </si>
  <si>
    <t>01707-479535</t>
  </si>
  <si>
    <t>https://aatsh.com/</t>
  </si>
  <si>
    <t>2021-09-11T07:11:44.000Z</t>
  </si>
  <si>
    <t>Grassfish Denmark ApS</t>
  </si>
  <si>
    <t>09dabf8f-02f4-11ed-97ce-2bd0fada5731</t>
  </si>
  <si>
    <t>Fabrikvej</t>
  </si>
  <si>
    <t>DK, Denmark, Central Denmark Region, Aarhus Municipality, 8260, Fabrikvej, 9, 56.111689, 10.137590000000001</t>
  </si>
  <si>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</si>
  <si>
    <t>Toyota Vehicles | Peugeot Vehicles | Vehicle Rental and Leasing Services | Mercedes-benz Vehicles | Citroen Vehicles | Volkswagen Vehicles | Renault Master Vans | Fiat Vehicles | Car Financing Services | Used Car Dealership</t>
  </si>
  <si>
    <t>Hos Jysk Auto ApS har vi personlig service og fleksibilitet i hÃ¸jsÃ¦det.</t>
  </si>
  <si>
    <t>Hos Jysk Auto ApS har vi personlig service og fleksibilitet i hÃ¸jsÃ¦det. Vi ser pÃ¥ vognen og sÃ¸rger for en hurtig afregning. Vi opkÃ¸ber biler bÃ¥de pÃ¥ SjÃ¦lland som Jylland.</t>
  </si>
  <si>
    <t>Automobile Dealers &amp; Manufacturers</t>
  </si>
  <si>
    <t>Automotive</t>
  </si>
  <si>
    <t>Motor Vehicle Dealers (Used Only)</t>
  </si>
  <si>
    <t>Auto Repair Garage (incl heavy trucks) | Auto Repair Garage (No heavy trucks) | Retail - Auto Parts / accessories (incl installation of accessories) | Auto Dealer (Used) | Auto Dealer (New)</t>
  </si>
  <si>
    <t>Sale of motor vehicles</t>
  </si>
  <si>
    <t>45.11 | 45.19</t>
  </si>
  <si>
    <t>Sale of cars and light motor vehicles | Sale of other motor vehicles</t>
  </si>
  <si>
    <t>551302 | 551301 | 525501 | 551201 | 551101</t>
  </si>
  <si>
    <t>+4524457957 | +4536948302</t>
  </si>
  <si>
    <t>info@jyskauto.dk</t>
  </si>
  <si>
    <t>https://jyskauto.dk/</t>
  </si>
  <si>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</si>
  <si>
    <t>2022-07-06T20:35:42.000Z</t>
  </si>
  <si>
    <t>Green Packet Berhad</t>
  </si>
  <si>
    <t>8f4956d2-8532-11ec-bedf-6b4991910e00</t>
  </si>
  <si>
    <t>Green Packet</t>
  </si>
  <si>
    <t>Green Packet Academy Sdn Bhd. | Green Packet International Sdn Bhd.</t>
  </si>
  <si>
    <t>Green Packet Academy</t>
  </si>
  <si>
    <t>Jalan SS 7/26a</t>
  </si>
  <si>
    <t>MY, Malaysia, Selangor, Petaling Jaya, 47301, Jalan SS 4B/2, 22, 3.1074794, 101.6038436 | IR, Iran, Fars Province, Mohr Rural District, , , , 27.5234367, 52.9206388</t>
  </si>
  <si>
    <t>Green Packet is a Malaysian tech company founded in 2000. Our mission is to ensure that every human must thrive with life-improving digital innovations</t>
  </si>
  <si>
    <t>Intelligent Learning Experience Platform | Learning Experience Platform | Customer-centric Products | AI Monetization | Design Thinking Training | Presentation/impact and Storytelling | Time Management | Power BI Analytics | Data Visualization and Storytelling | Critical Thinking Introduction | Digital Leadership Development | AI in Business | Industry 4.0 Skills Development | Multi-service Platform | Entrepreneurship Training | Microsoft Suite Productivity Tools Training | Big Data Practice and Application | Educational Services | Introduction to Cloud Computing | 5G Impact on Business | Green Packet Academy | Internet of Things: Business Implications | Marketplace for Growth and Learning | Advanced Excel Workshop | Powerpoint Infographics | Basic Business Skills</t>
  </si>
  <si>
    <t>Engage and Develop Digital Talent to Foster Innovation and Digital Leadership &amp; Entrepreneurship to Drive and Accelerate New Economy. Isaac TanChief Executive Officer View profile Tonee SowDirector, Academy Business View profile Amin FanProduct Manager View profile Imran. M Manager, Learning Solutions &amp; Talent Management View profile Lim Zhuan Yeong Platform Developer View</t>
  </si>
  <si>
    <t>Green Packet Academy is a marketplace for growth and learning experience which enables everyone to open the path to new and better opportunities through a single service platform.</t>
  </si>
  <si>
    <t>Educational | Artificial Intelligence | Bigdata | Machine Learning | Talent Management | Educational E-learning Provider | Marketplace | Learning &amp; Development | Education Management | Computer Software</t>
  </si>
  <si>
    <t>Computer Training Schools</t>
  </si>
  <si>
    <t>03-8605 3357</t>
  </si>
  <si>
    <t>gpa@greenpacket.com</t>
  </si>
  <si>
    <t>https://greenpacket.com/</t>
  </si>
  <si>
    <t>https://www.facebook.com/greenpacket/</t>
  </si>
  <si>
    <t>https://www.kiplex.com/</t>
  </si>
  <si>
    <t>https://www.instagram.com/greenpacket/</t>
  </si>
  <si>
    <t>https://www.linkedin.com/company/greenpacket/</t>
  </si>
  <si>
    <t>https://www.youtube.com/user/wifioffload</t>
  </si>
  <si>
    <t>web servers: ibm websphere application server | hosting: bluehost | javascript libraries: core-js | seo: all in one seo pack | miscellaneous: rss | maps: google maps | web servers: empathy platform | analytics: google universal analytics | javascript libraries: swiper | javascript libraries: slick | wordpress plugins: elementor | widgets: css | font scripts: google font api | reverse proxies: nginx | analytics: site kit | wordpress plugins: all in one seo pack | databases: mysql | issue trackers: really simple discovery | wordpress plugins: hubspot wordpress plugin | cms: site.com | analytics: hubspot analytics | wordpress themes: generatepress | miscellaneous: open graph | network devices: html | miscellaneous: jquery easing | javascript libraries: jquery ui | web servers: schannel | network devices: html5 | web servers: apache http server | miscellaneous: facebook | javascript libraries: imagesloaded | cms: wordpress | blogs: wordpress | tag managers: google tag manager | miscellaneous: linkedin | wordpress plugins: site kit | web frameworks: jquery waypoints | javascript libraries: jquery | wordpress plugins: essential addons for elementor | widgets: javascript | font scripts: twitter emoji (twemoji) | marketing automation: hubspot | web servers: nginx | programming languages: php | javascript libraries: jquery migrate | page builders: elementor | miscellaneous: instagram | analytics: google analytics</t>
  </si>
  <si>
    <t>2022-02-02T00:06:01.000Z</t>
  </si>
  <si>
    <t>GreenMind A/S</t>
  </si>
  <si>
    <t>7f603490-93e4-11eb-86dd-ffbd1b53140e</t>
  </si>
  <si>
    <t>GreenMind - Ballerup</t>
  </si>
  <si>
    <t>Greenmind A/S.</t>
  </si>
  <si>
    <t>GreenMind Aalborg</t>
  </si>
  <si>
    <t>Tempovej</t>
  </si>
  <si>
    <t>DK, Denmark, Central Denmark Region, Aarhus, 8000, Guldsmedgade, 2, 56.158042907714844, 10.207151412963867 | DK, Denmark, Region of Southern Denmark, Kolding, 6000, Skovvangen, 42, 55.51390838623047, 9.460065841674805 | DK, Denmark, North Denmark Region, Aalborg, 9000, Bispensgade, 27C, 57.049407958984375, 9.917116165161133 | DK, Denmark, Capital Region of Denmark, Copenhagen, 1620, Vesterbrogade, 84, 55.672691345214844, 12.549440383911133 | DK, Denmark, Capital Region of Denmark, RÃ¸dovre Municipality, 2610, RÃ¸dovre Centrum, 1C, 55.67967987060547, 12.454970359802246 | DK, Denmark, Region Zealand, NÃ¦stved, 4700, Kindhestegade, 28, 55.23112106323242, 11.755232810974121 | DK, Denmark, Region of Southern Denmark, Odense, 5220, Ã˜rbÃ¦kvej, 75, 55.38248825073242, 10.428085327148438 | DK, Denmark, Region Zealand, Slagelse, 4200, Nygade, 7D, 55.404449462890625, 11.354667663574219 | DK, Denmark, Region of Southern Denmark, Vejle, 7100, Borgvold, 12A, 55.705928802490234, 9.535609245300293 | DK, Denmark, Region Zealand, KÃ¸ge, 4600, NÃ¸rregade, 14, 55.45751190185547, 12.183395385742188</t>
  </si>
  <si>
    <t>Hos GreenMind kan du købe brugte telefoner, computere, tablets og andet elektronik med omtanke for miljøet. Alle vores produkter er kvalitetstestet, renset og istandsat af GreenMinds specialister. Se vores store udvalg online og i vores landsdækkende butikker.</t>
  </si>
  <si>
    <t>Electronics Cleaning | Environmentally Friendly Electronic Components | Quality Testing | Nationwide Store Visits | Cleaning and Refurbishing by Specialists | Used Computers | Factory Reset Protection for Phones | Buying and Selling Electronics | Electronics Refurbishment | Retail | Online Sales | Used Phones | Apple Ipad | Apple MacBook | Used Appliances and Electronics Retailer | Electronic Devices</t>
  </si>
  <si>
    <t>Hos GreenMind kan du kÃ¸be brugte telefoner, computere, tablets og andet elektronik med omtanke for miljÃ¸et. Alle vores produkter er kvalitetstestet, renset og istandsat af GreenMinds specialister. Se vores store udvalg online og i vores landsdÃ¦kkende butikker.</t>
  </si>
  <si>
    <t>F.eks. dit foretrukne sprog, eller den region, du befinder dig i. FÃ¥ mere at vide om denne udbyder lastExternalReferrer Identificere hvordan brugeren har tilgÃ¥et siden ved at registrere hvilken hjemmeside brugeren kommer fra. UdlÃ¸b : Permanent Type : Lokalt HTML-lager lastExternalReferrerTime Identificere hvordan brugeren har tilgÃ¥et siden ved at registrere hvilken hjemmeside brugeren kommer fra. FÃ¥ mere at vide om denne udbyder #-# Benyttes til indsamling data omhandlende brugerens interaktion med indlejret indhold. LAST_RESULT_ENTRY_KEY Benyttes til indsamling data omhandlende brugerens interaktion med indlejret indhold. UdlÃ¸b : Permanent Type : IndexedDB nextId Benyttes til indsamling data omhandlende brugerens interaktion med indlejret indhold. s.kk-resources.com kk_leadtag Indsamler data fra individuelle besÃ¸g pÃ¥ hjemmesiden, til udarbejdelse af statistik-rapporter. Perfekt for dig, der er pÃ¥ udkig efter en iPhone til en overkommelig pris. Perfekt til studie, arbejde eller kreativitet.</t>
  </si>
  <si>
    <t>Computer And Accessories | Pre-Owned Phones | Apple MacBook | Apple Ipad | Apple Iphone</t>
  </si>
  <si>
    <t>Electronic and Precision Equipment Repair and Maintenance</t>
  </si>
  <si>
    <t>+4521052024 | +4533155123 | +4536032804 | +4546975050</t>
  </si>
  <si>
    <t>mail@greenmind.dk</t>
  </si>
  <si>
    <t>b2b@greenmind.dk</t>
  </si>
  <si>
    <t>https://greenmind.dk/?utm_source=GMB&amp;utm_medium=visit-website&amp;utm_campaign=ballerup</t>
  </si>
  <si>
    <t>https://www.facebook.com/greenminddanmark/</t>
  </si>
  <si>
    <t>https://www.instagram.com/greenmind.dk</t>
  </si>
  <si>
    <t>https://linkedin.com/company/greenmind-a-s</t>
  </si>
  <si>
    <t>cookie compliance: cookie control | javascript frameworks: underscore.js | javascript libraries: core-js | analytics: facebook custom audiences | ui frameworks: bootstrap | reviews: trustpilot | javascript libraries: webp | web servers: empathy platform | performance: priority hints | ecommerce: woocommerce | web frameworks: bootstrap | miscellaneous: webpack | javascript frameworks: nuxt.js | javascript frameworks: vue.js | widgets: css | ecommerce frontends: vue storefront | ui frameworks: animate.css | miscellaneous: pwa | javascript frameworks: lo-dash | web frameworks: animate.css | font scripts: google font api | security: hsts | blogging platforms: wordpress | web frameworks: express | analytics: google analytics enhanced ecommerce | databases: mysql | reverse proxy: nginx | live chat: livechat | advertising: doubleclick floodlight | cms: site.com | widgets: facebook | web servers: express | javascript libraries: select2 | retargeting: facebook custom audiences | miscellaneous: open graph | captchas: recaptcha | miscellaneous: revslider | network devices: html | font scripts: font awesome | javascript libraries: jquery ui | javascript frameworks: jquery migrate | web servers: schannel | seo tool: facebook friendly | programming languages: node.js | static site generator: nuxt.js | network devices: html5 | miscellaneous: facebook | miscellaneous: gravity forms | lead generation: gravity forms | cms: wordpress | javascript frameworks: jquery ui | tag managers: google tag manager | issue trackers: trackjs | miscellaneous: linkedin | analytics: google campaign manager 360 | cookie compliance: cookiebot | javascript libraries: jquery | retargeting: facebook | web frameworks: nuxt.js | widgets: javascript | javascript frameworks: select2 | seo tool: twitter friendly | javascript libraries: underscore.js | web servers: nginx | retargeting: google dynamic remarketing | cdn: cloudflare | programming languages: php | javascript libraries: jquery migrate | miscellaneous: instagram | javascript frameworks: jquery | analytics: google analytics</t>
  </si>
  <si>
    <t>2020-02-25T08:46:51.000Z</t>
  </si>
  <si>
    <t>grey advertising ( bangladesh) ltd.</t>
  </si>
  <si>
    <t>fd557720-5982-11ec-a195-fb7c9849e658</t>
  </si>
  <si>
    <t>Grey Advertising Bangladesh Ltd.</t>
  </si>
  <si>
    <t>GREY Advertising Bangladesh Ltd.</t>
  </si>
  <si>
    <t>Backpage PR</t>
  </si>
  <si>
    <t>Road 137</t>
  </si>
  <si>
    <t>BD, Bangladesh, Dhaka Division, Dhaka, 1212, Road 128, , 23.783286752287932, 90.41837292125463</t>
  </si>
  <si>
    <t>Grey ranks among the worlds top advertising and marketing agencies providing creative, experiential, social, digital, commerce and health &amp; wellness expertise to one-fifth of the FORTUNE 500.</t>
  </si>
  <si>
    <t>Trouble Shooting | Crisis Communications | Publicity | Influencer Management Services | Media Tracking | Media Liaising Services | Executive Profiling Services | Press Conferences and Webinars | Publishing Services | Image Building | Event Management | Storytelling Agency Services in Bangladesh | Media Coverage | Roundtable Discussions | Stakeholder Management | Deliberate and Unique PR Planning | Media Planning &amp; Buying | Public Relations Agency Services | Media Management Services | Brand Launches | Corporate Social Responsibility Plans | Authentic Content Generation and Profiling</t>
  </si>
  <si>
    <t>Backpage PR is one of the best Public Relations (PR) Agencies in Bangladesh. We passionate about delivering effective and friendly PR services.</t>
  </si>
  <si>
    <t>Backpage PR is a boutique public relations and story telling agency thriving in transmedia storytelling. Starcom Bangladesh's greatest strength is one-stop media planning and buying solution accompanied by data. We are passionate about delivering efficient, effective, responsible and friendly PR services. We are Active 24/7, 365 days. It has a team of strong thinkers, always ready to compete and push all boundaries to deliver sustainable results. The Bangladesh office of Grey Group is the first and only true global advertising agency in Bangladesh. Grey Group is a global advertising and marketing agency with headquarters in New York City, and 432 offices in 96 countries. We assist your brand to introduce to the target audience and lay down the foundation of the brand persona. Projects 535 times our clients trusted us with their communication effort. Seasoned corporate professional in marketing communications with over 18 years of experience across various emerging markets. His expertise lies in telecommunications, consumer electronics, e-commerce, BTL agency, and EdTech sectors.</t>
  </si>
  <si>
    <t>Public Relations | Transmedia Storytelling | Pr Agency | Advertising and Marketing | Advertising Agency | Media Planning &amp; Buying | Electronic Media | Strategic Planning | Work &amp; Experience | Building Campaign</t>
  </si>
  <si>
    <t>02-55044825</t>
  </si>
  <si>
    <t>azam@backpagepr.com</t>
  </si>
  <si>
    <t>info@backpagepr.com</t>
  </si>
  <si>
    <t>http://grey.com/bangladesh</t>
  </si>
  <si>
    <t>https://www.facebook.com/backpagepr/</t>
  </si>
  <si>
    <t>https://twitter.com/impexautoglass</t>
  </si>
  <si>
    <t>http://www.linkedin.com/company/backpage-pr</t>
  </si>
  <si>
    <t>web servers: litespeed | wordpress plugins: rankmath seo | wordpress plugins: wpbakery | seo: rankmath seo | widgets: slider revolution - 5.4.8.3 | blogs: wordpress - 6.3.1 | miscellaneous: rss | maps: google maps | javascript libraries: swiper | javascript libraries: core-js - 3.19.1 | font scripts: google font api | form builders: contact form 7 - 5.6.2 | video players: youtube | databases: mysql | page builders: wpbakery | javascript libraries: jquery - 3.7.0 | miscellaneous: open graph | wordpress plugins: jetpack | javascript libraries: lightbox | programming languages: php - 7.4.33 | javascript libraries: jquery migrate - 3.4.1 | wordpress plugins: contact form 7 - 5.6.2 | video players: mediaelement.js - 4.2.17 | photo galleries: slider revolution - 5.4.8.3 | javascript graphics: chart.js | ssl/tls certificate authorities: sectigo | cms: wordpress - 6.3.1</t>
  </si>
  <si>
    <t>2021-10-19T17:40:12.000Z</t>
  </si>
  <si>
    <t>GSM ASSOCIATION</t>
  </si>
  <si>
    <t>01257d16-93e5-11eb-a33a-a3dfba582839</t>
  </si>
  <si>
    <t>GSMA</t>
  </si>
  <si>
    <t>GSMA Advisory Services Ltd.</t>
  </si>
  <si>
    <t>GSMA Intelligence</t>
  </si>
  <si>
    <t>EC4R 3AB</t>
  </si>
  <si>
    <t>Angel Lane</t>
  </si>
  <si>
    <t>GB, United Kingdom, England, London, EC4R 3AB, Angel Lane, 1, 51.5092977, -0.0907144</t>
  </si>
  <si>
    <t>worldwide industry organization that represents the interests of mobile network operators</t>
  </si>
  <si>
    <t>industry association; mobile; telecom; standards; events; advocacy</t>
  </si>
  <si>
    <t>London-based mobile industry association known for events like MWC.</t>
  </si>
  <si>
    <t>Quick Links   Training  Membership  Working groups  GSMA Intelligence  Open Gateway     Our latest news   The GSMA at COP30  Explore how the GSMA is driving impact through the power of mobile on our dedicated COP30 hub.  Visit the COP30 hub       Climate transition guidance for telcos.  View clim</t>
  </si>
  <si>
    <t>industry programmes; policy advocacy; roaming frameworks; events &amp; exhibitions; mobile standards support</t>
  </si>
  <si>
    <t>Telecom Industry Associations</t>
  </si>
  <si>
    <t>Mobile and telecom industry membership organisation</t>
  </si>
  <si>
    <t>Membership Organisations / Telecommunications</t>
  </si>
  <si>
    <t>Communication Equipment Installation - Residential | Operations Consultants | Management Consultants | Software Developers (Pre-Packaged) | Software Developers (Custom)</t>
  </si>
  <si>
    <t>153401 | 641403 | 641401 | 891801 | 891802</t>
  </si>
  <si>
    <t>sales@gsmaintelligence.com</t>
  </si>
  <si>
    <t>https://www.gsma.com/</t>
  </si>
  <si>
    <t>https://twitter.com/gsma</t>
  </si>
  <si>
    <t>https://www.instagram.com/gsmaglobal/</t>
  </si>
  <si>
    <t>https://www.linkedin.com/company/gsma/</t>
  </si>
  <si>
    <t>https://www.youtube.com/gsma</t>
  </si>
  <si>
    <t>javascript libraries: owl carousel | static site generator: next.js | miscellaneous: rss | web servers: empathy platform | performance: priority hints | cms: craft cms | miscellaneous: webpack | search engines: algolia | ssl/tls certificate authorities: digicert | seo: yoast seo | widgets: css | web frameworks: microsoft asp.net | javascript frameworks: react | cdn: cdnjs | rum: cloudflare browser insights | font scripts: google font api | cache tools: varnish | security: hsts | blogging platforms: wordpress | video players: youtube | web frameworks: yii | databases: mysql | javascript frameworks: moment.js | advertising: doubleclick floodlight | cms: site.com | javascript graphics: highcharts | javascript libraries: select2 | miscellaneous: open graph | captchas: recaptcha | seo: yoast seo premium | cookie compliance: onetrust | network devices: html | font scripts: font awesome | javascript frameworks: jquery migrate | wordpress plugins: jetpack | web servers: schannel | web servers: apache | operating systems: windows server | seo tool: facebook friendly | wordpress plugins: the events calendar | network devices: html5 | web servers: apache http server | javascript frameworks: fancybox | cms: wordpress | blogs: wordpress | javascript frameworks: jquery ui | analytics: clicky | analytics: cloudflare browser insights | web servers: iis | caching: varnish | web servers: next.js | tag managers: google tag manager | miscellaneous: linkedin | analytics: google campaign manager 360 | web frameworks: next.js | javascript libraries: jquery | widgets: owl carousel | widgets: javascript | javascript frameworks: select2 | operating systems: ubuntu | javascript frameworks: next.js | cdn: cloudflare | wordpress plugins: yoast seo | programming languages: php | javascript libraries: jquery migrate | web frameworks: html5 | javascript libraries: moment.js | javascript frameworks: jquery | analytics: google analytics</t>
  </si>
  <si>
    <t>2019-11-23T23:46:36.000Z</t>
  </si>
  <si>
    <t>HARBIN COSLIGHT NEW ENERGY CO., LTD.</t>
  </si>
  <si>
    <t>b6b5dadb-93e4-11eb-8474-3bbe2d07207d</t>
  </si>
  <si>
    <t>Coslight Power Co.,Ltd.</t>
  </si>
  <si>
    <t>Coslight Technology International Group Limited</t>
  </si>
  <si>
    <t>COSLIGHT | Coslight Group</t>
  </si>
  <si>
    <t>Hei Long Jiang Sheng</t>
  </si>
  <si>
    <t>Ha Er Bin Shi</t>
  </si>
  <si>
    <t>Tai Hu Nan Lu</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</si>
  <si>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</si>
  <si>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</si>
  <si>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</si>
  <si>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</si>
  <si>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</si>
  <si>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</si>
  <si>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</si>
  <si>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</si>
  <si>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http://www.cncoslight.com/</t>
  </si>
  <si>
    <t>web frameworks: microsoft asp.net | reverse proxy: nginx | operating systems: windows server | web servers: iis | javascript libraries: jquery | web servers: nginx | javascript frameworks: jquery</t>
  </si>
  <si>
    <t>2019-11-24T03:29:46.000Z</t>
  </si>
  <si>
    <t>HE SIKRING A/S</t>
  </si>
  <si>
    <t>a40484c0-0ae9-11ec-8b96-2f712d78ea00</t>
  </si>
  <si>
    <t>EC Sikring A/S</t>
  </si>
  <si>
    <t>Sikring Vest A/S.</t>
  </si>
  <si>
    <t>Juelsminde</t>
  </si>
  <si>
    <t>Tofteskovvej</t>
  </si>
  <si>
    <t>Intet er vigtigere end din sikkerhed. Vi alle løsninger, indenfor Alarm, Tyverialarm, Brandalarm, låse, adgangskontrol og kameraovervågning.</t>
  </si>
  <si>
    <t>Quality Workmanship</t>
  </si>
  <si>
    <t>Sikring Vest A/S. is a railroad service company based in Denmark.</t>
  </si>
  <si>
    <t>Railroad Service Companies</t>
  </si>
  <si>
    <t>Railroads, Line-Haul Operating</t>
  </si>
  <si>
    <t>4911 | 4912</t>
  </si>
  <si>
    <t>Passenger rail transport, interurban | Freight rail transport</t>
  </si>
  <si>
    <t>49.2 | 49.1</t>
  </si>
  <si>
    <t>Freight rail transport | Passenger rail transport, interurban</t>
  </si>
  <si>
    <t>70 20 46 99</t>
  </si>
  <si>
    <t>+4523032009 | +4532672302 | +4561729481 | +4561729482</t>
  </si>
  <si>
    <t>lsh@sikringvest-as.dk</t>
  </si>
  <si>
    <t>mail@ec-sikring.dk</t>
  </si>
  <si>
    <t>lsh@sikringvest-as.dk | ml@sikringvest-as.dk | sp@sikringvest-as.dk</t>
  </si>
  <si>
    <t>http://www.ec-sikring.dk/</t>
  </si>
  <si>
    <t>https://www.facebook.com/EcSikring</t>
  </si>
  <si>
    <t>https://www.linkedin.com/company/ec-sikring/?viewAsMember=true</t>
  </si>
  <si>
    <t>https://www.youtube.com/channel/UCm-PjM5Ak25bejLzgyIlPpg?view_as=subscriber</t>
  </si>
  <si>
    <t>miscellaneous: open graph | network devices: html | network devices: html5 | widgets: css</t>
  </si>
  <si>
    <t>2021-09-01T04:20:41.000Z</t>
  </si>
  <si>
    <t>HELP Forsakring filial</t>
  </si>
  <si>
    <t>00d2eb3e-fd70-11ec-849a-63f73ece0993</t>
  </si>
  <si>
    <t>HELP Försäkring</t>
  </si>
  <si>
    <t>Help NykÃ¶ping</t>
  </si>
  <si>
    <t>118 27</t>
  </si>
  <si>
    <t>Magnus Ladulåsgatan</t>
  </si>
  <si>
    <t>63B</t>
  </si>
  <si>
    <t>Vi erbjuder juridisk hjälp i försäkringsform för att alla ska kunna få råd och stöd när de behöver det, utan dyra timarvoden. Våra partnerskap med företag och organisationer gör juridiskhjälp tillgänglig och enkel, bidrar till ett mer rättssäkert samhälle. Rätt ska vara rätt. För alla.</t>
  </si>
  <si>
    <t>Wordpress Website | Website Development Services</t>
  </si>
  <si>
    <t>Help NykÃ¶ping is an automotive publication based in Sweden.</t>
  </si>
  <si>
    <t>Insurance Services</t>
  </si>
  <si>
    <t>Insurance Agents Brokers and Services</t>
  </si>
  <si>
    <t>Finance</t>
  </si>
  <si>
    <t>Life Insurance</t>
  </si>
  <si>
    <t>INS001</t>
  </si>
  <si>
    <t>08-524 640 00</t>
  </si>
  <si>
    <t>info@help.se</t>
  </si>
  <si>
    <t>https://www.helpforsakring.se/</t>
  </si>
  <si>
    <t>https://www.instagram.com/helpforsakring/</t>
  </si>
  <si>
    <t>https://www.linkedin.com/company/5357086/</t>
  </si>
  <si>
    <t>2022-07-06T11:09:38.000Z</t>
  </si>
  <si>
    <t>HELP FORSIKRING AS</t>
  </si>
  <si>
    <t>a90e10f4-93e4-11eb-be5a-4f810ab55f2e</t>
  </si>
  <si>
    <t>HELP Forsikring AS</t>
  </si>
  <si>
    <t>HELP Forsikring AS | HELP Forsikring</t>
  </si>
  <si>
    <t>Essendrops gate</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</si>
  <si>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</si>
  <si>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</si>
  <si>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</si>
  <si>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boligkjÃ¸perforsikring gir deg rimelig advokathjelp ved behov. Du betaler ingen timepris for advokat, kun forsikringspremie.</t>
  </si>
  <si>
    <t>I HELP jobber vi for Ã¥ Ã¸ke rettssikkerheten for den enkelte. HELP tilbyr advokathjelp til forbrukere i form av forsikring. Forsikringene gir tilgang til spesialiserte advokater for det du trenger hjelp til som privatperson, innen blant annet boligkjÃ¸p, familie, arv, kjÃ¸p, arbeid, fast eiendoms rettsforhold, ID-tyveri og kontrakter. HELP tilbyr ulike typer rettshjelpsforsikringer som sikrer kunden juridisk hjelp og bistand pÃ¥ de fleste rettsomrÃ¥der: BoligkjÃ¸perforsikring, advokatforsikring, ID-tyveriforsikring og forbrukerkjÃ¸psforsikring.</t>
  </si>
  <si>
    <t>Immovable Property | Legalization Services | Legal Protection Insurance | Home Insurance | Insurance Company | Purchase Work | Home Buyer | Insurance Provider | Real Estate Agents | Legal Assistants</t>
  </si>
  <si>
    <t>22 99 99 99</t>
  </si>
  <si>
    <t>+4539900900 | +4722999999</t>
  </si>
  <si>
    <t>post@help.no</t>
  </si>
  <si>
    <t>personvern@help.no</t>
  </si>
  <si>
    <t>http://www.help.no/?utm_source=Google&amp;utm_medium=GMB&amp;utm_campaign=GMB_Trafikk&amp;utm_term=GMB_Trafikk&amp;utm_content=GMB_Trafikk</t>
  </si>
  <si>
    <t>https://www.instagram.com/helperne/</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</si>
  <si>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</si>
  <si>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</si>
  <si>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</si>
  <si>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HELP FORSIKRING,FILIAL AF HELP FORSIKRING AS, NORGE</t>
  </si>
  <si>
    <t>bb79f296-93e4-11eb-86dd-ffbd1b53140e</t>
  </si>
  <si>
    <t>HELP Forsikring | HELP Forsikring Danmark</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</si>
  <si>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</si>
  <si>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</si>
  <si>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</si>
  <si>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fÃ¥r du adgang til egen jurist eller advokat. Her pÃ¥ hjemmesiden kan du lÃ¦se mere om os og de forskellige services vi tilbyder.</t>
  </si>
  <si>
    <t>HELP Forsikring er det eneste forsikringsselskab i Skandinavien, der tilbyder advokathjÃ¦lp til forbrugere i form af forsikring. Uanset om man som kunde har adgang til advokatforsikringen gennem sin arbejdsplads eller gennem sit fagforbund/sin fagorganisation, er man igennem vores forsikring sikret juridisk bistand og vejledning uden dyre advokatregninger â€“ der betales kun en fast Ã¥rlig forsikringsprÃ¦mie. Vi er samtidigt stolte over at kunne sige, at vi har tilfredse kunder. Det viser vores undersÃ¸gelser, hvor hele 93 % af alle vores kunder med afsluttet sag kan anbefale forsikringen til andre. Til at holde dette ved lige har vi ca. 250 dedikerede medarbejdere fordelt pÃ¥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</si>
  <si>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</si>
  <si>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Insurance Agents, Brokers, and Service (insurance agents and brokers)</t>
  </si>
  <si>
    <t>Activities of insurance agents and brokers</t>
  </si>
  <si>
    <t>+4525312103 | +4536451092 | +4523307331 | +4533158900 | +4722999999 | +4531331189 | +4539900900</t>
  </si>
  <si>
    <t>kontakt@helpforsikring.dk</t>
  </si>
  <si>
    <t>tora@helpforsikring.dk | sofh@helpforsikring.dk | erhverv@helpforsikring.dk | mhc@helpforsikring.dk</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</si>
  <si>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</si>
  <si>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</si>
  <si>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</si>
  <si>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HERM. RASMUSSEN A/S</t>
  </si>
  <si>
    <t>8de2ce1b-93e4-11eb-a33a-a3dfba582839</t>
  </si>
  <si>
    <t>Herm. Rasmussen A/S Malerforretning</t>
  </si>
  <si>
    <t>Herm. Rasmussen A/S.</t>
  </si>
  <si>
    <t>Herm</t>
  </si>
  <si>
    <t>Silkeborg</t>
  </si>
  <si>
    <t>Stagehøjvej</t>
  </si>
  <si>
    <t>DK, Denmark, Central Denmark Region, Silkeborg, 8600, StagehÃ¸jvej, 17, 56.18718199999999, 9.565019499999998</t>
  </si>
  <si>
    <t>Herm. Rasmussen, legally known as Herm. Rasmussen A/S., is a company based in Silkeborg, Central Denmark Region. Founded in 1915, the company initially started as a painting business. Over the years, it has expanded its activities to include high-quality traditional and modern painting services, automotive detailing, and sign-making. The company employs approximately 50 staff members and owns 24 properties for both commercial and residential leasing.</t>
  </si>
  <si>
    <t>Traditional Painting | Painting for Buses | Sign Workshop Services | Real Estate Services | Painting Services | Wall Coverings | Painting and Wall Covering Contractor | Car Painting Services</t>
  </si>
  <si>
    <t>Kontakt os og se, om vi ikke i fÃ¦llesskab kan skabe en attraktiv lÃ¸sning for dig.</t>
  </si>
  <si>
    <t>Oplysninger til lejere. Kontakt os og find medarbejdere her. Gennem Ã¥rene er aktiviteten udviklet og udvidet af flere omgange. Malerforretningen mestrer i dag hele paletten indenfor traditionelt og moderne malerarbejde i hÃ¸j kvalitet â€“ selvfÃ¸lgelig til en fair pris. Vore kunder er bÃ¥de store og smÃ¥, private og offentlige. Autolakereriet lever op til de strengeste kvalitets- og miljÃ¸krav og maler bÃ¥de person- og storvogne (lastbiler og busser). SkiltevÃ¦rksted udfÃ¸rer sÃ¥vel opgaver med de nyeste teknikker kombineret med det gode, gamle hÃ¦derkronede hÃ¥ndvÃ¦rk. Ejendomsselskabet ejer 24 ejendomme med bÃ¥de erhvervslejemÃ¥l og boliglejemÃ¥l. Vi er ca. 50 medarbejder, der sammen sikrer den velkendte kvalitet, faglighed og service. Privatlivspolitik for kunder. Hos os kan du fÃ¥ en totallÃ¸sning hvor kvaliteten er helt i top - uanset om det er en personbil eller et helt lastvognstog der skal males. Vi er den dataansvarlige â€“ hvordan kontakter du os? (er du lejer, kan du lÃ¦se mere her ). Ringvejens Autolakereri A/S har det klare mÃ¥l, at stÃ¥ for hÃ¸j kvalitet og service igennem hele ordrefasen.</t>
  </si>
  <si>
    <t>Painting, Plastering &amp; Wall Covering</t>
  </si>
  <si>
    <t>1721 | 1799</t>
  </si>
  <si>
    <t>Painting and Paper Hanging | Special Trade Contractors, NEC (paint and wallpaper stripping and removing contractors)</t>
  </si>
  <si>
    <t>Building completion and finishing</t>
  </si>
  <si>
    <t>43.33 | 43.39 | 43.34 | 43.31 | 43.32</t>
  </si>
  <si>
    <t>Floor and wall covering | Other building completion and finishing | Painting and glazing | Plastering | Joinery installation</t>
  </si>
  <si>
    <t>87 20 53 33</t>
  </si>
  <si>
    <t>+4522282550 | +4522282570 | +4524249553 | +4533147333 | +4534990018 | +4522282580 | +4521138398 | +4540777024 | +4522282560 | +4587205346 | +4523332321 | +4522282565 | +4587205333 | +4522282588 | +4522282535</t>
  </si>
  <si>
    <t>herm@herm.dk</t>
  </si>
  <si>
    <t>csh@herm.dk</t>
  </si>
  <si>
    <t>psk@herm.dk | po@herm.dk | kk@herm.dk | jsp@herm.dk | jk@herm.dk | herm@herm.dk | ms@herm.dk | skiltebutik@herm.dk | faktura@herm.dk | tm@herm.dk</t>
  </si>
  <si>
    <t>http://www.herm.dk/</t>
  </si>
  <si>
    <t>ui frameworks: bootstrap | widgets: addthis | web servers: empathy platform | web frameworks: bootstrap | web servers: azure app service | widgets: css | web frameworks: microsoft asp.net | cdn: cdnjs | javascript libraries: bxslider | font scripts: google font api | cms: dynamicweb | javascript libraries: modernizr | analytics: dynamicweb | photo galleries: bxslider | network devices: html | miscellaneous: jquery easing | font scripts: font awesome | web servers: schannel | javascript frameworks: modernizr | operating systems: windows server | javascript libraries: lightbox | network devices: html5 | web servers: iis | javascript libraries: jquery | widgets: javascript | rum: pingdom rum | javascript frameworks: lightbox | ecommerce: dynamicweb | cdn: cloudflare | analytics: segment | javascript frameworks: jquery</t>
  </si>
  <si>
    <t>2019-11-23T22:06:36.000Z</t>
  </si>
  <si>
    <t>HEST AGENTUR AS</t>
  </si>
  <si>
    <t>19b24740-93e5-11eb-aa66-9b8d95e2171b</t>
  </si>
  <si>
    <t>Hest Agentur As</t>
  </si>
  <si>
    <t>Hest Agentur | HEST Agentur AS | Hest Agentur Oslo</t>
  </si>
  <si>
    <t>Maridalsveien</t>
  </si>
  <si>
    <t>87B</t>
  </si>
  <si>
    <t>NO, Norway, Oslo, Oslo, 0461, Maridalsveien, 87B, 59.9317157, 10.757275399999997</t>
  </si>
  <si>
    <t>Hest Agentur is a fearless agency on fire with carefully selected photographers of noticeably distinctive mindsets. The aim of our business model is to be open and transparent. Hest is here for now and forever to make a difference for its clients.</t>
  </si>
  <si>
    <t>photo agency; artist representation; production; creative services; photography</t>
  </si>
  <si>
    <t>Oslo-based photo and artist agency providing representation and production services.</t>
  </si>
  <si>
    <t>HEST AGENTUR AS is a Norwegian photo and artist agency based at Maridalsveien 87B, 0461 Oslo. Founded in 2018, the company represents photographers and other visual artists and offers production, coordination and advisory services for commercial and editorial projects.</t>
  </si>
  <si>
    <t>photography; artist agency; production; creative representation; visual content</t>
  </si>
  <si>
    <t>Creative &amp; Artist Representation</t>
  </si>
  <si>
    <t>Photography and creative production services</t>
  </si>
  <si>
    <t>Photographers' Studios (Incl Away from Premises) | Photography Developing / Printing Services | Graphic Design (No Web Design) | Photography (Aerial) | Web Design</t>
  </si>
  <si>
    <t>729201 | 729501 | 731302 | 729401 | 731303</t>
  </si>
  <si>
    <t>45 40 40 47</t>
  </si>
  <si>
    <t>ole@hestagentur.no</t>
  </si>
  <si>
    <t>http://www.hestagentur.no/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</si>
  <si>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</si>
  <si>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</si>
  <si>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</si>
  <si>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</si>
  <si>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</si>
  <si>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HETEK A/S</t>
  </si>
  <si>
    <t>6cf9d142-93e4-11eb-8859-29e7c34dee35</t>
  </si>
  <si>
    <t>HETEK A/S.</t>
  </si>
  <si>
    <t>HETEK</t>
  </si>
  <si>
    <t>Niels Finsensvej</t>
  </si>
  <si>
    <t>DK, Denmark, Region of Southern Denmark, Vejle, 7100, Niels Finsensvej, 9, 55.724819, 9.5700034</t>
  </si>
  <si>
    <t>HETEK A/S - Elektriker Vejle - Service til private og erhverv – herunder boligforeninger, institutioner, industri og butikker.</t>
  </si>
  <si>
    <t>electrical installation; safety systems; security; inspection; maintenance</t>
  </si>
  <si>
    <t>Vejle-based electrical installation and security solutions company.</t>
  </si>
  <si>
    <t>Hetek A/S is a Danish, family-owned electrical installation and security company headquartered at Niels Finsensvej 9, 7100 Vejle. Established in 2008, the company delivers electrical contracting, safety and inspection services and technical maintenance for industrial, utility and commercial customers.</t>
  </si>
  <si>
    <t>electrical contractor; safety inspection; security systems; utility services; maintenance</t>
  </si>
  <si>
    <t>Electrical &amp; Safety Contracting</t>
  </si>
  <si>
    <t>Electrical installation and safety services</t>
  </si>
  <si>
    <t>Electrical Work</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</si>
  <si>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</si>
  <si>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</si>
  <si>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75 82 98 97</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</si>
  <si>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</si>
  <si>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</si>
  <si>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</si>
  <si>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https://www.hetek.dk/</t>
  </si>
  <si>
    <t>https://www.facebook.com/Hetek.dk</t>
  </si>
  <si>
    <t>https://www.linkedin.com/company/hetek-a-s/?originalSubdomain=dk</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</si>
  <si>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</si>
  <si>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</si>
  <si>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Hewlett-Packard (M) Sdn Bhd</t>
  </si>
  <si>
    <t>50812e6c-287f-11ee-a1a1-25b0e3a879fc</t>
  </si>
  <si>
    <t>Hewlett Packard Enterprise Malaysia</t>
  </si>
  <si>
    <t>Hewlett Packard Sales m Sdn. Bhd.</t>
  </si>
  <si>
    <t>Jalan Kerinchi</t>
  </si>
  <si>
    <t>MY, Malaysia, Penang, Bayan Lepas, 11960, Lorong Mayang Pasir 5, 21, 5.3208609000000004, 100.28676080000001 | MY, Malaysia, Kuala Lumpur, Kuala Lumpur, 55100, Jalan Raja Chulan, , 3.1491448, 101.7006657 | MY, Malaysia, Kuala Lumpur, Kuala Lumpur, , , , 3.1210715, 101.6464701504745</t>
  </si>
  <si>
    <t>Hewlett Packard Sales (M) Sdn. Bhd. is an industrial equipment supplier based in Bayan Lepas, Penang, Malaysia.</t>
  </si>
  <si>
    <t>Software Merchant Wholesalers | Computer Peripherals | Industrial Equipment Supplier | Distribution</t>
  </si>
  <si>
    <t>Electronic Computer Manufacturing</t>
  </si>
  <si>
    <t>Computer Manufacturing</t>
  </si>
  <si>
    <t>Electronic Computers</t>
  </si>
  <si>
    <t>Manufacture of computers and peripheral equipment</t>
  </si>
  <si>
    <t>Manufacture of computers</t>
  </si>
  <si>
    <t>03-2053 6188</t>
  </si>
  <si>
    <t>+60320594400 | +6046415414</t>
  </si>
  <si>
    <t>https://www.hpe.com/my/en/about.html</t>
  </si>
  <si>
    <t>http://www.linkedin.com/company/hewlett-packard-sales-m-sdn.-bhd.</t>
  </si>
  <si>
    <t>2023-02-02T14:45:26.736Z</t>
  </si>
  <si>
    <t>Hewlett-Packard (Thailand) Ltd.</t>
  </si>
  <si>
    <t>1b8cd3a9-93e5-11eb-b89f-536884b3e7dd</t>
  </si>
  <si>
    <t>Hewlett Packard Enterprise (HPE)</t>
  </si>
  <si>
    <t>Thai Cad services Ltd.</t>
  </si>
  <si>
    <t>Thai Cad Services</t>
  </si>
  <si>
    <t>ถนน พระรามที่ 4</t>
  </si>
  <si>
    <t>TH, Thailand, Bangkok, Bangkok, 10500, Soi Charoen Krung 36, 448/1, 13.7250844, 100.5156379 | TH, Thailand, Bangkok, Bang Rak, 10500, Charoen Krung Road, 448 1, 13.743078100000002, 100.50870289999999</t>
  </si>
  <si>
    <t>Thai Cad Services, legally known as Thai Cad services Ltd., is a company based in Bangkok, Thailand, specializing in jewelry design using software such as Rhino and Matrix. With over 10 years of experience, the company offers courses in jewelry CAD design and provides training in Solidworks. They also offer services in jewelry rendering using Keyshot for shop display banners. operates a learning center where they conduct one-on-one classes for jewelry design, focusing on both theoretical and practical aspects. The company emphasizes quick design skills and the ability to bring clients' jewelry ideas to life within 24 hours.</t>
  </si>
  <si>
    <t>Theory and Practical Classes | Jewelry Supplier | Shop Display Banners Rendering | 3D Rhinoceros Software for Jewelry | One-to-one Teaching Sessions | Silverware Manufacturing | Eternity Band Design Using Matrix | Matrix Software</t>
  </si>
  <si>
    <t>Design jewelry as per your requirements 24 Hr delivery 10 years designing experiance.</t>
  </si>
  <si>
    <t>Design jewelry as per your requirements 24 Hr delivery 10 years designing experiance. Twist rope design using Rhino, Jewelry cad designing, - YouTubeThai Cad Services1.2K subscribersTwist rope design using Rhino, Jewelry cad designing,Thai Cad ServicesSearchWatch laterShareCopy linkInfoShoppingTap to unmuteIf playback doesn't begin shortly, try restarting your device.More videosMore videosYou're signed outVideos you watch may be added to the TV's watch history and influence TV recommendations. Text marking on jewelry rhino, Flow along curve, create uv curve, create uvcrv on rhino - YouTubeThai Cad Services1.2K subscribersText marking on jewelry rhino, Flow along curve, create uv curve, create uvcrv on rhinoThai Cad ServicesSearchInfoShoppingTap to unmuteIf playback doesn't begin shortly, try restarting your device.You're signed outVideos you watch may be added to the TV's watch history and influence TV recommendations.</t>
  </si>
  <si>
    <t>Watches &amp; Jewelry Stores</t>
  </si>
  <si>
    <t>Watches, Jewelry &amp; Accessories</t>
  </si>
  <si>
    <t>3479 | 3911 | 3479 | 3914 | 3915 | 3172 | 3479 | 3961</t>
  </si>
  <si>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</si>
  <si>
    <t>2592 | 2599 | 3211 | 3212</t>
  </si>
  <si>
    <t>Treatment and coating of metals; machining | Manufacture of other fabricated metal products n.e.c. | Manufacture of jewellery and related articles | Manufacture of imitation jewellery and related articles</t>
  </si>
  <si>
    <t>32.13 | 25.61 | 25.62 | 25.92 | 25.99 | 25.94 | 25.91 | 25.93 | 32.11 | 32.12</t>
  </si>
  <si>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</si>
  <si>
    <t>(888) 342-2156</t>
  </si>
  <si>
    <t>thaicadservices@gmail.com</t>
  </si>
  <si>
    <t>https://www.hpe.com/asia_pac/en/home.html</t>
  </si>
  <si>
    <t>https://www.facebook.com/thaicadservices/</t>
  </si>
  <si>
    <t>https://www.instagram.com/thaicadservices/</t>
  </si>
  <si>
    <t>http://www.linkedin.com/company/freeadx-limited-prt</t>
  </si>
  <si>
    <t>https://www.youtube.com/thaicadservices</t>
  </si>
  <si>
    <t>web servers: litespeed | wordpress themes: astra | miscellaneous: rss | web servers: empathy platform | performance: priority hints | wordpress plugins: elementor | widgets: css | javascript frameworks: react | font scripts: google font api | miscellaneous: http/3 | video players: youtube | analytics: site kit | databases: mysql | issue trackers: really simple discovery | miscellaneous: whatsapp | cms: site.com | widgets: facebook | network devices: html | miscellaneous: jquery easing | javascript libraries: jquery ui | network devices: html5 | miscellaneous: facebook | cms: wordpress | live chat: olark | blogs: wordpress | miscellaneous: linkedin | wordpress plugins: site kit | analytics: facebook analytics | web frameworks: jquery waypoints | javascript libraries: jquery | retargeting: facebook | widgets: javascript | font scripts: twitter emoji (twemoji) | widgets: linkedin | retargeting: google dynamic remarketing | programming languages: php | javascript libraries: jquery migrate | page builders: elementor | miscellaneous: instagram | javascript frameworks: jquery | analytics: google analytics</t>
  </si>
  <si>
    <t>2019-11-24T00:20:20.000Z</t>
  </si>
  <si>
    <t>HEWLETT-PACKARD ApS</t>
  </si>
  <si>
    <t>571d319b-1e68-11ee-8977-f9df9a4bf47f</t>
  </si>
  <si>
    <t>Hewlett Packard Enterprise</t>
  </si>
  <si>
    <t>Lillerød</t>
  </si>
  <si>
    <t>Engholm Parkvej</t>
  </si>
  <si>
    <t>DK, Denmark, Central Denmark Region, Aarhus, 8200, Jens Olsens Vej, 9, 56.2089058, 10.1817353</t>
  </si>
  <si>
    <t>Hewlett-Packard ApS is a company based in Aarhus, Denmark, operating within the computer service industry.</t>
  </si>
  <si>
    <t>System Design Services | Computer Services</t>
  </si>
  <si>
    <t>https://www.hpe.com/dk/en/home.html</t>
  </si>
  <si>
    <t>2023-07-09T14:52:24.689Z</t>
  </si>
  <si>
    <t>HEWLETT-PACKARD NORGE AS</t>
  </si>
  <si>
    <t>f676a7f4-93e4-11eb-b997-8dd98d09cf25</t>
  </si>
  <si>
    <t>HP Norge AS</t>
  </si>
  <si>
    <t>ThinkEV</t>
  </si>
  <si>
    <t>Rolfsbuktveien</t>
  </si>
  <si>
    <t>4A</t>
  </si>
  <si>
    <t>NO, Norway, Viken, BÃ¦rum, 1364, Rolfsbuktveien, 4F, 59.894121500000004, 10.628545599999999</t>
  </si>
  <si>
    <t>ThinkEV, legally known as Primecom level 2 EV, is a company based in BÃ¦rum, Viken, specializing in providing information and recommendations on electric vehicle (EV) chargers. Founded by entrepreneur Michael Schuck, ThinkEV focuses on educating readers about EVs, battery technology, and EV charging solutions. The company offers guides and reviews on various types of EV chargers, including home chargers and portable options, to help consumers make informed decisions. Michael Schuck, a noted car enthusiast, brings his expertise to ThinkEV, aiming to assist new EV car buyers and those looking to optimize their EV charging experience.</t>
  </si>
  <si>
    <t>Charge Calculator | Electric Vehicle Charging Stations | Portable Chargers | Buyers Guide for EV Owners | Battery Technology Education | Electric Vehicle Education | Educational Resources | Choosing A Charger | How-to Tips and Recommendations | Custom Programming Services | How-to Tips | Electric Vehicle | Level 2 Chargers | Wheelchair Accessible Entrance</t>
  </si>
  <si>
    <t>With an easy-to-understand and no-nonsense style, Michael writes to educatereaders who are considering their first EV purchase or those looking to get themost</t>
  </si>
  <si>
    <t>Already, there's an evolving market in everything from home charging stations to highly efficient charge-points and cables. Read our honest, unbiased, no-nonsense reviews to find the EV charging solution that's right for you. We're here to get you all of the facts and none of the flim-flam. ThinkEV is the brainchild of entrepreneur Michael. Michael brings his love for cars and his recently acquired knowledge of EVs, battery technology, and EV charging to a growing community of new EV car buyers in the USA.</t>
  </si>
  <si>
    <t>Ev Charging | Home Charging | Electric Car Charging Stations | Electrical Vehicle Charging | Electric Vehicle | Charging Stations | Ev Charging Solution | Electric Cars | Portable Charging | Clean Energy</t>
  </si>
  <si>
    <t>Renewable energy companies</t>
  </si>
  <si>
    <t>Renewable energy</t>
  </si>
  <si>
    <t>23 50 20 19</t>
  </si>
  <si>
    <t>https://thinkev.com/</t>
  </si>
  <si>
    <t>performance: autoptimize | wordpress plugins: rankmath seo | seo: rankmath seo | wordpress themes: astra | miscellaneous: rss | security: recaptcha | javascript libraries: lazysizes | wordpress plugins: thrive architect | authentication: google sign-in | font scripts: google font api | miscellaneous: http/3 | analytics: site kit | databases: mysql | wordpress plugins: thrive leads | authentication: facebook login | miscellaneous: open graph | cms: wordpress | blogs: wordpress | wordpress plugins: site kit | javascript libraries: jquery | page builders: thrive architect | programming languages: php | javascript libraries: jquery migrate | performance: lazysizes | wordpress plugins: autoptimize | analytics: google analytics</t>
  </si>
  <si>
    <t>2020-05-07T04:15:34.000Z</t>
  </si>
  <si>
    <t>Hewlett Packard Singapore (Sales) Pte., Ltd.</t>
  </si>
  <si>
    <t>07c5ceb1-eb92-11ed-a65b-4f9d7e08863b</t>
  </si>
  <si>
    <t>Poyoko Trading | Poyoko</t>
  </si>
  <si>
    <t>Depot Close</t>
  </si>
  <si>
    <t>SG, Singapore, Central, Singapore, 178957, Depot Close, 3, 1.2832241, 103.8068716 | SG, Singapore, Central, Singapore, 048618, Bonham Street, , 1.2844837000000002, 103.8513447</t>
  </si>
  <si>
    <t>Poyoko Trading is a company based in Singapore, specializing in the sale of baby products. Founded by Amy, the company initially focused on reselling baby clothes, toys, bath essentials, and fabrics. Over time, Poyoko Trading expanded its product range to include its own line of baby towels, blankets, and other essentials. The company is known for using high-grade, silky soft bamboo cotton to ensure maximum comfort for babies. Poyoko Trading aims to provide parents with confidence in caring for their children by offering quality baby apparel and essentials.</t>
  </si>
  <si>
    <t>In-store Shopping | Electronics Recyclable Materials | Baby Products Retailer | Childrens Clothing | Books | Arts and Crafts Supplies | Bamboo Handkerchiefs | Bath Essentials | Sheets &amp; Blankets | Bamboo Fiber and Swimming Towels | Baby Clothing Store | Metal Can Recybler | Bedding Store | Learning Materials | Glass Bottle Recycling | Bedding And Linen | High-grade, Silky Soft Bamboo Cotton | Curbside Pickup | In-store Pickup | Onsite Services | Clothing Recycling Services</t>
  </si>
  <si>
    <t>Starting out as a reseller of baby products ranging from clothes, toys, bath essentials and fabrics, Poyoko has gained a reputation among its customers for providing quality baby apparel and essentials - with many customers returning for more as their own families grow.</t>
  </si>
  <si>
    <t>Poyoko's founder, Amy, set out with a mission and a belief that quality in any baby product should always be a priority. Starting out as a reseller of baby products ranging from clothes, toys, bath essentials and fabrics, Poyoko has gained a reputation among its customers for providing quality baby apparel and essentials - with many customers returning for more as their own families grow. Continuing its mission in giving parents greater confidence in caring for their bundles of joy, Poyoko has since expanded its product range and now offers its own line of baby towels, blankets and other essentials. superb quality baby products, for the most precious ones. at poyoko, we know the importance of helping our little ones feel safe and comfortable whenever they interact with their new world. our products are here to help mothers feel confident that their bundles of joy are always receiving the best in comfort at any point of the day.</t>
  </si>
  <si>
    <t>Cotton Towel | Baby Apparel | Baby Towels | Baby Products | Bundles Of Joy | Bath Essentials | Kid's Clothing | Bamboo Towels | Handicrafts | Cotton Blankets</t>
  </si>
  <si>
    <t>Children Clothing</t>
  </si>
  <si>
    <t>+6562718750 | +6596759514</t>
  </si>
  <si>
    <t>hello@poyoko.com.sg</t>
  </si>
  <si>
    <t>https://www.hpe.com/sg/en/home.html</t>
  </si>
  <si>
    <t>https://www.facebook.com/poyoko/</t>
  </si>
  <si>
    <t>cdn: google cloud cdn | web servers: empathy platform | javascript frameworks: angularjs | miscellaneous: x | javascript frameworks: react | cms: wix | miscellaneous: http/3 | miscellaneous: whatsapp | network devices: html | miscellaneous: jquery easing | network devices: html5 | miscellaneous: facebook | miscellaneous: linkedin | javascript libraries: jquery | iaas: google cloud | blogs: wix | miscellaneous: instagram</t>
  </si>
  <si>
    <t>2023-04-29T12:26:05.556Z</t>
  </si>
  <si>
    <t>HEWLETT-PACKARD SVERIGE AB</t>
  </si>
  <si>
    <t>4676a351-f930-11ed-b4e8-cf8e051b3eab</t>
  </si>
  <si>
    <t>Hewlett-Packard Sverige AB.</t>
  </si>
  <si>
    <t>169 85</t>
  </si>
  <si>
    <t>Slåttervägen</t>
  </si>
  <si>
    <t>SE, Sweden, SkÃ¥ne County, Malmo, 211 34, Adelgatan, 21, 55.6071763, 12.999292499999996 | SE, Sweden, VÃ¤stra GÃ¶taland County, Gothenburg, 411 09, Nordstans lastgata, 1, 57.7095411, 11.9671969</t>
  </si>
  <si>
    <t>Hewlett-Packard Sverige AB. is a hosting &amp; cloud infrastructure provider based in Malmo, Sweden.</t>
  </si>
  <si>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</si>
  <si>
    <t>08-517 940 00</t>
  </si>
  <si>
    <t>https://www.hpe.com/se/sv/home.html</t>
  </si>
  <si>
    <t>2023-05-22T06:54:54.019Z</t>
  </si>
  <si>
    <t>HIGH TOUCH, INC.</t>
  </si>
  <si>
    <t>d778d926-93e4-11eb-be5a-4f810ab55f2e</t>
  </si>
  <si>
    <t>High Touch Remodeling</t>
  </si>
  <si>
    <t>High Touch Remodeling | HighTouch Remodeling</t>
  </si>
  <si>
    <t>Los Angeles</t>
  </si>
  <si>
    <t>West Pico Boulevard</t>
  </si>
  <si>
    <t>US, United States, California, Los Angeles, 90064, West Pico Boulevard, 10917, 34.039440666666664, -118.430108</t>
  </si>
  <si>
    <t>High Touch Remodeling, your partner in creating eco-friendly &amp; luxury homes. Trust us to bring your dream home visions to life; sustainability is our commitment.</t>
  </si>
  <si>
    <t>IT services; custom software; managed services; web development; communications</t>
  </si>
  <si>
    <t>Wichita-based IT and software solutions provider serving SMBs across the Midwest.</t>
  </si>
  <si>
    <t>High Touch, Inc. (High Touch Technologies) is a technology company headquartered at 110 S Main Street, Suite 600, Wichita, Kansas 67202. Founded in 1984, it provides IT managed services, custom software development, website design, hosting and communication solutions to small and mid-sized businesses across multiple industries.</t>
  </si>
  <si>
    <t>IT managed services; software development; cloud; websites; communications</t>
  </si>
  <si>
    <t>518210</t>
  </si>
  <si>
    <t>IT Services &amp; Software</t>
  </si>
  <si>
    <t>IT services and custom software</t>
  </si>
  <si>
    <t>Home Builders</t>
  </si>
  <si>
    <t>IF-HB</t>
  </si>
  <si>
    <t>Handyman / "Handywoman" / Miscellaneous Home Repair | Renovation - Residential (Singles / Semis / Townhouses) | Construction - Residential New (Singles / Semis) | Drywall / Plastering / Acoustical | Renovation - Commercial - low rise - 3 stories or less</t>
  </si>
  <si>
    <t>175202 | 181102 | 181101 | 174401 | 183003</t>
  </si>
  <si>
    <t>(310) 474-2967</t>
  </si>
  <si>
    <t>+1 800 326 6059</t>
  </si>
  <si>
    <t>info@hightouchremodeling.com</t>
  </si>
  <si>
    <t>https://www.hightouchremodeling.com/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</si>
  <si>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</si>
  <si>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</si>
  <si>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</si>
  <si>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</si>
  <si>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</si>
  <si>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HOLDSPORT.DK ApS</t>
  </si>
  <si>
    <t>acbf3216-93e4-11eb-a746-fdabd18be9c6</t>
  </si>
  <si>
    <t>Holdsport.dk</t>
  </si>
  <si>
    <t>Holdsport | Holdsport PRO | Holdsports | Fortuna Odense Volley</t>
  </si>
  <si>
    <t>Filmbyen</t>
  </si>
  <si>
    <t>DK, Denmark, Central Denmark Region, Aarhus, 8000, Graven, 3D, 56.158246, 10.211368 | DK, Denmark, Capital Region of Denmark, Helsinge, 3200, Aggebovej, 6, 56.058, 12.205263 | DK, Denmark, Capital Region of Denmark, HÃ¸rsholm, 2970, Holmetoften, 12, 55.896696, 12.490642 | DK, Denmark, Region of Southern Denmark, , 5260, , , 55.3461393458614, 10.390207501053661</t>
  </si>
  <si>
    <t>Få et medlemssystem, der samler holdkommunikation, medlemsoverblik, kontingentopkrævning mm. i et og samme system.</t>
  </si>
  <si>
    <t>sports club management; SaaS; team app; membership management; scheduling</t>
  </si>
  <si>
    <t>Aarhus-based SaaS platform for administration of sports clubs and teams.</t>
  </si>
  <si>
    <t>Holdsport.dk ApS is a Danish software company headquartered at Filmbyen 23, 3. sal, 8000 Aarhus C. It offers a web and mobile platform for managing sports clubs and teams, covering membership administration, payments, communication, scheduling and match logistics.</t>
  </si>
  <si>
    <t>sports software; club administration; team management; mobile app; membership system</t>
  </si>
  <si>
    <t>Sports &amp; Membership Software</t>
  </si>
  <si>
    <t>Sports club management SaaS</t>
  </si>
  <si>
    <t>53 86 02 22</t>
  </si>
  <si>
    <t>+45 22 66 13 88</t>
  </si>
  <si>
    <t>info@holdsport.dk</t>
  </si>
  <si>
    <t>http://www.holdsport.dk/</t>
  </si>
  <si>
    <t>https://www.facebook.com/holdsport</t>
  </si>
  <si>
    <t>https://twitter.com/holdsport</t>
  </si>
  <si>
    <t>https://www.instagram.com/holdsport/</t>
  </si>
  <si>
    <t>https://www.linkedin.com/company/holdsport/</t>
  </si>
  <si>
    <t>https://apps.apple.com/app/id585251238</t>
  </si>
  <si>
    <t>https://play.google.com/store/apps/details?id=com.holdsport</t>
  </si>
  <si>
    <t>https://youtube.com/c/holdsporthelp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</si>
  <si>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</si>
  <si>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</si>
  <si>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HOPPECKE BATTERIEN GMBH &amp; CO. KG</t>
  </si>
  <si>
    <t>4d284b47-0afe-11ec-b45f-7fdf93e89edf</t>
  </si>
  <si>
    <t>HOPPECKE Batterien GmbH &amp; Co. KG</t>
  </si>
  <si>
    <t>HOPPECKE Batterien GmbH &amp; Co.</t>
  </si>
  <si>
    <t>Hoppecke | HOPPECKE battery</t>
  </si>
  <si>
    <t>DE</t>
  </si>
  <si>
    <t>Germany</t>
  </si>
  <si>
    <t>Nordrhein-Westfalen</t>
  </si>
  <si>
    <t>Brilon</t>
  </si>
  <si>
    <t>Bontkirchener Straße</t>
  </si>
  <si>
    <t>DE, Germany, North Rhine-Westphalia, Brilon, 59929, Bontkirchener StraÃŸe, 1 d, 51.3761389, 8.6495443</t>
  </si>
  <si>
    <t>HOPPECKE stands for first-class quality throughout the world. The high standard of quality of our systems ranges from battery to charger, control units, monitoring and filling installations.</t>
  </si>
  <si>
    <t>Type R2 Batterie | Lead-acid Batterings for Various Fields | Radio Batteries with Large Surface Plates | Locomotive Lighting Batterys</t>
  </si>
  <si>
    <t>The construction plan provides a HOPPECKE battery.</t>
  </si>
  <si>
    <t>The ï¬rst board of management was formed by Dipl.-Ing. Ernst Zoellner, Otto DÃ¶rffer, and the engineer Hans Elsner, the former technical manager of the closed-down storage battery plant. In 1927 and 1928, with the proceeds of this sale, Carl Zoellner invested in the newly established company Accumulatorenwerke Hoppecke AG, which became the main work of his life. Workers in the joiners' workshop, ca. 1930/31. The construction plan provides a HOPPECKE battery. If we should be informed about this, the users will be notified. In order to call attention to our services, we place Google Adwords advertisements and use the Google conversion tracking in this context for the purpose of a personalised, interest and location relevant online advertisement. Matthias Lindner c/o intersoft consulting services AG.</t>
  </si>
  <si>
    <t>Types Of Storage | Industrial Batteries | Lead-acid Batteries | Automotive Batteries | Battery Equipment | Storage Battery</t>
  </si>
  <si>
    <t>Retail - Auto Parts / accessories (incl installation of accessories) | Auto Specialty Shops (Auto Detail / Glass / Lube) | Auto Repair Garage (incl heavy trucks) | Auto Repair Garage (No heavy trucks) | Auto Body / Paint Shops</t>
  </si>
  <si>
    <t>525501 | 552302 | 551302 | 551301 | 553101</t>
  </si>
  <si>
    <t>02963 610</t>
  </si>
  <si>
    <t>+492963610 | +49296361449</t>
  </si>
  <si>
    <t>info@hoppecke.com</t>
  </si>
  <si>
    <t>https://www.hoppecke.com/</t>
  </si>
  <si>
    <t>https://www.facebook.com/HOPPECKE1927/</t>
  </si>
  <si>
    <t>https://www.instagram.com/hoppecke1927/</t>
  </si>
  <si>
    <t>https://www.linkedin.com/company/hoppecke-batteries/</t>
  </si>
  <si>
    <t>https://www.youtube.com/c/HOPPECKE1927</t>
  </si>
  <si>
    <t>analytics: matomo analytics | web servers: empathy platform | widgets: css | databases: mysql | cdn: owl carousel | network devices: html | miscellaneous: jquery easing | translation: wpml | network devices: html5 | web servers: apache http server | cms: wordpress | blogs: wordpress | javascript libraries: fancybox | javascript libraries: jquery | wordpress plugins: wpml | widgets: javascript | programming languages: php</t>
  </si>
  <si>
    <t>2021-09-01T07:01:19.000Z</t>
  </si>
  <si>
    <t>HP INC (THAILAND) COMPANY LIMITED</t>
  </si>
  <si>
    <t>015d07c4-93e5-11eb-9937-4fab995bf8ff</t>
  </si>
  <si>
    <t>HP Inc (Thailand) Ltd.</t>
  </si>
  <si>
    <t>B.M.G CORPORATION CO LTD. | B.M.G. CORPORATION LTD.</t>
  </si>
  <si>
    <t>Thanon Rama IV</t>
  </si>
  <si>
    <t>TH, Thailand, Bangkok, Bang Rak, 10500, Si Lom Road, 1055 State Tower, 13.721423099999997, 100.5168806 | TH, Thailand, Bangkok, Bang Rak District, 10500, Soi Puttha Osot, 191, 13.726796799999999, 100.51680499999999</t>
  </si>
  <si>
    <t>Learn about HP laptops, pc desktops, printers, accessories and more at the Official HP® Website</t>
  </si>
  <si>
    <t>Handmade Silver Jewelry Production | Morganite Jewelry | Art Deco Jewelry | Cushions Manufacturer | Oval Manufacturer | Gemstone Manufacturing | Corporate Office Services | Tourmaline Jewelry Manufacturer | Citrine Jewelry Retailer | Distribution</t>
  </si>
  <si>
    <t>Manufacturers and wholesalers of semi-precious esp. Aquamarine, amethyst, morganite, citrine, and tourmaline</t>
  </si>
  <si>
    <t>B.M.G CORPORATION CO LTD is managed by a second generation of gemstone dealers with a firm grasp of the present and a keen eye towards the future. We are passionate about bringing the highest quality jewels and jewelry to the marketplace. Our goal is to bring the best value to our clients and cherish our relationships. We conduct our business with the highest sense of ethics and responsibility. B.M.G CORPORATION CO LTD is located in the State Tower Building, Bangkok. It is a vertically integrated company that manufactures and distributes fine gemstone and gemstone jewelry. With over 45 years of experience we are able to manufacture, produce and market products to fine retailers throughout the globe. B.M.G also has offices in India, USA, Hong Kong, China, Tanzania, Nigeria and Zambia. B.M.G has developed extensive manufacturing and cutting capabilities in India and Thailand with high quality control standards. We thus have innovative designers to help us continuously upgrade our line of fine jewelry.</t>
  </si>
  <si>
    <t>Diamond Jewelry | Precious Stone | Loose Stones | Colored Stones | Jewelry &amp; Gems | Gemstone Jewelry | Earrings &amp; Bracelets | Manufacturing &amp; Design | Semi Mount | Fine Jewelry</t>
  </si>
  <si>
    <t>Wholesale - Jewellery / Precious Stones / Clocks / Watches / Silverware | Engineers | Jewellery Manufacturing (Costume / Novelty) | Jewellery Manufacturing (Watches / Precious Stones / Silver) | Wholesale - Jewellery (Costume / Novelty)</t>
  </si>
  <si>
    <t>517201 | 891601 | 387202 | 387301 | 517101</t>
  </si>
  <si>
    <t>02 353 4358</t>
  </si>
  <si>
    <t>+16622359560 | +6622359560</t>
  </si>
  <si>
    <t>bmgcorporationltd@gmail.com</t>
  </si>
  <si>
    <t>https://www.hp.com/</t>
  </si>
  <si>
    <t>http://www.facebook.com/HP</t>
  </si>
  <si>
    <t>https://x.com/HP</t>
  </si>
  <si>
    <t>https://www.instagram.com/hp/</t>
  </si>
  <si>
    <t>https://www.linkedin.com/company/hp</t>
  </si>
  <si>
    <t>http://www.youtube.com/hp</t>
  </si>
  <si>
    <t>miscellaneous: webpack | security: recaptcha | javascript frameworks: stimulus | issue trackers: sentry | font scripts: google font api | security: hsts | ecommerce: squarespace commerce - 7 | javascript libraries: core-js - 3.26.0 | miscellaneous: module federation | javascript libraries: modernizr - 2.8.3 | javascript libraries: lodash - 4.17.21 | cms: squarespace - 7 | miscellaneous: open graph | ecommerce: cart functionality | javascript libraries: yui - 3.17.2 | font scripts: typekit - 1.21.0</t>
  </si>
  <si>
    <t>2020-06-02T08:25:56.000Z</t>
  </si>
  <si>
    <t>HP INC DANMARK ApS</t>
  </si>
  <si>
    <t>34d54cc7-93e5-11eb-8e19-198fb02d6f96</t>
  </si>
  <si>
    <t>HP Inc Denmark ApS</t>
  </si>
  <si>
    <t>Danske LÃ¸nsystemer ApS.</t>
  </si>
  <si>
    <t>Danlon | DanlÃ¸ns</t>
  </si>
  <si>
    <t>DK, Denmark, Capital Region of Denmark, LillerÃ¸d, 3450, Engholm Parkvej, 8, 55.86321710000001, 12.3289132</t>
  </si>
  <si>
    <t>Important Date Reminders | Employee Information Management | Security Solutions | Locksmith Services for Dance Businesses | Secure System for Users | Online Platform for Payroll Services | Lockout Notification Service | Locksmith Service | Locking System Installation and Maintenance | Webinars on Creating Employment Contracts | Data Transfer from Workforce Management Software | GDPR Compliance | Absence Management Reports | Low-cost Per Pay Slip System | Document/template Management</t>
  </si>
  <si>
    <t>KÃ¸r lÃ¸n pÃ¥ et Ã¸jeblik med DanlÃ¸n â€“ nemt, sikkert og billigtGlem alt om svÃ¦re processer og tunge lÃ¸nsystemer pÃ¥ din computer.</t>
  </si>
  <si>
    <t>KÃ¸r lÃ¸n pÃ¥ et Ã¸jeblik med DanlÃ¸n â€“ nemt, sikkert og billigt
Glem alt om svÃ¦re processer og tunge lÃ¸nsystemer pÃ¥ din computer. Hos os skal du bare oprette dig, sÃ¥ kan du hurtigt lave lÃ¸n til dine medarbejdere. Du har overblik hele vejen, og du kan teste alt, inden du godkender â€“ uanset om du skal udbetale fast lÃ¸n eller timelÃ¸n. Du kan lave lÃ¸n helt frem til kl. 10 bankdagen fÃ¸r, lÃ¸nnen skal gÃ¥ ind â€“ og opdager du en fejl, retter du nemt, hurtigt og gratis. Og hvis du har brug for hjÃ¦lp til dit arbejde med HR, kan du tilkÃ¸be DanlÃ¸n HR, som er en integreret del af DanlÃ¸n. GÃ¸r som 70.000 danske virksomheder og brug DanlÃ¸n.</t>
  </si>
  <si>
    <t>7819 | 8721</t>
  </si>
  <si>
    <t>Services Allied to Motion Picture Production (talent payment services) | Accounting, Auditing, and Bookkeeping Services (payroll services)</t>
  </si>
  <si>
    <t>Operations Consultants | Management Consultants | Employment Agencies | Software Developers (Custom) | Software Developers (Pre-Packaged)</t>
  </si>
  <si>
    <t>641403 | 641401 | 740501 | 891802 | 891801</t>
  </si>
  <si>
    <t>35 15 06 00</t>
  </si>
  <si>
    <t>+4531375428 | +4536890649 | +4542552259 | +4544562162 | +4538179365 | +4582500011 | +4535657835 | +4524240010 | +4533636431 | +4577344600 | +4526762642 | +4570806058</t>
  </si>
  <si>
    <t>salg@danlon.dk</t>
  </si>
  <si>
    <t>marketingdanlon@danlon.dk</t>
  </si>
  <si>
    <t>https://www.hp.com/dk-da/contact-hp/office-locations.html</t>
  </si>
  <si>
    <t>https://itunes.apple.com/dk/app/danl%C3%B8n/id1045009885?l=da&amp;mt=8</t>
  </si>
  <si>
    <t>https://play.google.com/store/apps/details?id=dk.danlon.app</t>
  </si>
  <si>
    <t>cookie compliance: cookie information | web servers: .net framework | javascript libraries: jquery templates | javascript frameworks: list.js | analytics: facebook custom audiences | analytics: hotjar | widgets: addthis | paas: azure | javascript libraries: webp | web servers: empathy platform | widgets: css | javascript libraries: list.js | web frameworks: microsoft asp.net | miscellaneous: pwa | security: hsts | cms: site.com | widgets: facebook | video players: wistia | retargeting: facebook custom audiences | miscellaneous: open graph | web frameworks: zurb foundation | network devices: html | miscellaneous: jquery easing | web servers: schannel | operating systems: windows server | seo tool: facebook friendly | network devices: html5 | ui frameworks: zurb foundation | javascript libraries: fastclick | web servers: iis | tag managers: google tag manager | javascript libraries: jquery | retargeting: facebook | widgets: javascript | cdn: cloudflare | javascript frameworks: jquery | analytics: google analytics</t>
  </si>
  <si>
    <t>2019-11-24T13:05:45.000Z</t>
  </si>
  <si>
    <t>HP NORGE AS</t>
  </si>
  <si>
    <t>6fb6df80-918f-11ed-9198-5108792e5842</t>
  </si>
  <si>
    <t>HP Norge | HP Norge AS</t>
  </si>
  <si>
    <t>NO, Norway, Viken, BÃ¦rum, 1364, Rolfsbuktveien, 4A, 59.8946063, 10.6276612 | NO, Norway, Viken, BÃ¦rum, 1364, Rolfsbuktveien, 4A, 59.89446419999999, 10.6276595</t>
  </si>
  <si>
    <t>Norwegian subsidiary of HP Inc. engaged in wholesale of IT hardware, printers and related technology products and services.</t>
  </si>
  <si>
    <t>IT hardware; printers; PCs; wholesale; technology solutions</t>
  </si>
  <si>
    <t>Fornebu-based HP entity focused on IT and printer products and related services.</t>
  </si>
  <si>
    <t>HP Norge AS is the Norwegian subsidiary of HP Inc., headquartered at Rolfsbuktveien 4, 1364 Fornebu. Established in 2015, the company is engaged in wholesale of information and communication technology equipment and provides sales, support and services for HP computers, printers and related solutions to Norwegian customers.</t>
  </si>
  <si>
    <t>IT equipment; PCs; printers; enterprise solutions; hardware wholesale</t>
  </si>
  <si>
    <t>IT Hardware Wholesale &amp; Services</t>
  </si>
  <si>
    <t>Wholesale of IT and printer equipment</t>
  </si>
  <si>
    <t>Wholesale Trade / ICT</t>
  </si>
  <si>
    <t>+47 23 50 00 89; +47 85 50 03 00</t>
  </si>
  <si>
    <t>hp.info@fremtidskontoret.no</t>
  </si>
  <si>
    <t>https://www.hp.com/no-no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</si>
  <si>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</si>
  <si>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</si>
  <si>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Hp Pps Sales Sdn. Bhd.</t>
  </si>
  <si>
    <t>d5c3fb2e-a8c9-11ef-9c3c-1f32e3c7982a</t>
  </si>
  <si>
    <t>HP PPS Sales Sdn Bhd</t>
  </si>
  <si>
    <t>HP PPS Sales Sdn Bhd.</t>
  </si>
  <si>
    <t>Jalan Gelenggang</t>
  </si>
  <si>
    <t>MY, Malaysia, Kuala Lumpur, Kuala Lumpur, 50490, Jalan Gelenggang, 12, 3.1507953, 101.6641021</t>
  </si>
  <si>
    <t>Malaysian HP entity responsible for selling and distributing HP computer and printer products and related solutions.</t>
  </si>
  <si>
    <t>IT hardware; printers; distribution; 3D printing; consulting; system integration</t>
  </si>
  <si>
    <t>Kuala Lumpur-based HP sales entity for PCs, printers and related solutions.</t>
  </si>
  <si>
    <t>HP PPS Sales Sdn. Bhd. is a Malaysian HP company based at Plaza Zurich, No. 12, Block A, Level 5, Jalan Gelenggang, Bukit Damansara, 50490 Kuala Lumpur. Incorporated in 2015, it focuses on selling and distributing HP computers and printers, 2D and 3D-printed materials and components, as well as providing business management solutions, consulting, system integration, maintenance, development, training and outsourcing services.</t>
  </si>
  <si>
    <t>PCs; printers; 3D printing; IT solutions; distribution; consulting</t>
  </si>
  <si>
    <t>IT Products &amp; Services</t>
  </si>
  <si>
    <t>Retail and distribution of IT and printer products</t>
  </si>
  <si>
    <t>Retail / ICT</t>
  </si>
  <si>
    <t>Motion Picture and Video Tape Production</t>
  </si>
  <si>
    <t>Motion picture, video and television programme production activities</t>
  </si>
  <si>
    <t>+60 3-2058 4866</t>
  </si>
  <si>
    <t>https://www.hp.com/my-en</t>
  </si>
  <si>
    <t>databases: mysql | web servers: apache http server | cms: wordpress | blogs: wordpress | programming languages: php</t>
  </si>
  <si>
    <t>2023-07-01T15:35:30.834Z</t>
  </si>
  <si>
    <t>HP PPS SINGAPORE (SALES) PTE. LTD.</t>
  </si>
  <si>
    <t>043024f0-93e5-11eb-b5f6-816dd10ac7b0</t>
  </si>
  <si>
    <t>HP Alumni Singapore</t>
  </si>
  <si>
    <t>SG, Singapore, Central, Singapore, 189721, Beach Road, 152, 1.2988979999999999, 103.859332801343</t>
  </si>
  <si>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</si>
  <si>
    <t>Cultural Programs | Educational Programs | Alumni Network | Event Organization | Networking Services | Social Interaction | Recreational Activities | Knowledge Sharing | Economic Developments | Networking Platform</t>
  </si>
  <si>
    <t>Interact - Network - Socialise</t>
  </si>
  <si>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</si>
  <si>
    <t>Visits &amp; Tours | Culture &amp; Recreation | Economic Development | Social Program | Alumni Members</t>
  </si>
  <si>
    <t>Schools - Not Otherwise Classified (incl Business Colleges) | Community / Civic / Special Interest Groups (Non-Medical) | Professional Associations | Trade Schools / Vocational Schools | Private Schools (Primary / Secondary Levels)</t>
  </si>
  <si>
    <t>832301 | 864401 | 862001 | 832401 | 830401</t>
  </si>
  <si>
    <t>hpa.secretariat@gmail.com</t>
  </si>
  <si>
    <t>http://www.linkedin.com/company/hp-alumni-singapore</t>
  </si>
  <si>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</si>
  <si>
    <t>2020-04-20T21:23:02.000Z</t>
  </si>
  <si>
    <t>HUAWEI INTERNATIONAL PTE. LTD.</t>
  </si>
  <si>
    <t>81727301-2350-11ec-be87-a3acfe0d4893</t>
  </si>
  <si>
    <t>Huawei International Pte Ltd</t>
  </si>
  <si>
    <t>Huawei International Pte Ltd.</t>
  </si>
  <si>
    <t>Huawei Enterprise</t>
  </si>
  <si>
    <t>SG, Singapore, Southeast, , 486066, Changi Business Park Central 2, 51, 1.3347183, 103.965082 | SG, Singapore, Southeast, , 486057, Changi South Avenue 1, 1, 1.3367847999999998, 103.9636764</t>
  </si>
  <si>
    <t>Huawei is a leading global provider of information and communications technology (ICT) infrastructure and smart devices.</t>
  </si>
  <si>
    <t>Huawei Enterprise is a telecommunications company based in Singapore.</t>
  </si>
  <si>
    <t>6825 4200</t>
  </si>
  <si>
    <t>http://www.huawei.com/sg/</t>
  </si>
  <si>
    <t>2021-12-09T03:21:43.000Z</t>
  </si>
  <si>
    <t>Huawei Technologies (Bangladesh) Limited.</t>
  </si>
  <si>
    <t>b51941d7-93e4-11eb-a746-fdabd18be9c6</t>
  </si>
  <si>
    <t>Huawei Technologies South Asia Representative Office</t>
  </si>
  <si>
    <t>Huawei Technologies Bangladesh Ltd.</t>
  </si>
  <si>
    <t>Shahidul Islam Sarker | Engr. Md. Shahidul Islam Sarker</t>
  </si>
  <si>
    <t>South Badda Road</t>
  </si>
  <si>
    <t>BD, Bangladesh, Dhaka Division, Dhaka, , , , 23.7644025, 90.389015 | BD, Bangladesh, Dhaka Division, Savar, 1340, , , 23.8250068, 90.2707234 | BD, Bangladesh, Rajshahi Division, Chapainawabganj, 6300, , , 24.595275299999997, 88.2713785</t>
  </si>
  <si>
    <t>Explore the latest technologies in smartphones, laptops, tablets, accessories, and smart home devices with HUAWEI, check out  HUAWEI P40 Pro ,HUAWEI Mate 30 Pro，HUAWEI Band 6,HUAWEI WATCH GT 2 Pro，HUAWEI MateBook X Pro 2020 and HUAWEI MatePad 11.</t>
  </si>
  <si>
    <t>Housing Complex | Volunteer Community | Civil Engineering Services | Community And Economic Development | Political Involvement | Telecommunications Construction Services | Peace and Conflict Resolution Services | Real Estate Development | Constructing Infinity | Social Workers</t>
  </si>
  <si>
    <t>Shahidul Islam Sarker is a political organization based in Dhaka, Bangladesh.</t>
  </si>
  <si>
    <t>Letâ€™s Know Each Other Hello !I am, Engr. Md. Shahidul Islam Sarker, a Bangladeshi Entrepreneur, Social Worker, Politician, Community volunteer. work...</t>
  </si>
  <si>
    <t>Civil Engineering | Alumni Associations | Social Workers | Higher Secondary School | Organizational Development | Construction Managments | Quality Control | Secondary Schools | Government College | Rotary International</t>
  </si>
  <si>
    <t>Political Organizations</t>
  </si>
  <si>
    <t>Activities of political organizations</t>
  </si>
  <si>
    <t>Activities of political organisations</t>
  </si>
  <si>
    <t>01878-241545</t>
  </si>
  <si>
    <t>info@shahidulsarker.com</t>
  </si>
  <si>
    <t>https://consumer.huawei.com/bd</t>
  </si>
  <si>
    <t>bn</t>
  </si>
  <si>
    <t>https://www.facebook.com/HuaweimobileBD</t>
  </si>
  <si>
    <t>https://www.instagram.com/huaweibangladesh</t>
  </si>
  <si>
    <t>https://www.youtube.com/channel/UCsULJGVf0aC64Ofh77Z5sow</t>
  </si>
  <si>
    <t>javascript libraries: jquery ui - 1.13.2 | wordpress plugins: contact form 7 - 5.7.7 | maps: google maps | javascript libraries: swiper | miscellaneous: webpack | seo: yoast seo | wordpress plugins: wp live visitor counter | page builders: elementor - 3.15.3 | javascript libraries: core-js - 3.30.1 | font scripts: google font api | javascript libraries: jquery - 3.6.1 | databases: mysql | miscellaneous: module federation | font scripts: ionicons | form builders: contact form 7 - 5.7.7 | blogs: wordpress - 6.1.4 | miscellaneous: open graph | cms: wordpress - 6.1.4 | web servers: apache http server | programming languages: php - 7.4.33 | javascript libraries: modernizr - 2.6.2 | widgets: wp live visitor counter | wordpress plugins: elementor - 3.15.3 | javascript libraries: isotope | font scripts: twitter emoji (twemoji) - 14.0.2 | javascript libraries: jquery migrate - 3.3.2 | seo: yoast seo premium - 15.4 | wordpress plugins: yoast seo</t>
  </si>
  <si>
    <t>2020-12-03T06:28:03.000Z</t>
  </si>
  <si>
    <t>HUAWEI TECHNOLOGIES (DENMARK) ApS</t>
  </si>
  <si>
    <t>47d1fe26-4a46-11ef-a31d-a303c6a91d6a</t>
  </si>
  <si>
    <t>Huawei Technologies Denmark Aps</t>
  </si>
  <si>
    <t>Huawei Denmark</t>
  </si>
  <si>
    <t>Vestre Teglgade</t>
  </si>
  <si>
    <t>DK, Denmark, Capital Region of Denmark, Copenhagen, 2450, StÃ¸berigade, 14, 55.648721, 12.550239</t>
  </si>
  <si>
    <t>Huaweis is a technology company that aims to contribute to technological innovation by utilizing cloud computing, software-defined networking, big data, and the internet to create open, flexible, resilient and secure platforms. They strive to create a technological ecosystem where collaboration and collaboration are encouraged in a win-win synergy. Huaweish focuses on working with customers and partners to help clients across industries achieve their technical goals and contribute to digital transformation.</t>
  </si>
  <si>
    <t>Innovation Accelerator | Cloud Computing Solutions | Technology Startup Incubator | Technology Ecosystem | Bigdata Solutions | Internet of Things Solutions | Software-defined Networking Solutions</t>
  </si>
  <si>
    <t>Ved konstant at bidrage til den teknologiske innovation er Huaweis mÃ¥lsÃ¦tning at bruge cloud computing, software-fefined networking, big data og tingenes internet til at skabe Ã¥bne, fleksible, modstandsdygtige og sikre platforme.</t>
  </si>
  <si>
    <t>Ved konstant at bidrage til den teknologiske innovation er Huaweis mÃ¥lsÃ¦tning at bruge cloud computing, software-fefined networking, big data og tingenes internet til at skabe Ã¥bne, fleksible, modstandsdygtige og sikre platforme. PÃ¥ den mÃ¥de bidrager Huawei til at skabe et teknologisk Ã¸kosystem, hvor alle samarbejder og bidrager i en win-win synergi. Huaweis mÃ¥l er derfor at Ã¸ge til innovationen i samarbejde med kunder og partnere ved at hjÃ¦lpe kunder pÃ¥ tvÃ¦rs af industrien med at opnÃ¥ deres tekniske mÃ¥lsÃ¦tninger. PÃ¥ den mÃ¥de kan vi innovere i fÃ¦llesskab og bidrage til den digitale transformation.</t>
  </si>
  <si>
    <t>Bigdata | Cloud &amp; Computing IC | IT Consulting Services</t>
  </si>
  <si>
    <t>http://www.linkedin.com/company/huawei-denmark</t>
  </si>
  <si>
    <t>2024-07-25T05:23:45.895Z</t>
  </si>
  <si>
    <t>Huawei Technologies (Malaysia) Sdn. Bhd.</t>
  </si>
  <si>
    <t>0eaa72e1-bfff-11ec-a989-57067b159e5c</t>
  </si>
  <si>
    <t>Thrive Tech | Thrive Technologies | Thrive Technologies Malaysia</t>
  </si>
  <si>
    <t>Jalan Tun Razak</t>
  </si>
  <si>
    <t>MY, Malaysia, Kuala Lumpur, Kuala Lumpur, 51000, Jalan Sentul Jaya, 18, 3.1947191, 101.6895752</t>
  </si>
  <si>
    <t>Web Design Services | Email Marketing Services | Web Development Agency | Web-based Information Technology Solutions | SMS Marketing Services Provider | Mobile App Development Services | Digital Marketing Agencies | Mobile and Hosting Development | Custom Programming Services | Customized Systems Development | E-Commerce Development | Web Presence Creation and Management | Website Maintenance | Onsite Services</t>
  </si>
  <si>
    <t>Web Design KL 2024. We help to build responsive website, e-commerce, customized system, SEO and other IT service to grow your online business.</t>
  </si>
  <si>
    <t>Full Service provider that offers a wide range of Web-Based information technology services to other companies â€“ including the planning and creation of a Web presence, providing needed mobile development and hosting and maintaining the website.</t>
  </si>
  <si>
    <t>Wordpress Development | Mobile Application Development | Software Development | Website Development | Mobile Developers | Information Technology Services</t>
  </si>
  <si>
    <t>03-2175 5550</t>
  </si>
  <si>
    <t>+60165638631 | +60166358631</t>
  </si>
  <si>
    <t>sales@thrivetech.com.my</t>
  </si>
  <si>
    <t>https://www.huawei.com/my/</t>
  </si>
  <si>
    <t>https://www.facebook.com/ThriveTechMY/</t>
  </si>
  <si>
    <t>https://twitter.com/ThriveTechMY</t>
  </si>
  <si>
    <t>https://www.instagram.com/thrivetechmy/</t>
  </si>
  <si>
    <t>https://www.linkedin.com/company/thrive-technologies-malaysia</t>
  </si>
  <si>
    <t>miscellaneous: http/3 | databases: mysql | cms: wordpress | blogs: wordpress | cdn: cloudflare | programming languages: php</t>
  </si>
  <si>
    <t>2022-04-10T21:43:44.000Z</t>
  </si>
  <si>
    <t>HUAWEI TECHNOLOGIES (THAILAND) CO., LTD.</t>
  </si>
  <si>
    <t>98a3b367-2d1d-11ed-bff5-21b6c2658068</t>
  </si>
  <si>
    <t>Huawei Technologies (Thailand) Company Limited</t>
  </si>
  <si>
    <t>Huawei Technologies Thailand Co Ltd.</t>
  </si>
  <si>
    <t>Grand Rama 9</t>
  </si>
  <si>
    <t>TH, Thailand, Bangkok, , , , , ,</t>
  </si>
  <si>
    <t>Research and Development | Fiberglass Insulation Services | Green-3 Insulation Products</t>
  </si>
  <si>
    <t>Huawei Technologies Thailand Co Ltd. is a drywall &amp; insulation contractor based in Thailand.</t>
  </si>
  <si>
    <t>Drywall &amp; Insulation Contractors</t>
  </si>
  <si>
    <t>1743 | 1791 | 1799 | 1752 | 1742</t>
  </si>
  <si>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</si>
  <si>
    <t>4329 | 4330 | 4390</t>
  </si>
  <si>
    <t>Other construction installation | Building completion and finishing | Other specialized construction activities</t>
  </si>
  <si>
    <t>43.29 | 43.91 | 43.99</t>
  </si>
  <si>
    <t>Other construction installation | Roofing activities | Other specialised construction activities n.e.c.</t>
  </si>
  <si>
    <t>02 095 8199</t>
  </si>
  <si>
    <t>+6622811611 | +66891103715 | +66972493639 | +6626566101 | +6628845228 | +66656479399 | +6626109982 | +66861290293 | +6626522854 | +6627213771 | +66832222456 | +66917866446 | +6621147709 | +6620909000 | +6622819011 | +66928687997 | +66850822662 | +6627802078 | +66802423959 | +66873321320</t>
  </si>
  <si>
    <t>http://www.huawei.com/</t>
  </si>
  <si>
    <t>2022-09-02T15:16:00.000Z</t>
  </si>
  <si>
    <t>HUAWEI TECHNOLOGIES NORWAY AS</t>
  </si>
  <si>
    <t>fea798e2-1afc-11ec-9308-05476ec24aab</t>
  </si>
  <si>
    <t>Huawei Technologies Norway AS</t>
  </si>
  <si>
    <t>NO, Norway, Viken, BÃ¦rum, 1364, Rolfsbuktveien, 4C, 59.8941105, 10.6285755</t>
  </si>
  <si>
    <t>telecom equipment; ICT infrastructure; enterprise solutions; carrier networks; cloud</t>
  </si>
  <si>
    <t>Fornebu-based Huawei subsidiary delivering telecom and ICT solutions.</t>
  </si>
  <si>
    <t>Huawei Technologies Norway AS is the Norwegian subsidiary of Huawei, located at Rolfsbuktveien 4C, 1364 Fornebu. Established in 2007, it provides telecom network equipment, ICT infrastructure, cloud and enterprise solutions and related services to carriers and enterprises in Norway and the Nordic region.</t>
  </si>
  <si>
    <t>RAN; core network; ICT infrastructure; enterprise ICT; cloud solutions</t>
  </si>
  <si>
    <t>Telecommunications Equipment &amp; Solutions</t>
  </si>
  <si>
    <t>Telecom and ICT equipment and services</t>
  </si>
  <si>
    <t>21 62 90 90</t>
  </si>
  <si>
    <t>+47 67 83 59 67</t>
  </si>
  <si>
    <t>https://consumer.huawei.com/no/</t>
  </si>
  <si>
    <t>2021-10-26T07:59:09.000Z</t>
  </si>
  <si>
    <t>HUAWEI TECHNOLOGIES PAKISTAN (PRIVATE) LIMITED</t>
  </si>
  <si>
    <t>ca2f9ba8-8aa4-11ec-9066-739984ffef59</t>
  </si>
  <si>
    <t>Huawei Technologies Pakistan</t>
  </si>
  <si>
    <t>HUAWEI Pakistan</t>
  </si>
  <si>
    <t>Jinnah Avenue</t>
  </si>
  <si>
    <t>PK, Pakistan, Islamabad Capital Territory, Islamabad, 44000, , , 33.6938118, 73.0651511</t>
  </si>
  <si>
    <t>Telecom Networks Solutions | Smart Devices | Information and Communication Infrastructure | ICT Infrastructure Solutions | ICT Solutions Provider | Cloud Solutions Services</t>
  </si>
  <si>
    <t>Huawei is a leading global provider of information and communications technology (ICT) infrastructure and smart devices. With integrated solutions across four key domains â€“ telecom networks, IT, smart devices, and cloud services â€“ we are committed to bringing digital to every person, home and organization for a fully connected, intelligent world.</t>
  </si>
  <si>
    <t>Cloud Services | Telecom Networks | Smart Devices | Personal &amp; Home | Telecommunications Services</t>
  </si>
  <si>
    <t>Communication Equipment Installation - Residential | Communication Equipment Installation - Commercial | Auto Repair Garage (No heavy trucks) | Retail - Electronics (Consumer / Office, No Off Premises Install/Repair) | Retail - Electronics (Install / Repair Off Premises)</t>
  </si>
  <si>
    <t>153401 | 153402 | 551301 | 571401 | 571801</t>
  </si>
  <si>
    <t>(051) 2096014</t>
  </si>
  <si>
    <t>http://www.linkedin.com/company/huawei-pakistan11</t>
  </si>
  <si>
    <t>2022-02-07T05:22:11.000Z</t>
  </si>
  <si>
    <t>Huawei Technologies Sweden AB</t>
  </si>
  <si>
    <t>e0fcb950-453e-11ee-9a94-efaadc7f2382</t>
  </si>
  <si>
    <t>Huawei Sweden Hackathon</t>
  </si>
  <si>
    <t>169 03</t>
  </si>
  <si>
    <t>50A</t>
  </si>
  <si>
    <t>Swedish subsidiary of Huawei focusing on research, development and delivery of ICT and telecom solutions.</t>
  </si>
  <si>
    <t>telecom R&amp;D; ICT infrastructure; 5G; networking; enterprise solutions</t>
  </si>
  <si>
    <t>Solna-based Huawei subsidiary for ICT and telecom solutions in Sweden.</t>
  </si>
  <si>
    <t>Huawei Technologies Sweden AB is Huawei’s Swedish subsidiary headquartered in Solna, Stockholm County. Founded in 2000, it focuses on research and development and delivery of telecom and ICT solutions, including 5G and cloud infrastructure, to carriers and enterprises in Sweden and the Nordic region.</t>
  </si>
  <si>
    <t>telecom R&amp;D; 5G; ICT infrastructure; cloud; enterprise networking</t>
  </si>
  <si>
    <t>334220</t>
  </si>
  <si>
    <t>Telecom R&amp;D and Equipment</t>
  </si>
  <si>
    <t>Telecom and ICT research and equipment</t>
  </si>
  <si>
    <t>Research and experimental development on natural sciences and engineering</t>
  </si>
  <si>
    <t>Other research and experimental development on natural sciences and engineering</t>
  </si>
  <si>
    <t>08-120 606 88</t>
  </si>
  <si>
    <t>+46 8 4088 4490</t>
  </si>
  <si>
    <t>https://www.huawei.com/se</t>
  </si>
  <si>
    <t>2023-08-28T01:04:38.270Z</t>
  </si>
  <si>
    <t>HUBER+SUHNER A/S</t>
  </si>
  <si>
    <t>7d5aecb0-1b05-11ec-88d5-df9161de908b</t>
  </si>
  <si>
    <t>Huber+Suhner A/S</t>
  </si>
  <si>
    <t>Huber Suhner A/S.</t>
  </si>
  <si>
    <t>Værløse</t>
  </si>
  <si>
    <t>Kirke Værløsevej</t>
  </si>
  <si>
    <t>DK, Denmark, Capital Region of Denmark, VÃ¦rlÃ¸se, 3500, Kirke VÃ¦rlÃ¸sevej, 14, 55.78222110000001, 12.366638300000002</t>
  </si>
  <si>
    <t>Huber+Suhner A/S is an electronics manufacturer based in VÃ¦rlÃ¸se, Denmark. The company operates within the electronics industry, focusing on the production of various electronic products.</t>
  </si>
  <si>
    <t>Electronics Manufacturing Services | Electronic Devices</t>
  </si>
  <si>
    <t>Huber Suhner A/S. is an electronical components manufacturer based in VÃ¦rlÃ¸se, Denmark.</t>
  </si>
  <si>
    <t>48 10 05 00</t>
  </si>
  <si>
    <t>2021-08-20T06:52:50.000Z</t>
  </si>
  <si>
    <t>Huber+Suhner AG</t>
  </si>
  <si>
    <t>0ac24602-93e5-11eb-8474-3bbe2d07207d</t>
  </si>
  <si>
    <t>HUBER+SUHNER AG</t>
  </si>
  <si>
    <t>HUBER SUHNER GmbH | Huber Suhner M Sdn Bhd. | Huber &amp; Suhner Hong Kong Limited | HUBER SUHNER Astrolab Inc.</t>
  </si>
  <si>
    <t>HUBER SUHNER Sales Partners | Huber Suhner AmÃ©rica Latina</t>
  </si>
  <si>
    <t>Appenzell Ausserrhoden</t>
  </si>
  <si>
    <t>Herisau</t>
  </si>
  <si>
    <t>Degersheimerstrasse</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</si>
  <si>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InselkammerstraÃŸe, 14, 48.0552595, 11.610175 | MY, Malaysia, Selangor, Petaling Jaya, 46050, Jalan Tandang 51/205A, 51/205a, 3.0883528000000005, 101.6318218 | HK, Hong Kong, Hong Kong, Sha Tin, , Sha Tin Rural Committee Road, 138, 22.385660999999995, 114.187766 | CH, Switzerland, Zurich, PfÃ¤ffikon, 8330, Tumbelenstrasse, 20, 47.3648481, 8.782629479008852 | FR, France, Ile-de-France, Voisins-le-Bretonneux, 78960, Rue Jacques Cartier, , 48.7608528137207, 2.058497667312622 | GB, United Kingdom, England, Cambridge, CB4 0WN, Science Park, 332, 52.2323064, 0.1432612</t>
  </si>
  <si>
    <t>public company</t>
  </si>
  <si>
    <t>connectivity; RF; fiber optics; cables; connectors; industrial solutions</t>
  </si>
  <si>
    <t>Herisau-based manufacturer of electrical and optical connectivity solutions.</t>
  </si>
  <si>
    <t>We connect people with people by connecting things with things</t>
  </si>
  <si>
    <t>RF components; fiber optic systems; cables; connectors; connectivity solutions</t>
  </si>
  <si>
    <t>334417</t>
  </si>
  <si>
    <t>Electronic Connector Manufacturing</t>
  </si>
  <si>
    <t>Connectivity Components &amp; Systems</t>
  </si>
  <si>
    <t>Electrical and optical connectivity products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</si>
  <si>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</si>
  <si>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Manufacture of fibre optic cables</t>
  </si>
  <si>
    <t>509201 | 349501 | 357001 | 349502 | 153401</t>
  </si>
  <si>
    <t>071 353 41 11</t>
  </si>
  <si>
    <t>+41 71 353 41 11</t>
  </si>
  <si>
    <t>info@hubersuhner.com</t>
  </si>
  <si>
    <t>info.polatis@hubersuhner.com | sales.phoenixdynamics@hubersuhner.com | info@hubersuhner.com | info.uk@hubersuhner.com | info.de@hubersuhner.com</t>
  </si>
  <si>
    <t>richard.haemmerli@hubersuhner.com</t>
  </si>
  <si>
    <t>http://www.hubersuhner.com/</t>
  </si>
  <si>
    <t>https://facebook.com/pages/HUBERSUHNER-AG/606416669401462</t>
  </si>
  <si>
    <t xml:space="preserve">//www.eastddx.com	</t>
  </si>
  <si>
    <t>https://www.instagram.com/hubersuhner_careers</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</si>
  <si>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</si>
  <si>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</si>
  <si>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</si>
  <si>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</si>
  <si>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</si>
  <si>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HUBER+SUHNER ELECTRONICS PRIVATE LIMITED</t>
  </si>
  <si>
    <t>Huber &amp; Suhner</t>
  </si>
  <si>
    <t>Tolstoy Marg</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</si>
  <si>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</si>
  <si>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</si>
  <si>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</si>
  <si>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</si>
  <si>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Manufacture of electronic components and boards</t>
  </si>
  <si>
    <t>26.11 | 26.12</t>
  </si>
  <si>
    <t>Manufacture of electronic components | Manufacture of loaded electronic boards</t>
  </si>
  <si>
    <t>0124 452 6100</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</si>
  <si>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</si>
  <si>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Hum Network Limited</t>
  </si>
  <si>
    <t>395074a2-93e5-11eb-a746-fdabd18be9c6</t>
  </si>
  <si>
    <t>HUM Network Limited | I-Television Network Limited</t>
  </si>
  <si>
    <t>Hum Network</t>
  </si>
  <si>
    <t>Hassan Ali Street</t>
  </si>
  <si>
    <t>PK, Pakistan, Sindh, Karachi Division, , , , ,  | PK, Pakistan, Punjab, Lahore, 54010, , , 31.5656822, 74.3141829</t>
  </si>
  <si>
    <t>Pakistani television network</t>
  </si>
  <si>
    <t>television network; entertainment; media; broadcasting; digital media</t>
  </si>
  <si>
    <t>Karachi-based television and media network operating the HUM family of channels.</t>
  </si>
  <si>
    <t>Hum Network Limited is a Pakistani media company headquartered in Karachi. Incorporated in 2004, it operates entertainment and news television channels under the HUM brand, along with magazines and digital media platforms, focusing on South Asian dramas, lifestyle and news content.</t>
  </si>
  <si>
    <t>TV broadcasting; entertainment; news; media marketing; satellite channels</t>
  </si>
  <si>
    <t>Media &amp; Broadcasting</t>
  </si>
  <si>
    <t>Television broadcasting and media content</t>
  </si>
  <si>
    <t>Motion Picture / Television Production (incl Commercials) | Motion Picture / Television Distribution (incl Exchanges) | Retail - Audio / Video Media Sales / Rentals (Music / Movies / Etc) | Photographers' Studios (Incl Away from Premises) | Music / Sound Recording Studio</t>
  </si>
  <si>
    <t>Television programming and broadcasting activities</t>
  </si>
  <si>
    <t>781101 | 781201 | 571501 | 729201 | 489102</t>
  </si>
  <si>
    <t>(021) 111 486 111</t>
  </si>
  <si>
    <t>+17034169134 | +922132628840 | +92518777000</t>
  </si>
  <si>
    <t>mohsin.naeem@hum.tv</t>
  </si>
  <si>
    <t>http://www.hum.tv/</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</si>
  <si>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</si>
  <si>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</si>
  <si>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</si>
  <si>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2019-11-24T03:43:40.000Z</t>
  </si>
  <si>
    <t>Human Edge Management AG</t>
  </si>
  <si>
    <t>14161f0e-93e5-11eb-97db-273ba5953680</t>
  </si>
  <si>
    <t>Human Edge</t>
  </si>
  <si>
    <t>Human Edge | Human Edge Management AG | Human edge AG | Human Edge Management</t>
  </si>
  <si>
    <t>Basel-Stadt</t>
  </si>
  <si>
    <t>Basel</t>
  </si>
  <si>
    <t>Faidostrasse</t>
  </si>
  <si>
    <t>CH, Switzerland, Basel-City, Basel, 4059, Faidostrasse, 9, 47.5338195, 7.585920999999999 | US, United States, New York, New York, 10019, Broadway, 1675, 40.76314215, -73.98354820006537</t>
  </si>
  <si>
    <t>Swiss-based management consulting company focusing on leadership development, talent management and organisational development.</t>
  </si>
  <si>
    <t>management consulting; leadership development; coaching; talent management; training</t>
  </si>
  <si>
    <t>Basel-based management consultancy specialised in leadership and talent development.</t>
  </si>
  <si>
    <t>Human Edge Management AG is a Swiss management consulting firm headquartered in Basel. It provides leadership development, executive and team coaching, talent management and organisational development services for corporate and nonprofit clients.</t>
  </si>
  <si>
    <t>leadership coaching; talent development; organisational consulting; training; HR consulting</t>
  </si>
  <si>
    <t>Management &amp; HR Consulting</t>
  </si>
  <si>
    <t>Leadership and talent development consulting</t>
  </si>
  <si>
    <t>Business Consulting Services, NEC</t>
  </si>
  <si>
    <t>Social / Counselling / Consulting Services | Management Consultants | Strategic Consultants | Operations Consultants | Marketing Consultants</t>
  </si>
  <si>
    <t>808501 | 641401 | 641406 | 641403 | 641405</t>
  </si>
  <si>
    <t>061 229 38 34</t>
  </si>
  <si>
    <t>+41612293834 | +41615640356</t>
  </si>
  <si>
    <t>info@human-edge.com</t>
  </si>
  <si>
    <t>http://human-edge.com/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</si>
  <si>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</si>
  <si>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</si>
  <si>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</si>
  <si>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</si>
  <si>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</si>
  <si>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</si>
  <si>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2020-05-01T03:14:34.000Z</t>
  </si>
  <si>
    <t>Hydro Energi AS</t>
  </si>
  <si>
    <t>f035adb0-d13e-11ec-a4fa-c3f40e4b757a</t>
  </si>
  <si>
    <t>Hydro</t>
  </si>
  <si>
    <t>Hydro Rein | Hydro Rein AS</t>
  </si>
  <si>
    <t>Drammensveien</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</si>
  <si>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</si>
  <si>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Hydro is a leading aluminium and renewable energy company that builds businesses and partnerships for a more sustainable future. We have 32,000 employees in more than 140 locations and 40 countries.</t>
  </si>
  <si>
    <t>hydropower; energy trading; renewable energy; power purchase agreements; electricity</t>
  </si>
  <si>
    <t>Oslo-based hydropower and energy sourcing company within the Hydro group.</t>
  </si>
  <si>
    <t>Hydro Energi AS is a Norwegian energy company based at Drammensveien 264, 0283 Oslo. It manages hydropower production and energy sourcing for Norsk Hydro’s aluminium operations and acts as a major power market participant in the Nordics, including signing long-term renewable power purchase agreements.</t>
  </si>
  <si>
    <t>hydropower generation; energy sourcing; power trading; renewable PPAs</t>
  </si>
  <si>
    <t>Renewable Energy – Hydropower</t>
  </si>
  <si>
    <t>Hydroelectric power generation and trading</t>
  </si>
  <si>
    <t>Electric Power Generation</t>
  </si>
  <si>
    <t>Electric Services</t>
  </si>
  <si>
    <t>Production of electricity</t>
  </si>
  <si>
    <t>22 53 81 00</t>
  </si>
  <si>
    <t>+4722538100 | +4792283178 | +552139079400 | +46709994119 | +5591988956867</t>
  </si>
  <si>
    <t>rein@hydro.com</t>
  </si>
  <si>
    <t>http://www.hydro.com/</t>
  </si>
  <si>
    <t>https://www.facebook.com/norskhydroasa</t>
  </si>
  <si>
    <t>https://www.instagram.com/norskhydroasa/?hl=nb</t>
  </si>
  <si>
    <t>https://www.linkedin.com/company/norsk-hydro/?originalSubdomain=no</t>
  </si>
  <si>
    <t>https://www.youtube.com/channel/UCEOwf5jNlgcSFdjxEZootow</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</si>
  <si>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</si>
  <si>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2022-03-05T09:08:08.000Z</t>
  </si>
  <si>
    <t>IBM DANMARK A/S</t>
  </si>
  <si>
    <t>0131b200-93e5-11eb-a736-0f5b20ecb2f1</t>
  </si>
  <si>
    <t>IBM Danmark ApS</t>
  </si>
  <si>
    <t>SJEC Danmark A/S. | SJEC Corporation</t>
  </si>
  <si>
    <t>SJEC | SJEC Danmark</t>
  </si>
  <si>
    <t>Sundkrogsgade</t>
  </si>
  <si>
    <t>DK, Denmark, Region Zealand, Jyllinge, 4040, MÃ¸llehaven, 7B, 55.757247899999996, 12.127092600000001 | DK, Denmark, Capital Region of Denmark, Elsinore, 3000, Gammel BanegÃ¥rdsvej, 5A, 56.03398513793945, 12.604454040527344 | DK, Denmark, Capital Region of Denmark, Herlev, 2730, Soklen, 2, 55.71880340576172, 12.438690185546875 | DK, Denmark, Region of Southern Denmark, Svendborg, 5700, Otte Ruds Vej, 5, 55.05271911621094, 10.611096382141113</t>
  </si>
  <si>
    <t>For more than a century, IBM has been a global technology innovator, leading advances in AI, automation and hybrid cloud solutions that help businesses grow.</t>
  </si>
  <si>
    <t>Intelligent Software Solutions | Automatic Doors | Contractors Equipment | Energy-efficient Elevators | Roller Shutters Manufacturer | Maintenance Agreement | Door Supplier | Repair Services | Elevator and Escalator Services | Energy-efficient Motors | Energy-efficient Design | Mobility Equipment Supplier | Rolling Walkways | Door Manufacturer | Elevator and Escalator Manufacturing | Design Services | Services &amp; Plans | Consulting Services | E Services | Design Efficiency | Escalators Manufacturer</t>
  </si>
  <si>
    <t>SJEC Danmark tilbyder professionel salg, rÃ¥dgivning, projektering og servicering af elevatorer, lifte, rulletrapper, rullefortove, og automatiske dÃ¸re</t>
  </si>
  <si>
    <t>SJEC Danmark tilbyder rÃ¥dgivning og projektering til alle byggeprojekter med elevatorer, lifte, rulletrapper, rullefortove og automatiske dÃ¸re. BÃ¦redygtighed, hÃ¸j kvalitet og driftssikkerhed SJEC produkter er kendetegnede ved lavt energiforbrug, god kvalitet og hÃ¸j sikkerhed. Det opnÃ¥s blandt andet ved ny teknologi med gearlÃ¸se motorer og intelligente styringer. Alle SJEC produkter er designet til en Energiklasse A installation, og lever op til gÃ¦ldende sikkerhedskrav. Vi kan tilbyde servicepakker med op til 5 Ã¥rs garanti pÃ¥ SJEC produkter, pakkerne inkluderer dÃ¸gnservice og al vedligeholdelse.</t>
  </si>
  <si>
    <t>Construction | Elevators And Escalators | Energy-saving Products | Products 2</t>
  </si>
  <si>
    <t>Heavy Construction Equipment</t>
  </si>
  <si>
    <t>Industrial Machinery</t>
  </si>
  <si>
    <t>Elevators and Moving Stairways</t>
  </si>
  <si>
    <t>Elevator / Escalator / Moving Sidewalk Manufacturing | Elevators / Escalators - Installation / Service | Construction - Fences / Decks | Doors / Windows / Awnings / Sidings - Installation | Conveyor Systems - Installation</t>
  </si>
  <si>
    <t>Manufacture of lifting and handling equipment</t>
  </si>
  <si>
    <t>369301 | 173501 | 152201 | 176601 | 153101</t>
  </si>
  <si>
    <t>45 24 00 00</t>
  </si>
  <si>
    <t>+4531531195 | +4520766533 | +4522885373 | +4540102067 | +4530308171 | +4522100779 | +4525542862 | +4531265355 | +4522884652 | +4570202688 | +4522284340</t>
  </si>
  <si>
    <t>info@sjecdanmark.dk</t>
  </si>
  <si>
    <t>info@sjecdanmark.dk | projekt@sjecdanmark.dk | service@sjecdanmark.dk</t>
  </si>
  <si>
    <t>khs@sjecdanmark.dk | kj@sjecdanmark.dk | 20cbr@sjecdanmark.dk | 20os@sjecdanmark.dk | 20ph@sjecdanmark.dk | 20kj@sjecdanmark.dk | ct@sjecdanmark.dk | cbr@sjecdanmark.dk | aa@sjecdanmark.dk | 20op@sjecdanmark.dk | cr@sjecdanmark.dk | 20aa@sjecdanmark.dk | op@sjecdanmark.dk | ph@sjecdanmark.dk | 20cr@sjecdanmark.dk | 20khs@sjecdanmark.dk | os@sjecdanmark.dk | 20ct@sjecdanmark.dk</t>
  </si>
  <si>
    <t>https://www.ibm.com/dk-en</t>
  </si>
  <si>
    <t>https://www.facebook.com/SjecDanmark/</t>
  </si>
  <si>
    <t>https://www.linkedin.com/company/sjec-danmark</t>
  </si>
  <si>
    <t>javascript libraries: lodash | operating systems: centos | wordpress plugins: rankmath seo | javascript libraries: core-js | seo: rankmath seo | javascript frameworks: chosen | javascript frameworks: mootools | ui frameworks: bootstrap | javascript libraries: webp | widgets: issuu | web servers: empathy platform | performance: priority hints | web frameworks: bootstrap | javascript libraries: swiper | miscellaneous: webpack | wordpress plugins: elementor | javascript frameworks: vue.js | widgets: css | javascript libraries: lazysizes | miscellaneous: x | javascript graphics: anime.js | font scripts: google font api | reverse proxies: nginx | miscellaneous: issuu | analytics: site kit | databases: mysql | miscellaneous: module federation | issue trackers: really simple discovery | miscellaneous: whatsapp | wordpress plugins: crocoblock jetelements | cms: site.com | miscellaneous: open graph | reverse proxies: nunjucks | network devices: html | miscellaneous: jquery easing | javascript libraries: jquery ui | javascript frameworks: jquery migrate | web servers: apache | network devices: html5 | miscellaneous: facebook | javascript libraries: imagesloaded | cms: wordpress | web frameworks: chosen | blogs: wordpress | tag managers: google tag manager | miscellaneous: linkedin | wordpress plugins: site kit | javascript libraries: jquery | widgets: javascript | font scripts: twitter emoji (twemoji) | web servers: nginx | programming languages: php | wordpress themes: hello elementor | javascript libraries: jquery migrate | performance: lazysizes | page builders: elementor | cms: joomla | miscellaneous: instagram | javascript frameworks: jquery | analytics: google analytics</t>
  </si>
  <si>
    <t>2020-02-25T19:09:36.000Z</t>
  </si>
  <si>
    <t>Idemia France SAS</t>
  </si>
  <si>
    <t>976c5d8b-a115-11ed-9b5e-95d2e795e3d1</t>
  </si>
  <si>
    <t>Idemia</t>
  </si>
  <si>
    <t>IDEMIA France SAS</t>
  </si>
  <si>
    <t>Courbevoie</t>
  </si>
  <si>
    <t>Place Samuel de Champlain</t>
  </si>
  <si>
    <t>FR, France, , , , , , 46.603354, 1.8883335</t>
  </si>
  <si>
    <t>We make it safer and easier for people to pay, connect, be identified, access, travel and stay safe in the physical and digital worlds.</t>
  </si>
  <si>
    <t>digital identity; biometrics; payment security; SIM and eSIM; authentication; cybersecurity</t>
  </si>
  <si>
    <t>Courbevoie-based provider of digital identity and security solutions.</t>
  </si>
  <si>
    <t>IDEMIA France SAS is a French technology company headquartered at 2 place Samuel de Champlain, 92400 Courbevoie. It develops digital identity and security solutions such as biometric systems, secure payment cards, SIM and eSIM, mobile identity platforms and access control for financial institutions, mobile operators and public sector clients worldwide.</t>
  </si>
  <si>
    <t>identity verification; biometrics; payment cards; SIM/eSIM; secure authentication</t>
  </si>
  <si>
    <t>Other Communications Equipment Manufacturing</t>
  </si>
  <si>
    <t>Digital Identity &amp; Security</t>
  </si>
  <si>
    <t>Digital identity, payment and security solutions</t>
  </si>
  <si>
    <t>01 73 60 20 20</t>
  </si>
  <si>
    <t>+33 1 73 60 20 20</t>
  </si>
  <si>
    <t>dpo@idemia.com</t>
  </si>
  <si>
    <t>https://www.idemia.com/</t>
  </si>
  <si>
    <t>https://www.facebook.com/IdemiaGroup/</t>
  </si>
  <si>
    <t>https://twitter.com/IdemiaGroup</t>
  </si>
  <si>
    <t>https://www.instagram.com/idemiagroup/</t>
  </si>
  <si>
    <t>https://www.linkedin.com/company/3488/</t>
  </si>
  <si>
    <t>https://www.youtube.com/IDEMIA</t>
  </si>
  <si>
    <t>2023-01-31T00:16:42.000Z</t>
  </si>
  <si>
    <t>OBERTHUR TECHNOLOGIES NORWAY AS</t>
  </si>
  <si>
    <t>04ebfae0-93e5-11eb-91fb-73d498260b10</t>
  </si>
  <si>
    <t>IDEMIA</t>
  </si>
  <si>
    <t>Oberthur | Editions Oberthur</t>
  </si>
  <si>
    <t>Sandakerveien</t>
  </si>
  <si>
    <t>FR, France, Brittany, Cesson-SÃ©vignÃ©, 35510, Rue des Charmilles, 5, 48.10525129999999, -1.6198507999999996 | FR, France, Centre-Val de Loire, Saint-Amand-Montrond, 18160, Route du Pignon Blanc, , 46.7508699215029, 2.2740253629626244 | FR, France, Brittany, Rennes, 35000, Rue Gutenberg, 6, 48.1137198, -1.6620153</t>
  </si>
  <si>
    <t>Stationery Manufacturing | Agendas and Organizers | Leather Stationery | School Bags | Real Estate And Transactions | Leather Goods Manufacturer | Real Estate Services | Property Management Services | School Kits | School Calendars | Retail | Yearly and Semi-yearly Calendars | Notebooks and Guest Books | Adulting Pens | Binder Bags, Cases, and Accessories | Stationary and Writing Products | Pen Store</t>
  </si>
  <si>
    <t>Oberthur vous accompagne sur les chemins de lâ€™Ã©cole comme celui du bureau, grÃ¢ce Ã  une large gamme de papeterie, dâ€™Ã©criture et de maroquinerie. Vente en ligne de produits de qualitÃ©</t>
  </si>
  <si>
    <t>Oberthur : des produits de papeterie et de maroquinerie pour adultes et enfants. Oberthur, une belle histoire. Oberthur, c'est l'aventure d'une maison d'Ã©ditions bretonne crÃ©Ã©e Ã  Rennes en 1852 autour d'un produit iconique : l'almanach du facteur. Bien connu de tous les franÃ§ais et vÃ©ritable reflet de l'Ã©poque, l'almanach a toujours su se rÃ©inventer pour toujours mieux vous accompagner. Aujourd'hui encore, Oberthur vous accompagne sur les chemins de l'Ã©cole comme celui du bureau, grÃ¢ce Ã  une large gamme de papeterie , d'Ã©criture et de maroquinerie. Nous avons Ã  coeur d'Ãªtre proches de vous et pensons nos produits pour tous les Ã¢ges et tous les moments de votre vie personnelle et professionnelle. Nous allions enthousiasme, inspiration et accessibilitÃ© pour crÃ©er des produits beaux et utiles au quotidien. C'est pourquoi nous y ajoutons ce supplÃ©ment d'Ã¢me et d'Ã©motion qui fait la diffÃ©rence et fera de votre quotidien un monde plus beau.</t>
  </si>
  <si>
    <t>Adult Collection | Desktop Accessories | Art Materials Hobbies | School Kits | Satchel Bag</t>
  </si>
  <si>
    <t>Office Supplies</t>
  </si>
  <si>
    <t>5421 | 5431 | 5142 | 5112 | 5044 | 5049 | 5111 | 5411 | 5943 | 5961 | 5961 | 5961 | 5963</t>
  </si>
  <si>
    <t>Meat and Fish (Seafood) Markets, Including Freezer Provisioners (freezer provisioners) | Fruit and Vegetable Markets (temporary fruit and vegetable stands) | Packaged Frozen Foods (frozen food sold via retail method) | Stationery and Office Supplies (stationery and office supplies sold via retail method) | Office Equipment (office equipment sold via retail method) | Professional Equipment and Supplies, NEC (religious and teacher's school supplies sold via retail method) | Printing and Writing Paper (printing and writing paper sold via retail method) | Grocery Stores (frozen food and freezer plan providers) | Stationery Stores | Catalog and Mail-Order Houses (mail-order houses) | Catalog and Mail-Order Houses (electronic auctions) | Catalog and Mail-Order Houses (electronic shopping web sites) | Direct Selling Establishments (except mobile food services and food wagons)</t>
  </si>
  <si>
    <t>4761 | 4789 | 4791 | 4799</t>
  </si>
  <si>
    <t>Retail sale of books, newspapers and stationary in specialized stores | Retail sale via stalls and markets of other goods | Retail sale via mail order houses or via Internet | Other retail sale not in stores, stalls or markets</t>
  </si>
  <si>
    <t>47.62 | 47.61 | 47.89 | 47.91 | 47.99</t>
  </si>
  <si>
    <t>Retail sale of newspapers and stationery in specialised stores | Retail sale of books in specialised stores | Retail sale via stalls and markets of other goods | Retail sale via mail order houses or via Internet | Other retail sale not in stores, stalls or markets</t>
  </si>
  <si>
    <t>23 32 78 00</t>
  </si>
  <si>
    <t>+33299260199 | +33299320165</t>
  </si>
  <si>
    <t>fr</t>
  </si>
  <si>
    <t>web servers: empathy platform | ecommerce: prestashop | operating systems: debian | widgets: css | cdn: jquery cdn | miscellaneous: pwa | font scripts: google font api | security: hsts | analytics: piwik | databases: mysql | cms: site.com | captchas: recaptcha | network devices: html | miscellaneous: jquery easing | javascript libraries: jquery ui | javascript frameworks: jquery migrate | web servers: apache | analytics: matomo | network devices: html5 | web servers: apache http server | javascript frameworks: fancybox | web frameworks: superfish | javascript frameworks: jquery ui | javascript libraries: fancybox | javascript libraries: jquery | widgets: javascript | javascript libraries: jquery.scrollto | programming languages: php | javascript libraries: jquery migrate | web frameworks: html5 | javascript frameworks: jquery</t>
  </si>
  <si>
    <t>2019-11-24T10:57:10.000Z</t>
  </si>
  <si>
    <t>IKANO BANK, FILIAL AF IKANO BANK AB (PUBL), SVERIGE</t>
  </si>
  <si>
    <t>888f95b0-93e4-11eb-b4a6-27899be4e45d</t>
  </si>
  <si>
    <t>Ikano Bank</t>
  </si>
  <si>
    <t>Ikano Bank AB (publ)</t>
  </si>
  <si>
    <t>Ikano Bolig</t>
  </si>
  <si>
    <t>Stationsparken</t>
  </si>
  <si>
    <t>DK, Denmark, Capital Region of Denmark, Glostrup, 2600, Stationsparken, 25, 55.661529, 12.39814</t>
  </si>
  <si>
    <t>Brug for et lån? Hos Ikano er der ingen skjulte gebyrer, og du kan låne op til 300.000 kr. til en lav rente. Få pengene udbetalt hurtigt!</t>
  </si>
  <si>
    <t>Real Estate Development | Living Spaces | Construction of Cottaging | Apartments with Green Parking | Luxuriously Furnished Apartments | Property Management Services | Sustainable Neighborhood Development | H Management of Residential Properties</t>
  </si>
  <si>
    <t>Ikano Bolig bygger lyse, kubiksmarte lejligheder og rÃ¦kkehuse pÃ¥ attraktive beliggenheder med grÃ¸nne fÃ¦llesarealer. KÃ¸b eller lej en bolig. Se boliger her.</t>
  </si>
  <si>
    <t>Vi bygger boliger til de mange mennesker, og vi Ã¸nsker at have Ã¸je for deres behov og passe godt pÃ¥ planeten, vi lever pÃ¥. Vi gÃ¸r os umage med at bygge levende boligomrÃ¥der og boliger med rum til at leve. Vores boliger skal sÃ¦tte det lavest mulige aftryk og tilbyde en sund og god hverdag for dem, som kommer til at bo der. Vi sÃ¦tter bÃ¦redygtighed i centrum for alt, hvad vi gÃ¸r, og pÃ¥ den mÃ¥de kan vi bidrage til en bedre fremtid for flere mennesker. BÃ¦redygtighed handler for os bÃ¥de om miljÃ¸ og klima - men ogsÃ¥ om det sociale. NÃ¥r vi bygger, tÃ¦nker vi muligheden for NÃ¦rvÃ¦r ind. NÃ¦rvÃ¦r er vores mÃ¥de at skabe rum til at mÃ¸des. Vi hjÃ¦lper de forbindelser pÃ¥ vej, der kan blive til blomstrende bydelsforeninger, fÃ¦lles aktiviteter og nabosnakke over hÃ¦kken. Vi arbejder ogsÃ¥ aktivt med dialog og aktiviteter for at engagere dem, der flytter ind i vores boliger og beboerne i de omkringliggende nabolag. Igennem vores NÃ¦rvÃ¦rs-initiativer bidrager vi til, at boligerne og omrÃ¥det omkring bliver et sted, du bÃ¥de bor og fÃ¸ler dig hjemme.</t>
  </si>
  <si>
    <t>Real Estate Developers</t>
  </si>
  <si>
    <t>General Contractors &amp; Heavy Construction</t>
  </si>
  <si>
    <t>Operative Builders (residential operative builders)</t>
  </si>
  <si>
    <t>Construction of buildings</t>
  </si>
  <si>
    <t>41.1 | 41.2</t>
  </si>
  <si>
    <t>Development of building projects | Construction of residential and non-residential buildings</t>
  </si>
  <si>
    <t>43 55 66 00</t>
  </si>
  <si>
    <t>hej@ikanobolig.dk</t>
  </si>
  <si>
    <t>https://ikanobank.dk/laan</t>
  </si>
  <si>
    <t>https://business.facebook.com/ikanobolig/</t>
  </si>
  <si>
    <t>https://www.instagram.com/ikanobolig/</t>
  </si>
  <si>
    <t>http://www.linkedin.com/company/ikanobolig</t>
  </si>
  <si>
    <t>javascript libraries: lodash | analytics: matomo analytics | web servers: .net framework | analytics: tiktok pixel | analytics: facebook custom audiences | paas: azure | javascript frameworks: handlebars | maps: google maps | web servers: empathy platform | miscellaneous: webpack | widgets: css | web frameworks: microsoft asp.net | javascript frameworks: react | analytics: vwo | development: firebase | javascript frameworks: lo-dash | mobile frameworks: onsen ui | a/b testing: vwo | miscellaneous: http/3 | javascript libraries: modernizr | miscellaneous: module federation | javascript frameworks: moment.js | cookie compliance: consent manager | advertising: doubleclick floodlight | databases: firebase | cms: site.com | widgets: facebook | retargeting: facebook custom audiences | tag managers: matomo tag manager | miscellaneous: open graph | captchas: recaptcha | miscellaneous: swiper slider | network devices: html | analytics: crazy egg | web servers: schannel | javascript frameworks: modernizr | operating systems: windows server | seo tool: facebook friendly | cms: optimizely content management | network devices: html5 | web servers: iis | tag managers: google tag manager | miscellaneous: linkedin | analytics: google campaign manager 360 | analytics: facebook analytics | javascript libraries: jquery | retargeting: facebook | widgets: javascript | analytics: facebook pixel | cdn: cloudflare | javascript libraries: moment.js | miscellaneous: instagram | javascript frameworks: jquery | a/b testing: omniconvert | analytics: google analytics</t>
  </si>
  <si>
    <t>2020-02-25T10:31:21.000Z</t>
  </si>
  <si>
    <t>Imi Mobile Vas Limited</t>
  </si>
  <si>
    <t>093881f4-cf34-11ec-98df-9d73d6df67f6</t>
  </si>
  <si>
    <t>IMImobile PLC</t>
  </si>
  <si>
    <t>Park Lane Tower</t>
  </si>
  <si>
    <t>GB, United Kingdom, England, London, SM4 6EU, John's Lane, 5, 51.3932995, -0.1856376</t>
  </si>
  <si>
    <t>Telecom</t>
  </si>
  <si>
    <t>Mobile Services</t>
  </si>
  <si>
    <t>Telephone Communications</t>
  </si>
  <si>
    <t>Communications Services</t>
  </si>
  <si>
    <t>https://www.imimobile.co.za/</t>
  </si>
  <si>
    <t>2022-03-11T21:23:34.000Z</t>
  </si>
  <si>
    <t>IMIMOBILE EUROPE LIMITED</t>
  </si>
  <si>
    <t>df37ba50-93e4-11eb-b89f-536884b3e7dd</t>
  </si>
  <si>
    <t>IMI Europe Limited</t>
  </si>
  <si>
    <t>IMImobile Limited | IMImobile Europe Limited. | IMImobile Private Limited</t>
  </si>
  <si>
    <t>IMImobile | imimobile part of Webex</t>
  </si>
  <si>
    <t>Impington</t>
  </si>
  <si>
    <t>CB24 9NG</t>
  </si>
  <si>
    <t>Milton Road</t>
  </si>
  <si>
    <t>GB, United Kingdom, England, London, EC1M 4BH, St. John's Lane, 5, 51.5209294, -0.1021785</t>
  </si>
  <si>
    <t>IMI Europe facilitates collaboration and learning within the community of _x000D_
inkjet technology developers and users for digital printing and deposition _x000D_
applications. We organise high quality conferences and courses in Europe _x000D_
and Asia aimed at strategic &amp; commercial executives and technical _x000D_
developers in the digital printing industry. Our sister company IMI Inc _x000D_
organises similar events in the USA.</t>
  </si>
  <si>
    <t>CPaaS; customer engagement; messaging; omnichannel; marketing automation</t>
  </si>
  <si>
    <t>London-headquartered provider of cloud customer communications and engagement solutions.</t>
  </si>
  <si>
    <t>IMImobile Europe Limited is a UK technology company headquartered at Park House, 16–18 Finsbury Circus, London EC2M 7EB. Founded in 1999 and now part of Cisco, the company provides cloud communications and CX platforms that help enterprises automate and orchestrate omnichannel customer interactions across messaging, voice, social and digital channels.</t>
  </si>
  <si>
    <t>CPaaS; customer experience; messaging platforms; automation; omnichannel engagement</t>
  </si>
  <si>
    <t>Customer Communications &amp; CPaaS</t>
  </si>
  <si>
    <t>Cloud customer engagement and communications software</t>
  </si>
  <si>
    <t>Software Implementation Integration | Technology Customer Support Services (For others) | Communication Equipment Installation - Residential | Software Developers (Custom) | Software Developers (Pre-Packaged)</t>
  </si>
  <si>
    <t>740810 | 740809 | 153401 | 891802 | 891801</t>
  </si>
  <si>
    <t>01223 236920</t>
  </si>
  <si>
    <t>+441494750500 | +914023555945</t>
  </si>
  <si>
    <t>info@imimobile.com</t>
  </si>
  <si>
    <t>enquiries@imieurope.com</t>
  </si>
  <si>
    <t>http://www.imieurope.com/</t>
  </si>
  <si>
    <t>http://facebook.com/IMIEurope</t>
  </si>
  <si>
    <t>https://twitter.com/imimobile</t>
  </si>
  <si>
    <t>https://www.linkedin.com/company/imi-europe-limited</t>
  </si>
  <si>
    <t>https://www.youtube.com/channel/UCrW-wTqqqFV95wHHHO0DNsQ</t>
  </si>
  <si>
    <t>cms: statamic | paas: siteground | ssl/tls certificate authorities: aws certificate manager | widgets: twitter | cdn: digitalocean spaces | analytics: facebook custom audiences | analytics: hotjar | cdn: unpkg | lead generation: adroll | web servers: empathy platform | javascript frameworks: alpine.js | miscellaneous: webpack | javascript libraries: slick | javascript frameworks: vue.js | widgets: css | cdn: jquery cdn | javascript libraries: lazysizes | paas: amazon web services | advertising networks: adroll | cdn: cdnjs | font scripts: google font api | a/b testing: google optimize 360 | marketing automation: 6sense | security: hsts | reverse proxies: nginx | blogging platforms: wordpress | video players: youtube | javascript libraries: modernizr | databases: mysql | reverse proxy: nginx | live chat: intercom | widgets: facebook | retargeting: facebook custom audiences | miscellaneous: open graph | captchas: recaptcha | cookie compliance: onetrust | miscellaneous: swiper slider | network devices: html | miscellaneous: jquery easing | analytics: inspectlet | cdn: jsdelivr | retargeting: adroll | javascript frameworks: jquery migrate | marketing automation: marketo | iaas: digitalocean spaces | javascript frameworks: modernizr | seo tool: facebook friendly | javascript frameworks: slick | video players: vimeo | javascript frameworks: gsap | cms: wordpress | tag managers: google tag manager | issue trackers: trackjs | analytics: facebook analytics | javascript libraries: jquery | retargeting: facebook | cms: adobe experience manager (aem) | widgets: javascript | javascript graphics: chart.js | seo tool: twitter friendly | web servers: nginx | personalisation: 6sense | cdn: cloudflare | programming languages: php | javascript libraries: jquery migrate | performance: lazysizes | security: cloudflare bot management | web frameworks: laravel | javascript frameworks: jquery | analytics: google analytics | programming languages: java</t>
  </si>
  <si>
    <t>2019-11-24T12:38:10.000Z</t>
  </si>
  <si>
    <t>INDEPENDENT MEDIA CORPORATION (PRIVATE) LIMITED.</t>
  </si>
  <si>
    <t>0071d0c8-0a81-11ef-a4c3-b939363f35e3</t>
  </si>
  <si>
    <t>Independent Media Corp</t>
  </si>
  <si>
    <t>INDEPENDENT MEDIA CORPORATION (PRIVATE) LIMITED</t>
  </si>
  <si>
    <t>Independent Church Network | INDEPENDENT GROUPS | Independent Chuches | Independent Churches</t>
  </si>
  <si>
    <t>Badshahpur Sohna Road Highway</t>
  </si>
  <si>
    <t>PK, Pakistan, Punjab, Lahore, 54010, , , 31.5656822, 74.3141829 | PK, Pakistan, Islamabad Capital Territory, Islamabad, 44000, , , 33.6938118, 73.0651511 | PK, Pakistan, Balochistan, , , , , 30.226697, 67.0456213</t>
  </si>
  <si>
    <t>Independent Church is a Christian congregation operating as a network of independent churches in Pakistan. It is a subsidiary of One Vision Society and is dedicated to church planting and pastoral networking. The organization is involved in various activities, including regular worship services, community outreach programs, missionary work, children's programs, women's ministry, and discipleship. Independent Church aims to embody the teachings of love, compassion, and service, fostering a sense of unity and belonging among its members.</t>
  </si>
  <si>
    <t>Non-profit Organization | Bible Study | Community Outreach | Pastoral Studies/church Planting | Womens Ministry | Childrens Programs | Religious Organization | Spiritual Anchor | Worship Services | Church Network | Missionary Work</t>
  </si>
  <si>
    <t>Independent Church a group of Missionary Churches in Pakistan, the largest independent church network in Pakistan and is a subsidiary of One Vision Society.</t>
  </si>
  <si>
    <t>We believe in embracing everyone with open arms, showing genuine care and compassion regardless of who they are or where they come from. Independent Church faith isn't just something we talk about on Sundays, it's a living lifestyle, breathing part of our daily lives. We value the bonds we share as a church family and the connections we form with our broader Independent Church community. We're dedicated to making a difference. Mission Mindedness we're committed to being catalysts for positive change and sharing God's love with everyone we encounter. Independent Church, the foremost network of independent churches in Pakistan, operates as the church development arm of One Vision Society, focusing on nurturing pastors and facilitating the growth of churches. One Vision Society, a humanitarian NGO, is dedicated to enhancing the well-being of marginalized and vulnerable communities across Pakistan. Established with the goal of fostering a society where every individual has access to essential human rights and services, One Vision Society is committed to delivering emergency aid during both natural and man-made disasters.</t>
  </si>
  <si>
    <t>Churches | Church Network | Church Plants | Sunday Schools | Bible Project | Faith In Action | Belief Statement | The Word Of God | Special Worship Services | Teachings Of Jesus</t>
  </si>
  <si>
    <t>Churches &amp; Religious Organizations</t>
  </si>
  <si>
    <t>Churches</t>
  </si>
  <si>
    <t>Religious Organizations</t>
  </si>
  <si>
    <t>Activities of religious organizations</t>
  </si>
  <si>
    <t>Activities of religious organisations</t>
  </si>
  <si>
    <t>083689 91699</t>
  </si>
  <si>
    <t>info@indepndentchurch.org</t>
  </si>
  <si>
    <t>https://independentmediacorp.com/</t>
  </si>
  <si>
    <t>https://www.facebook.com/onevisionsociety/</t>
  </si>
  <si>
    <t>https://twitter.com/ShakeelDin_com</t>
  </si>
  <si>
    <t>https://www.instagram.com/onevisionsociety/</t>
  </si>
  <si>
    <t>https://www.youtube.com/@onevisionsociety</t>
  </si>
  <si>
    <t>web servers: ibm websphere application server | web servers: litespeed | seo: all in one seo pack | miscellaneous: rss | javascript libraries: webp | web servers: empathy platform | performance: priority hints | security: recaptcha | wordpress plugins: elementor | widgets: css | miscellaneous: http/3 | wordpress plugins: all in one seo pack | databases: mysql | issue trackers: really simple discovery | cms: site.com | hosting: hostinger | miscellaneous: open graph | network devices: html | miscellaneous: jquery easing | web servers: schannel | network devices: html5 | miscellaneous: facebook | cms: wordpress | blogs: wordpress | javascript libraries: jquery | widgets: javascript | programming languages: php | javascript libraries: jquery migrate | page builders: elementor | miscellaneous: instagram</t>
  </si>
  <si>
    <t>2024-04-30T15:11:17.000Z</t>
  </si>
  <si>
    <t>INFINERA CORPORATION</t>
  </si>
  <si>
    <t>3eb2bbab-17c0-11f0-af94-ddfd1c46b53d</t>
  </si>
  <si>
    <t>Nokia</t>
  </si>
  <si>
    <t>San Jose</t>
  </si>
  <si>
    <t>San Ignacio Avenue</t>
  </si>
  <si>
    <t>US, United States, California, San Jose, 95119, San Ignacio Avenue, 6373, 37.237761250000005, -121.78340213984461</t>
  </si>
  <si>
    <t>manufacturer of optical fiber telecommunications equipment</t>
  </si>
  <si>
    <t>Top Night Secret | Womens Clothing | E-commerce | Bra Sets | Clothing and Accessories Retail | Mens Sportswear Swim T-shirt</t>
  </si>
  <si>
    <t>INFINERA CORP is dedicated to delivering the finest products and most welcoming customer service.</t>
  </si>
  <si>
    <t>Statistics &amp; Data | City Updates | Abuse Cases</t>
  </si>
  <si>
    <t>Telecommunications Equipment Manufacturing</t>
  </si>
  <si>
    <t>Fiber Optic Networking</t>
  </si>
  <si>
    <t>Communications Equipment</t>
  </si>
  <si>
    <t>(408) 572-5200</t>
  </si>
  <si>
    <t>sale@infinerac.xyz</t>
  </si>
  <si>
    <t>http://www.infinera.com/</t>
  </si>
  <si>
    <t>2025-02-22T08:33:24.000Z</t>
  </si>
  <si>
    <t>INFOMEDIA A/S</t>
  </si>
  <si>
    <t>fa89bf14-93e4-11eb-9937-4fab995bf8ff</t>
  </si>
  <si>
    <t>Infomedia - Medieovervågning | Analyser | Software</t>
  </si>
  <si>
    <t>Infomedia Sweden AB. | Infomedia Finland Oy.</t>
  </si>
  <si>
    <t>InfoMedia | Infomedia OÃœ | Infomedias</t>
  </si>
  <si>
    <t>Pilestræde</t>
  </si>
  <si>
    <t>DK, Denmark, Capital Region of Denmark, Copenhagen, 1112, PilestrÃ¦de, 58, 55.681873, 12.578185 | DK, Denmark, Central Denmark Region, Aarhus, 8000, SÃ¸ndergade, 44, 56.154312, 10.206341 | EE, Estonia, Harju maakond, Tallinn, 11415, LÃµÃµtsa, 8, 59.420647900000006, 24.79994159552769 | FI, Finland, Uusimaa, Helsinki, 00180, Bulevardi, 21b, 60.1633928, 24.9343528 | FI, Finland, Uusimaa, Helsinki, 00500, Lintulahdenkatu, 10, 60.184162, 24.9624933</t>
  </si>
  <si>
    <t>Retriever gør virksomheder og organisationer i stand til at træffe bedre beslutninger via mediedata, digitale teknologier og indsigt i kommunikation.</t>
  </si>
  <si>
    <t>media monitoring; media intelligence; analytics; PR measurement; social listening</t>
  </si>
  <si>
    <t>Copenhagen-based provider of media monitoring and media intelligence solutions.</t>
  </si>
  <si>
    <t>Infomedia A/S is Denmark’s leading media intelligence company, headquartered at Pilestræde 58, DK-1112 København K. It offers media monitoring, media archive, social media listening and media analysis services that help organisations track, understand and report on their media coverage and reputation.</t>
  </si>
  <si>
    <t>media monitoring; media analytics; PR measurement; social media listening; media archive</t>
  </si>
  <si>
    <t>Media Intelligence &amp; Monitoring</t>
  </si>
  <si>
    <t>Media monitoring and analytics services</t>
  </si>
  <si>
    <t>Other information service activities n.e.c.</t>
  </si>
  <si>
    <t>88 77 33 00</t>
  </si>
  <si>
    <t>+45 88 77 33 00</t>
  </si>
  <si>
    <t>feedback@infomedia.dk</t>
  </si>
  <si>
    <t>supportdanmark@retriever.dk</t>
  </si>
  <si>
    <t>laurits.l.larsen@infomedia.dk | karina.walhovd@infomedia.dk | hct@infomedia.dk | anders.uttrup@infomedia.dk | claus.frederiksen@infomedia.dk | jonas.s.olsen@infomedia.dk</t>
  </si>
  <si>
    <t>http://www.infomedia.dk/</t>
  </si>
  <si>
    <t>https://www.facebook.com/InfomediaDk/</t>
  </si>
  <si>
    <t>https://twitter.com/InfomediaDk</t>
  </si>
  <si>
    <t>https://www.linkedin.com/showcase/10887129/admin/dashboard/</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</si>
  <si>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</si>
  <si>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</si>
  <si>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</si>
  <si>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</si>
  <si>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INFOSYS LIMITED</t>
  </si>
  <si>
    <t>dc2faa70-93e4-11eb-86dd-ffbd1b53140e</t>
  </si>
  <si>
    <t>Infosys Limited</t>
  </si>
  <si>
    <t>Infosys BPM Ltd. | Infosys BPO Limited</t>
  </si>
  <si>
    <t>Infosys BPM | Infosys BPM Philippines | Infosys Poland</t>
  </si>
  <si>
    <t>Karnataka</t>
  </si>
  <si>
    <t>Bengaluru</t>
  </si>
  <si>
    <t>Hosur Road</t>
  </si>
  <si>
    <t>IN, India, Karnataka, Bengaluru, 560100, Hosur Road, 26, 12.8470848, 77.6713614 | AU, Australia, New South Wales, Sydney, 2000, Pitt Street, 130, -33.8684538, 151.2085336 | PL, Poland, ÅÃ³dzkie Voivodship, ÅÃ³dÅº, 91-402, Pomorska, 106 a, 51.7775783, 19.4951593 | IE, Ireland, Munster, Waterford, X91 W2WH, , , 52.251747599999995, -7.1538106 | AU, Australia, New South Wales, Parramatta, 2150, Station Street East, 656, -33.81892395019531, 151.0071258544922 | PL, Poland, Lower Silesian Voivodeship, WrocÅ‚aw, 54-424, Muchoborska, 8, 51.1102105, 16.9711323 | PL, Poland, Lower Silesian Voivodeship, WrocÅ‚aw, 50-086, Sucha, 3, 51.0973102, 17.0338311 | NL, Netherlands, Utrecht, Amersfoort, 3826 PA, , , 52.16377025, 5.408884537568014 | PL, Poland, Lesser Poland Voivodeship, Krakow, 31-323, Opolska, 100, 50.0891164, 19.94640180118393 | MX, Mexico, Nuevo LeÃ³n, Monterrey, 64650, Calle Salvador DÃ­az MirÃ³n, 130, 18.5464481, -96.7307135</t>
  </si>
  <si>
    <t>Indian multinational technology company</t>
  </si>
  <si>
    <t>IT services; consulting; outsourcing; digital transformation; cloud; engineering</t>
  </si>
  <si>
    <t>Bengaluru-headquartered global IT services and consulting company.</t>
  </si>
  <si>
    <t>Infosys Limited is an Indian multinational IT services and consulting company headquartered in Electronics City, Bengaluru. Founded in 1981, Infosys provides consulting, digital transformation, cloud, application development, infrastructure management and business process management services to clients worldwide.</t>
  </si>
  <si>
    <t>IT consulting; application development; managed services; BPO; digital transformation</t>
  </si>
  <si>
    <t>541611</t>
  </si>
  <si>
    <t>Administrative Management and General Management Consulting Services</t>
  </si>
  <si>
    <t>IT Services &amp; Consulting</t>
  </si>
  <si>
    <t>Global IT services and consulting</t>
  </si>
  <si>
    <t>Information Technology Consultants | Management Consultants | Marketing Consultants | Strategic Consultants | Operations Consultants</t>
  </si>
  <si>
    <t>641411 | 641401 | 641405 | 641406 | 641403</t>
  </si>
  <si>
    <t>+91 80 2852 0261</t>
  </si>
  <si>
    <t>infosysbpm@infosys.com</t>
  </si>
  <si>
    <t>https://www.infosys.com</t>
  </si>
  <si>
    <t>https://www.facebook.com/InfosysBPM/</t>
  </si>
  <si>
    <t>https://twitter.com/infosysbpm</t>
  </si>
  <si>
    <t>https://www.instagram.com/infosysbpm/</t>
  </si>
  <si>
    <t>https://www.linkedin.com/company/infosys-bpm</t>
  </si>
  <si>
    <t>https://www.youtube.com/c/infosysbpm</t>
  </si>
  <si>
    <t>analytics: adobe analytics | ssl/tls certificate authorities: aws certificate manager | analytics: soasta mpulse | cms: adobe experience manager | ui frameworks: bootstrap | javascript libraries: spin.js | advertising: linkedin ads | cdn: unpkg | analytics: google ads conversion tracking | rum: akamai mpulse | web servers: empathy platform | web frameworks: bootstrap | security: recaptcha | customer data platform: adobe experience platform identity service | issue trackers: sentry | rum: boomerang | tag managers: adobe experience platform launch | widgets: css | ui frameworks: bootstrap - 3.4.1 | web frameworks: microsoft asp.net | paas: amazon web services | javascript frameworks: react | javascript graphics: anime.js - 2.2.0 | cdn: akamai | javascript frameworks: jquery mousewheel | miscellaneous: onetrust | font scripts: google font api | javascript frameworks: salesforce experience cloud | javascript frameworks: perfect scrollbar | security: hsts | reverse proxies: nginx | video players: youtube | cdn: cloudinary | javascript libraries: modernizr | miscellaneous: optanon | cms: site.com | javascript libraries: modernizr - 2.8.3 | font scripts: typekit | font scripts: font awesome - 4.7.0 | video players: jw player | load balancer: amazon elb | cookie compliance: onetrust | network devices: html | miscellaneous: jquery easing | tag managers: adobe dynamic tag management | font scripts: font awesome | javascript libraries: jquery ui | javascript frameworks: modernizr | operating systems: windows server | advertising: google ads | network devices: html5 | javascript libraries: jquery - 1.12.4 | miscellaneous: facebook | analytics: linkedin insight tag | javascript frameworks: jquery ui | web servers: iis | tag managers: google tag manager | miscellaneous: linkedin | authentication: linkedin sign-in | javascript libraries: boomerang | javascript libraries: jquery | cms: adobe experience manager (aem) | widgets: javascript | advertising: microsoft advertising | javascript libraries: selectize | web servers: nginx | digital asset management: cloudinary | javascript libraries: moment.js | miscellaneous: instagram | javascript frameworks: jquery | analytics: google analytics | programming languages: java</t>
  </si>
  <si>
    <t>2019-11-24T10:39:01.000Z</t>
  </si>
  <si>
    <t>Ingram Micro Mobility Sweden AB</t>
  </si>
  <si>
    <t>05627bc4-2d4f-11ed-950e-251a58e3dabf</t>
  </si>
  <si>
    <t>Ingram Micro AB</t>
  </si>
  <si>
    <t>Ingram Micro</t>
  </si>
  <si>
    <t>Box</t>
  </si>
  <si>
    <t>Ingram Micro har som vision att vara Nordens ledande distributör inom värdeadderande tjänster och vi är en god bit på väg. Våra många år som klassisk IT-distributör har lärt oss vikten av ett starkt maskineri och välutvecklad logistik.</t>
  </si>
  <si>
    <t>Thermal Printing Cards Manufacturer /Supplier/supplying | Mobile Terminals | Rfid Readers | Technology Solutions Provider | Self-service Kiosks | Printer Ribbons | Identification Solutions | Fingerprint Readers | Custom America Touch Screens | Product Distribution | Zebra Data Capture and Identification Technologies | Technology Wholesaler | 10.5 Supplies | Wireless Barcode Scanner</t>
  </si>
  <si>
    <t>Desde el registro de pacientes y estaciones de enfermerÃ­a hasta dispositivos mÃ©dicos y telesalud, agilice la administraciÃ³n de su atenciÃ³n mÃ©dica y mejore la experiencia del paciente con nuestras soluciones.</t>
  </si>
  <si>
    <t>Brinde atenciÃ³n centrada en el paciente con tecnologÃ­a especÃ­ficamente diseÃ±ada para el cuidado de la salud. Las soluciones tecnolÃ³gicas para el cuidado de la salud de Zebra ayudan a que su equipo mÃ©dico pueda ofrecer un nivel mÃ¡s elevado de atenciÃ³n a pacientes al conectarlos con los datos, mÃ©dicos y proveedores del paciente que necesitan en tiempo real. Zebra estÃ¡ a la vanguardia de la innovaciÃ³n de las Ãºltimas soluciones tecnolÃ³gicas para el cuidado de la salud, desde la identificaciÃ³n de pacientes hasta servicios de salud mÃ³viles e inteligencia en tiempo real. ACCEDA A TODO LO QUE NECESITA VAYA DONDE VAYA. Hable, envÃ­e mensajes de texto y comparta imÃ¡genes al instante y de forma segura. Recopile y recupere informaciÃ³n y acceda a registros de salud electrÃ³nicos desde la palma de su mano. Convierta los datos en tiempo real en perspectivas Ãºtiles con mayor visibilidad de las operaciones y administraciÃ³n de la cadena de suministros. Las soluciones de Datalogic se utilizan en toda la asistencia sanitaria; los sistemas de visiÃ³n aseguran que los recipientes estÃ¡n sellados e inspeccionan las etiquetas; los marcadores lÃ¡ser graban los materiales quirÃºrgicos; los terminales portÃ¡tiles mantienen procesos y la gestiÃ³n de inventario; y los lectores manuales garantizan la identificaciÃ³n de los pacientes y sus recetas.</t>
  </si>
  <si>
    <t>Barcode Reader | Touch Displays | Labels Printing | Cards And Prints | Card Reading | Identification Products</t>
  </si>
  <si>
    <t>Computers and Computer Peripheral Equipment and Software (merchant wholesalers except those selling computers, equipment, and software via retail method)</t>
  </si>
  <si>
    <t>08-477 15 00</t>
  </si>
  <si>
    <t>gabriel.yanez@ingrammicro.com</t>
  </si>
  <si>
    <t>https://se.ingrammicro.eu/</t>
  </si>
  <si>
    <t>https://www.facebook.com/IngramMicroPeru/</t>
  </si>
  <si>
    <t>https://www.instagram.com/ingrammicro_peru/</t>
  </si>
  <si>
    <t>https://www.linkedin.com/company/ingram-micro/</t>
  </si>
  <si>
    <t>https://www.youtube.com/@ingrammicronordic5244</t>
  </si>
  <si>
    <t>2022-09-03T23:10:23.000Z</t>
  </si>
  <si>
    <t>inlumi ApS</t>
  </si>
  <si>
    <t>105b5543-69de-11ec-adcf-3f0b13c02884</t>
  </si>
  <si>
    <t>inlumi</t>
  </si>
  <si>
    <t>Inlumi ApS</t>
  </si>
  <si>
    <t>Carmadrink267 | Carma drink</t>
  </si>
  <si>
    <t>Skovlunde</t>
  </si>
  <si>
    <t>Mileparken</t>
  </si>
  <si>
    <t>22 B</t>
  </si>
  <si>
    <t>DK, Denmark, Capital Region of Denmark, Ballerup Municipality, 2740, Mileparken, , 55.7183092, 12.421560699999995</t>
  </si>
  <si>
    <t>Carmadrink267 is a company that specializes in producing a high-quality gin called Number 0 Gin. The company was founded by a winemaker who sought to create a gin that met the high standards of a London Dry Gin, using the finest ingredients and a historical recipe. Number 0 Gin is known for its mild and inviting taste, featuring lavender, coriander, and five other herbs, and includes a cinchona-infused tonic. The product has received numerous positive reviews and is highly regarded for its taste, quality, and overall enjoyment.</t>
  </si>
  <si>
    <t>Foodservice | Drive-through Service | Parking Facilities | Credit Card Payment | Bar Services | Dine-in Service | Alcoholic Beverages Production | Alcoholic Beverages | Wheelchair Accessible Entrance</t>
  </si>
  <si>
    <t>Number 0 Gin blev skabt ud fra en historisk opskrift og med de fineste rÃ¥varer.</t>
  </si>
  <si>
    <t>Number 0 Gin blev skabt ud fra en historisk opskrift og med de fineste rÃ¥varer. Destilleret ud fra hÃ¸jeste standard, som en Ã¦gte London Dry Gin. Med masser af gode anmeldelser, lykkelige kunder og kompetente forhandlere, er der nu sindsro nok til at pÃ¥stÃ¥, at Number 0 Gin nok er den bedste gin pÃ¥ markedet. Specielt, nÃ¥r man tÃ¦nker god smag, topkvalitet, lÃ¦kker nydelse og det bedste af bedste.</t>
  </si>
  <si>
    <t>Distilleries &amp; Malt Processing</t>
  </si>
  <si>
    <t>Food &amp; Beverages</t>
  </si>
  <si>
    <t>Distilled and Blended Liquors (except apple jack)</t>
  </si>
  <si>
    <t>Breweries / Wineries / Vinegar Distillers | Beverage Manufacturing / Processing (Non-Alcoholic) | Distillers (Liquor / Alcohol) | Retail - Liquor / Beer / Wine Stores | Restaurants (Liquor License - No Live Entertainment / Dancing)</t>
  </si>
  <si>
    <t>1101 | 2011</t>
  </si>
  <si>
    <t>Distilling, rectifying and blending of spirits | Manufacture of basic chemicals</t>
  </si>
  <si>
    <t>20.14 | 20.11 | 20.12 | 20.13 | 11.01</t>
  </si>
  <si>
    <t>Manufacture of other organic basic chemicals | Manufacture of industrial gases | Manufacture of dyes and pigments | Manufacture of other inorganic basic chemicals | Distilling, rectifying and blending of spirits</t>
  </si>
  <si>
    <t>208101 | 208201 | 207001 | 592001 | 581201</t>
  </si>
  <si>
    <t>20 87 97 99</t>
  </si>
  <si>
    <t>+4526330386 | +4553530461</t>
  </si>
  <si>
    <t>salg@carmadrink.dk</t>
  </si>
  <si>
    <t>http://www.inlumi.com/</t>
  </si>
  <si>
    <t>network devices: html | operating systems: ubuntu | reverse proxies: nginx | web servers: nginx</t>
  </si>
  <si>
    <t>2021-12-29T17:31:20.000Z</t>
  </si>
  <si>
    <t>INSIDER SECURITY PTE. LTD.</t>
  </si>
  <si>
    <t>04d303f4-bfb0-11ec-8eae-29b58f5e194a</t>
  </si>
  <si>
    <t>InsiderSecurity</t>
  </si>
  <si>
    <t>Carecam | Carecam - Your Safety Our Concern</t>
  </si>
  <si>
    <t>International Business Park</t>
  </si>
  <si>
    <t>SG, Singapore, Central, Singapore, 808037, Mimosa Crescent, 79, 1.3831352, 103.86318354562903 | SG, Singapore, Central, Singapore, 049422, Circular Road, 68, 1.2864335, 103.8490323 | SG, Singapore, Southwest, , 139952, Ayer Rajah Crescent, 79, 1.2979591, 103.78748639999999</t>
  </si>
  <si>
    <t>InsiderSecurity helps your team detect cyber breaches early with an automated approach that delivers consistent cybersecurity analytics</t>
  </si>
  <si>
    <t>Digital Biomarkers for Early Intervention | Single Camera | Biomaterials Research and Development | Machine Vision Technology | Mobile Application Development | 3D &amp; AI Technology | Healthcare Technology Solutions Provider | Actionable Data Insights | 3D Measurement Technology | Custom Programming Services | Personalized Care Delivery | Information Services</t>
  </si>
  <si>
    <t>The Carecam Story Elson's journey with Carecam began on a personal note, arising from a pivotal moment in his own life. Following a bicycle accident that resulted in an injury, Elson found himself navigating the challenging path of recovery. During this period, he keenly observed the limitations of existing tools for clinicians to monitor</t>
  </si>
  <si>
    <t>Carecam is redefining therapeutics by creating digital biomarkers from human body motion to enable early interventions and deliver personalised care to patients. We combine the use of a single camera and 3D AI technology to provide unique insights across frailty, musculoskeletal and neurological diseases that include cardio-ageing, stroke and Parkinson's disease.</t>
  </si>
  <si>
    <t>Mobile Application Development | IT Services | Healthcare Expertise | Digital Health | Business &amp; Organizations | Clinic Partners | Health Care | Cardiology | Musculoskeletal | Neurological Disorders</t>
  </si>
  <si>
    <t>HC-MS</t>
  </si>
  <si>
    <t>Medical Technology</t>
  </si>
  <si>
    <t>HC.4</t>
  </si>
  <si>
    <t>9338 9490</t>
  </si>
  <si>
    <t>ccadmin@carecam.ai</t>
  </si>
  <si>
    <t>hello@insidersecurity.co</t>
  </si>
  <si>
    <t>https://insidersecurity.co/</t>
  </si>
  <si>
    <t>https://www.facebook.com/insidersec</t>
  </si>
  <si>
    <t>https://twitter.com/InsiderSecurity</t>
  </si>
  <si>
    <t>https://www.linkedin.com/company/insider-security/</t>
  </si>
  <si>
    <t>2022-04-19T07:12:05.000Z</t>
  </si>
  <si>
    <t>INTEGRITY RISK INTERNATIONAL LLC</t>
  </si>
  <si>
    <t>99015501-93e4-11eb-b4a6-27899be4e45d</t>
  </si>
  <si>
    <t>IntegrityRisk</t>
  </si>
  <si>
    <t>Integrity Risk International LLC.</t>
  </si>
  <si>
    <t>Integrity Risk International | IntegrityRisk</t>
  </si>
  <si>
    <t>Virginia</t>
  </si>
  <si>
    <t>Reston</t>
  </si>
  <si>
    <t>Commerce Park Drive</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</si>
  <si>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</si>
  <si>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We're Here for You - Let us know how we can help serve you with our trusted due diligence solutions and insights.</t>
  </si>
  <si>
    <t>risk consulting; compliance; ESG; due diligence; third-party risk; investigations</t>
  </si>
  <si>
    <t>Washington, DC-based risk consulting firm focused on integrity, compliance and ESG risks.</t>
  </si>
  <si>
    <t>Integrity Risk International LLC is a risk consulting firm headquartered in the Washington, DC area with additional offices in major global cities. It helps organisations manage integrity, compliance, ESG and third-party risks through due diligence, investigations and advisory services.</t>
  </si>
  <si>
    <t>integrity risk; compliance advisory; ESG risk; due diligence; investigations</t>
  </si>
  <si>
    <t>Risk &amp; Compliance Consulting</t>
  </si>
  <si>
    <t>Risk, compliance and ESG advisory</t>
  </si>
  <si>
    <t>Accountants / Auditors | Operations Consultants | Information Technology Consultants | Marketing Consultants | Management Consultants</t>
  </si>
  <si>
    <t>641101 | 641403 | 641411 | 641405 | 641401</t>
  </si>
  <si>
    <t>(703) 259-0205</t>
  </si>
  <si>
    <t>info@integrityriskintl.com</t>
  </si>
  <si>
    <t>https://www.integrityriskintl.com/contact/</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</si>
  <si>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</si>
  <si>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</si>
  <si>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</si>
  <si>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</si>
  <si>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</si>
  <si>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</si>
  <si>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Intouch Insight Inc.</t>
  </si>
  <si>
    <t>886a8187-93e4-11eb-b4a6-27899be4e45d</t>
  </si>
  <si>
    <t>Intouch Insight</t>
  </si>
  <si>
    <t>CA</t>
  </si>
  <si>
    <t>Canada</t>
  </si>
  <si>
    <t>Ontario</t>
  </si>
  <si>
    <t>Ottawa</t>
  </si>
  <si>
    <t>K2K 0G7</t>
  </si>
  <si>
    <t>March Road</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</si>
  <si>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</si>
  <si>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is a CX Solutions company that helps multi-location businesses achieve operational excellence so they can exceed customer expectations.</t>
  </si>
  <si>
    <t>customer experience; mystery shopping; surveys; mobile forms; analytics</t>
  </si>
  <si>
    <t>Kanata-based provider of customer experience measurement and mystery shopping solutions.</t>
  </si>
  <si>
    <t>Intouch Insight Inc. is a Canadian customer experience management company headquartered at 400 March Road, Kanata, Ontario K2K 3H4. It offers mystery shopping programs, mobile forms, survey and feedback tools and analytics to help brands measure and improve customer experience.</t>
  </si>
  <si>
    <t>CX management; mystery shopping; field data collection; surveys; analytics</t>
  </si>
  <si>
    <t>Customer Experience &amp; Market Research</t>
  </si>
  <si>
    <t>Customer experience measurement and market research</t>
  </si>
  <si>
    <t>Commercial Economic, Sociological, and Educational Research</t>
  </si>
  <si>
    <t>Marketing Consultants | Operations Consultants | Management Consultants | Strategic Consultants | Advertising Agencies</t>
  </si>
  <si>
    <t>Market research and public opinion polling</t>
  </si>
  <si>
    <t>641405 | 641403 | 641401 | 641406 | 731201</t>
  </si>
  <si>
    <t>(800) 263-2980</t>
  </si>
  <si>
    <t>+1 800 263 2980</t>
  </si>
  <si>
    <t>letschat@intouchinsight.com</t>
  </si>
  <si>
    <t>marketing@intouchinsight.com | support@intouchinsight.com | info@intouchinsight.com | secretary@intouchinsight.com</t>
  </si>
  <si>
    <t>http://www.intouchinsight.com/</t>
  </si>
  <si>
    <t>https://www.facebook.com/intouchinsight/</t>
  </si>
  <si>
    <t>https://x.com/intouchinsight</t>
  </si>
  <si>
    <t>https://www.linkedin.com/company/intouch-insight</t>
  </si>
  <si>
    <t>https://www.youtube.com/@intouchinsight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</si>
  <si>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</si>
  <si>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</si>
  <si>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Intrum Debt Finance AG</t>
  </si>
  <si>
    <t>daa75cd0-93e4-11eb-8474-3bbe2d07207d</t>
  </si>
  <si>
    <t>Intrum Justitia</t>
  </si>
  <si>
    <t>Intrum SA.</t>
  </si>
  <si>
    <t>Intrum AG | Intrum</t>
  </si>
  <si>
    <t>Zug</t>
  </si>
  <si>
    <t>Industriestrasse</t>
  </si>
  <si>
    <t>13C</t>
  </si>
  <si>
    <t>CH, Switzerland, Zurich, Schwerzenbach, 8603, Eschenstrasse, 12, 47.388042399999996, 8.6562023 | CH, Switzerland, Solothurn, Bezirk Wasseramt, 4563, Eschenstrasse, 12, 47.1751511, 7.582646 | CH, Switzerland, Vaud, Lausanne, 1018, Avenue de Gratta-Paille, 2, 46.5368217, 6.617516500000001</t>
  </si>
  <si>
    <t>Intrum is Europe’s leading provider of ethical debt collection and credit management services, helping businesses improve cash flow, recover overdue invoices, and manage credit risk while supporting individuals in regaining financial control. Our commitment to sustainable payments, financial wellbeing, and responsible lending ensures long-term economic resilience and effective receivables management.</t>
  </si>
  <si>
    <t>Financial Consulting Services | Consumer Portal | Debt Collection Practices | Portfolio Management Services | Credit Card Payment Options | Financial Services | Payment Agreements | Identity Fraud | Debt Collection Agency | Investment Advice Services | Fair Payment Plan</t>
  </si>
  <si>
    <t>Intrum arbeitet nach ethischen GrundsÃ¤tzen. Wir mÃ¶chten mit Ihnen zusammenarbeiten, um Ihnen zu helfen, Ihre Schulden zu begleichen. Wir berÃ¼cksichtigen Ihre finanzielle Situation und erstellen gemeinsam mit Ihnen einen fairen und realistischen Zahlungsplan, der es Ihnen ermÃ¶glicht, Ihre Schulden zu begleichen.</t>
  </si>
  <si>
    <t>L'orientation consommateur, des processus cohÃ©rents et des outils numÃ©riques sont les ingrÃ©dients qui garantissent uneâ€¦. L'approche individuelle : parler leâ€¦. Une riche diversitÃ© de langues est l'un des moyens par lesquels la prÃ©sence mondiale d'Intrum crÃ©e une expÃ©rience clientâ€¦. Les bonnes pratiques de recouvrement de crÃ©ances exigent des fournisseurs qu'ils respectent les normes lÃ©gales Ã©tablies parâ€¦. Il est important d'identifier les consommateurs en situation de vulnÃ©rabilitÃ© et de s'assurer qu'ilsâ€¦. En tant qu'entreprise mondiale, Intrum comprend l'impact de son travail sur les personnes et la sociÃ©tÃ©. Treating Customers Fairly - Traiter lesâ€¦. Chez Intrum, nous comprenons les difficultÃ©s auxquelles les personnes endettÃ©es sont confrontÃ©es et nousâ€¦. Vous cherchez un partenaire de confiance pour vous aider Ã  gÃ©rer les retards de paiement et le recouvrement des dettesâ€¦. La conformitÃ© et le traitement Ã©thique des clients sont les pierres angulaires de l'approche d'Intrum en matiÃ¨re deâ€¦.</t>
  </si>
  <si>
    <t>Targeted Advertising</t>
  </si>
  <si>
    <t>Debt Collection Agencies</t>
  </si>
  <si>
    <t>7322 | 7389</t>
  </si>
  <si>
    <t>Adjustment and Collection Services | Business Services, NEC (tax collection for federal, state, or local agencies)</t>
  </si>
  <si>
    <t>8291 | 8411</t>
  </si>
  <si>
    <t>Activities of collection agencies and credit bureaus | General public administration activities</t>
  </si>
  <si>
    <t>82.91 | 84.11</t>
  </si>
  <si>
    <t>041 727 86 86</t>
  </si>
  <si>
    <t>+41800460007 | +41448068557 | +41448065700 | +41448065656 | +41448068565</t>
  </si>
  <si>
    <t>medienstelle@intrum.com</t>
  </si>
  <si>
    <t>marketing.ch@intrum.ch</t>
  </si>
  <si>
    <t>http://www.intrum.com/</t>
  </si>
  <si>
    <t>https://www.instagram.com/intrum_global/</t>
  </si>
  <si>
    <t>https://www.linkedin.com/company/intrum/</t>
  </si>
  <si>
    <t>https://www.youtube.com/channel/UCi4Pf8pT1YJA-DBVb_aQHmQ</t>
  </si>
  <si>
    <t>analytics: matomo analytics | javascript libraries: core-js | web servers: empathy platform | ssl/tls certificate authorities: digicert | javascript frameworks: vue.js | widgets: css | security: hsts | javascript libraries: modernizr | network devices: html | javascript frameworks: modernizr | seo tool: facebook friendly | network devices: html5 | tag managers: google tag manager | javascript frameworks: mustache | javascript libraries: jquery | widgets: javascript | analytics: leadfeeder | javascript frameworks: jquery | analytics: google analytics</t>
  </si>
  <si>
    <t>2019-11-24T03:39:55.000Z</t>
  </si>
  <si>
    <t>ADVIS A/S</t>
  </si>
  <si>
    <t>0cdd9ee4-04c2-11ec-88e6-abf0591e0a83</t>
  </si>
  <si>
    <t>Advania Danmark A/S</t>
  </si>
  <si>
    <t>Advis | Advisir</t>
  </si>
  <si>
    <t>Kay Fiskers Plads</t>
  </si>
  <si>
    <t>Advania is in the business of making life easier for our clients. We believe that IT is a people business, where value is created by people for people.</t>
  </si>
  <si>
    <t>Logo Design Services | Advertising Services | Branding Services | Eye-catching Logos | Website Design Services for Businesses</t>
  </si>
  <si>
    <t>Vi har specialiserat oss pÃ¥ logotyper och design av hemsidor. Prisexempel: logotype 1 995 kr, hemsida frÃ¥n 3 495 kr.</t>
  </si>
  <si>
    <t>BehÃ¶ver du en hemsida fÃ¶r att informera dina kunder. Detta gÃ¶r vi â€” med glÃ¤dje och inspiration. Bryggan vid Lill-Olas 0418-105 15 , infoadvis.se advis startades 1992 i Landskrona â€” reklambyrÃ¥n fÃ¶r sÃ¥vÃ¤l dig som stÃ¥r i startgroparna fÃ¶r nystart, som fÃ¶r dig som representerar ett stÃ¶rre fÃ¶retag och sÃ¶ker en seriÃ¶s och prisvÃ¤rd samarbetspartner.</t>
  </si>
  <si>
    <t>Advertising and Marketing</t>
  </si>
  <si>
    <t>Graphic Design</t>
  </si>
  <si>
    <t>7336 | 8099</t>
  </si>
  <si>
    <t>Commercial Art and Graphic Design | Health and Allied Services, NEC (medical artists)</t>
  </si>
  <si>
    <t>39 48 48 00</t>
  </si>
  <si>
    <t>+4641810515 | +46708769708</t>
  </si>
  <si>
    <t>info@advis.se</t>
  </si>
  <si>
    <t>https://advania.dk/</t>
  </si>
  <si>
    <t>https://www.facebook.com/advaniadanmark</t>
  </si>
  <si>
    <t>https://www.instagram.com/lifeatadvania</t>
  </si>
  <si>
    <t>https://www.linkedin.com/company/advania-danmark/</t>
  </si>
  <si>
    <t>https://www.youtube.com/channel/UCNxn7cZ1hZi4eNkz4QJISbw</t>
  </si>
  <si>
    <t>web servers: empathy platform | analytics: google universal analytics | widgets: css | reverse proxies: nginx | cms: site.com | network devices: html | network devices: html5 | tag managers: google tag manager | widgets: javascript | web servers: nginx | analytics: google analytics</t>
  </si>
  <si>
    <t>2021-08-23T22:31:12.000Z</t>
  </si>
  <si>
    <t>IPG MEDIABRANDS (SINGAPORE) PTE. LTD.</t>
  </si>
  <si>
    <t>c6dffa30-1161-11ec-ad3d-d37a5fa1c2d9</t>
  </si>
  <si>
    <t>IPG Mediabrands (Singapore) Pte. Ltd.</t>
  </si>
  <si>
    <t>IPG Howden Asia Holdings Ltd.</t>
  </si>
  <si>
    <t>IPG Howden | Howden | Howden Broking Group</t>
  </si>
  <si>
    <t>Robinson Road</t>
  </si>
  <si>
    <t>SG, Singapore, Central, Singapore, 068897, Robinson Road, 79, 1.2771088499999999, 103.84803333122548 | MY, Malaysia, Labuan, Labuan, 87000, , , 5.320718233333333, 115.24010713333332 | CH, Switzerland, Geneva, Geneva, 1204, Bodmerstrasse, 9, 47.3652531, 8.5331306 | US, United States, North Carolina, Charlotte, 28202, West Trade Street, 121, 35.2274238, -80.84394380686253 | HK, Hong Kong, Hong Kong, Hong Kong Island, , Queen's Road Central, , 22.28365, 114.15494</t>
  </si>
  <si>
    <t>IPG Howden, legally known as IPG Howden Asia Holdings Ltd., is a global provider of wealth planning and insurance solutions. As part of the Howden Broking Group, the company offers customized life insurance products to help individuals, businesses, and industries protect and grow their wealth. With decades of industry experience, Howden Private Wealth serves affluent individuals, families, and companies worldwide, leveraging its expertise in over 70 markets. The company is known for its market-leading client retention rate and significant global presence, including a notable market share in life insurance coverage and new premium placements.</t>
  </si>
  <si>
    <t>Global Life Insurance Solutions | Wealth Preservation | Needs Planning | Bespoke Wealth Planning | Specialist Personal Insurance Support | Comprehensive Range of Insurance | In-depth Knowledge | Law Firm | Wealth Management Services | Tax Professionals | Global Perspective | Insurance Brokerage Services | Consulting Services | Liquidity Provision | Family Offices | Private Banks</t>
  </si>
  <si>
    <t>As part of Howden Broking Group, IPG Howden has access to a network of specialists worldwide, advising on a comprehensive range of insurance for individuals, businesses and industries.</t>
  </si>
  <si>
    <t>With over 40 years of industry experience, IPG Howden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IPG Howden has access to a network of over 15,000 specialists across over 90 territories worldwide, advising on specialist personal, business and employee beneï¬ts insurance solutions.</t>
  </si>
  <si>
    <t>Private Wealth | Individuals &amp; Businesses | Company Registration | Tax Professionals | Private Banks | Law Firms | Life Insurance Solutions | Financial Services | Philanthropy | Law Practice</t>
  </si>
  <si>
    <t>Portfolio Management and Investment Advice</t>
  </si>
  <si>
    <t>Investment Banking &amp; Brokerage</t>
  </si>
  <si>
    <t>FN-IB</t>
  </si>
  <si>
    <t>Building Owner - Multiple Occupancy - Mixed-Use Commercial | Financial Planners / Advisors | Insurance Agents / Brokers / Adjusters | Inspection Services - Not Otherwise Classified | Accountants / Auditors</t>
  </si>
  <si>
    <t>399101 | 641501 | 641201 | 891702 | 641101</t>
  </si>
  <si>
    <t>6500 8388</t>
  </si>
  <si>
    <t>+60392130606 | +16504775268 | +6563276888 | +85225090083 | +41443804114 | +97145962101</t>
  </si>
  <si>
    <t>hpw.enquiries@howdengroup.com</t>
  </si>
  <si>
    <t>compliancezurich@ipghowden.com</t>
  </si>
  <si>
    <t>https://apac.ipgmediabrands.com/</t>
  </si>
  <si>
    <t>https://www.linkedin.com/company/ipg-howden</t>
  </si>
  <si>
    <t>javascript libraries: jquery ui - 1.13.2 | javascript libraries: jquery - 3.6.3 | javascript libraries: core-js - 3.30.2 | analytics: acquia personalization | miscellaneous: webpack | personalisation: acquia personalization | paas: amazon web services | rum: new relic | miscellaneous: pwa | hosting: drupal multisite | font scripts: google font api | reverse proxies: nginx | cookie compliance: iubenda | miscellaneous: module federation | cdn: amazon s3 | miscellaneous: open graph | javascript frameworks: gsap | cms: drupal - 9 | caching: varnish | tag managers: google tag manager | paas: acquia cloud platform | web servers: nginx | programming languages: php | hosting: acquia cloud site factory | analytics: google analytics</t>
  </si>
  <si>
    <t>2021-09-09T09:59:13.000Z</t>
  </si>
  <si>
    <t>Ipsos Sdn. Bhd.</t>
  </si>
  <si>
    <t>dff13de7-1afd-11ec-a31a-a7a88bbb321b</t>
  </si>
  <si>
    <t>Ipsos Sdn Bhd</t>
  </si>
  <si>
    <t>Ipsos Sdn Bhd.</t>
  </si>
  <si>
    <t>Lingkaran Syed Putra</t>
  </si>
  <si>
    <t>MY, Malaysia, Kuala Lumpur, Kuala Lumpur, 59200, Lingkaran Syed Putra, , 3.1167049000000002, 101.6779171</t>
  </si>
  <si>
    <t>Ipsos Sdn Bhd is a market research firm based in Kuala Lumpur, Malaysia. The company specializes in providing market research services.</t>
  </si>
  <si>
    <t>Public Opinion Polling Services | Market Research Services</t>
  </si>
  <si>
    <t>Ipsos Sdn Bhd. is a market research &amp; opinion polling company based in Kuala Lumpur, Malaysia.</t>
  </si>
  <si>
    <t>Market Research &amp; Opinion Polling</t>
  </si>
  <si>
    <t>03-2289 3000</t>
  </si>
  <si>
    <t>http://www.ipsos.com/en-my</t>
  </si>
  <si>
    <t>https://www.facebook.com/ipsosmy/</t>
  </si>
  <si>
    <t>2021-12-09T02:29:58.000Z</t>
  </si>
  <si>
    <t>ISS Facility Services A/S</t>
  </si>
  <si>
    <t>52dd79a7-64a6-11ee-8ba4-c1d00e9cebfd</t>
  </si>
  <si>
    <t>ISS Facility Services</t>
  </si>
  <si>
    <t>ISS Facility Services Ltd. | ISS Facility Services Srl.</t>
  </si>
  <si>
    <t>Gyngemose Parkvej</t>
  </si>
  <si>
    <t>DK, Denmark, Capital Region of Denmark, Gladsaxe Municipality, 2860, Buddingevej, 197, 55.7426457, 12.4928819 | MY, Malaysia, Selangor, Puchong, 47170, Jalan Kenari 17, , 3.0475151, 101.6244265 | US, United States, Texas, San Antonio, 78232, Central Parkway North, 1017, 29.57111008406448, -98.47658506408736 | GB, United Kingdom, England, Weybridge, KT13 0SL, Brooklands Drive, Velocity V2, 51.3536228, -0.4695621 | NL, Netherlands, Utrecht, De Meern, 3454 PV, Rijnzathe, 8, 52.0717246, 5.0495119 | LV, Latvia, RÄ«ga, RÄ«ga, LV-1010, Dzirnavu iela, , 56.9586233, 24.1128775 | CH, Switzerland, Zurich, Zurich, 8010, Vulkanplatz, 3, 47.3919334, 8.491388 | RO, Romania, Bucharest, Bucharest, 014366, Strada MuÈ™eteÈ™ti, 16, 44.4857805, 26.0980399 | HU, Hungary, Budapest, Budapest, 1139, Lomb utca, 31/b, 47.5347368, 19.0696916 | FR, France, Ile-de-France, Courbevoie, 92400, Rue Berthelot, 2-10, 48.8975163, 2.2393766</t>
  </si>
  <si>
    <t>I ISS Danmark har vi 120 års erfaring med integrerede facility management løsninger. I ISS Danmark kan vi skræddersy en løsning, der passer dig. Lad os optimere din virksomheds drift. Kontakt os for at høre mere!</t>
  </si>
  <si>
    <t>facility management; cleaning; catering; property services; support services; outsourcing</t>
  </si>
  <si>
    <t>Søborg-based provider of integrated facility services across cleaning, catering, property and support.</t>
  </si>
  <si>
    <t>ISS Facility Services A/S is a Danish facility services company headquartered at Gyngemose Parkvej 50, DK-2860 Søborg. It delivers integrated facility management and single services including cleaning, catering, technical property services, workplace support and security for public and private sector customers.</t>
  </si>
  <si>
    <t>facilities management; cleaning services; catering; property maintenance; workplace support</t>
  </si>
  <si>
    <t>561720</t>
  </si>
  <si>
    <t>Janitorial Services</t>
  </si>
  <si>
    <t>Facility Management &amp; Support Services</t>
  </si>
  <si>
    <t>Integrated facility services</t>
  </si>
  <si>
    <t>Building Cleaning and Maintenance Services, NEC</t>
  </si>
  <si>
    <t>38 17 17 17</t>
  </si>
  <si>
    <t>+45 38 17 17 17</t>
  </si>
  <si>
    <t>press@group.issworld.com</t>
  </si>
  <si>
    <t>dk-f-marketing@dk.issworld.com</t>
  </si>
  <si>
    <t>http://www.dk.issworld.com/</t>
  </si>
  <si>
    <t>https://www.facebook.com/issfacilityservicesdanmark</t>
  </si>
  <si>
    <t>http://twitter.com/issworld</t>
  </si>
  <si>
    <t>https://www.linkedin.com/company/iss-facility-services-danmark/</t>
  </si>
  <si>
    <t>https://www.youtube.com/user/ISSworldservicesTV</t>
  </si>
  <si>
    <t>web servers: ibm websphere application server | javascript libraries: core-js | static site generator: next.js | web servers: empathy platform | analytics: vercel analytics | miscellaneous: webpack | widgets: css | miscellaneous: x | javascript frameworks: react | security: hsts | miscellaneous: whatsapp | cms: site.com | network devices: html | web servers: schannel | network devices: html5 | miscellaneous: facebook | web servers: next.js | miscellaneous: linkedin | web frameworks: next.js | paas: vercel | widgets: javascript | javascript frameworks: next.js | miscellaneous: instagram</t>
  </si>
  <si>
    <t>2023-10-07T00:08:44.000Z</t>
  </si>
  <si>
    <t>ISS FACILITY SERVICES AB</t>
  </si>
  <si>
    <t>4cf5285b-27d1-11ef-bd6f-218060e3190a</t>
  </si>
  <si>
    <t>ISS Facility Services AB</t>
  </si>
  <si>
    <t>ISS Facility Services AB.</t>
  </si>
  <si>
    <t>Plan</t>
  </si>
  <si>
    <t>SE, Sweden, Kalmar County, VÃ¤stervik, 593 37, FolkparksvÃ¤gen, 31, 57.754120199999996, 16.623522599999998</t>
  </si>
  <si>
    <t>ISS Facility Services är ett av Sveriges och världens största tjänsteföretag med över 6000 medarbetare i Sverige och närmare 400 000 medarbetare globalt.</t>
  </si>
  <si>
    <t>Catering Services | Business-to-business Services | House Cleaning Service | Facility Support Services</t>
  </si>
  <si>
    <t>ISS Facility Services AB. is a housekeeping services company based in VÃ¤stervik, Sweden.</t>
  </si>
  <si>
    <t>Housekeeping Services</t>
  </si>
  <si>
    <t>Cleaning services</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</si>
  <si>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</si>
  <si>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</si>
  <si>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8121 | 8129</t>
  </si>
  <si>
    <t>General cleaning of buildings | Other building and industrial cleaning activities</t>
  </si>
  <si>
    <t>81.29 | 81.22 | 81.21</t>
  </si>
  <si>
    <t>Other cleaning activities | Other building and industrial cleaning activities | General cleaning of buildings</t>
  </si>
  <si>
    <t>077-118 10 20</t>
  </si>
  <si>
    <t>https://www.se.issworld.com/</t>
  </si>
  <si>
    <t>https://www.facebook.com/issworld</t>
  </si>
  <si>
    <t>https://www.linkedin.com/company/iss-sverige/</t>
  </si>
  <si>
    <t>2024-06-11T09:01:27.073Z</t>
  </si>
  <si>
    <t>ISS FACILITY SERVICES AS</t>
  </si>
  <si>
    <t>efbe1611-263f-11ec-b5b4-bfd9daeb9f18</t>
  </si>
  <si>
    <t>ISS Facility Services AS</t>
  </si>
  <si>
    <t>Smeltedigelen</t>
  </si>
  <si>
    <t>NO, Norway, Oslo, Oslo, 0581, Ulvenveien, 83, 59.9252173, 10.807275599999999 | NO, Norway, Viken, Kongsberg, 3611, Dyrmyrgata, 35, 59.675400800000006, 9.641295699999999</t>
  </si>
  <si>
    <t>En av verdens ledende Facility Management selskaper</t>
  </si>
  <si>
    <t>Oslo-based provider of integrated facility services as part of ISS Group.</t>
  </si>
  <si>
    <t>ISS Facility Services AS is the Norwegian operating company of ISS Group, providing integrated facility services including cleaning, catering, property maintenance and workplace support to public and private customers across Norway.</t>
  </si>
  <si>
    <t>Integrated facility management and support services</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</si>
  <si>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</si>
  <si>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</si>
  <si>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815 55 155</t>
  </si>
  <si>
    <t>http://www.no.issworld.com/</t>
  </si>
  <si>
    <t>https://www.facebook.com/issfacilityservicesnorge</t>
  </si>
  <si>
    <t>https://www.linkedin.com/company/iss-norway-a-s/</t>
  </si>
  <si>
    <t>ui frameworks: bootstrap | web frameworks: microsoft asp.net | font scripts: google font api | security: hsts | cdn: google hosted libraries | operating systems: windows server | web servers: iis | javascript libraries: jquery</t>
  </si>
  <si>
    <t>2021-10-06T22:08:14.000Z</t>
  </si>
  <si>
    <t>ISS GLOBAL A/S</t>
  </si>
  <si>
    <t>03a29e1d-0e0f-11ec-9e7a-c7c07683508d</t>
  </si>
  <si>
    <t>ISS World Services</t>
  </si>
  <si>
    <t>ISS GLOBAL</t>
  </si>
  <si>
    <t>Buddingevej</t>
  </si>
  <si>
    <t>GB, United Kingdom, England, London, IG11 0DS, River Road, , 51.516855750000005, 0.10563252289734369</t>
  </si>
  <si>
    <t>company</t>
  </si>
  <si>
    <t>Rod Bar | Exotic Lumber | Slip-on Flanges | Lap Joint Flanges | Orifice Flanges Manufacturer | Material Boards | Sheets &amp; Plates | Construction Materials Supplier | Welding Neck Flanges Manufacturer | Fire Solutions | Forged Fittments | Flooring Material | Blind Flanges | Ventilation Systems | Ring Type Joint Flanges | Electric Supplies | Pipes and Tubes | Acrylic Sign Manufacturing | Ceiling Systems | Aluminum Cladding | Industrial Fasteners | Plywood Sheets | Laminate Flooring | Screw Fittations | Buttweld Fittings Manufacturer</t>
  </si>
  <si>
    <t>Our unrivaled expertise in all types of building materials makes us the first choice for contractors and builders nationwide.</t>
  </si>
  <si>
    <t>Smart, integrated facility services can help your organisation grow profitability, boost efficiency and gain a competitive edge</t>
  </si>
  <si>
    <t>Butt Weld Fittings | Forged Fitting | Industrial Fasteners | Pipe &amp; Tubing | Building Materials | Aluminum Cladding | Construction and Building | Engineering Products | Threaded Flange | Welding</t>
  </si>
  <si>
    <t>Building Material Manufacturers</t>
  </si>
  <si>
    <t>Building Material</t>
  </si>
  <si>
    <t>Building Products</t>
  </si>
  <si>
    <t>Construction Materials, NEC (merchant wholesalers of construction materials, nec except wood prefabricated buildings and structural assemblies and merchant wholesalers selling via retail method)</t>
  </si>
  <si>
    <t>Construction - Water / Sewer / Pipeline - Retrofit | Boxes / Barrels / Crates / Pallets Manufacturing (Wood) | Burlap / Canvas / Awnings / Tents / Sails Manufacturing | Wholesale - Building Supplies | Insulation of Buildings (No asbestos / UFFI abatement)</t>
  </si>
  <si>
    <t>Wholesale of construction materials, hardware, plumbing and heating equipment and supplies</t>
  </si>
  <si>
    <t>46.74 | 46.73</t>
  </si>
  <si>
    <t>Wholesale of hardware, plumbing and heating equipment and supplies | Wholesale of wood, construction materials and sanitary equipment</t>
  </si>
  <si>
    <t>163701 | 249201 | 235201 | 516201 | 175301</t>
  </si>
  <si>
    <t>38 17 00 00</t>
  </si>
  <si>
    <t>ahmed@iss-global-bmt.com</t>
  </si>
  <si>
    <t>gm@iss-global-bmt.com | yousefali@iss-global-bmt.com</t>
  </si>
  <si>
    <t>http://www.issworld.com/</t>
  </si>
  <si>
    <t>https://www.linkedin.com/company/iss-facility-services-a-s/</t>
  </si>
  <si>
    <t>web servers: litespeed | miscellaneous: http/3 | databases: mysql | cms: wordpress | blogs: wordpress | programming languages: php</t>
  </si>
  <si>
    <t>2021-09-05T04:41:24.000Z</t>
  </si>
  <si>
    <t>ITECTRA A/S</t>
  </si>
  <si>
    <t>6d50f1e1-93e4-11eb-b4a6-27899be4e45d</t>
  </si>
  <si>
    <t>Itectra A/S</t>
  </si>
  <si>
    <t>Itectra A/S.</t>
  </si>
  <si>
    <t>Itectra</t>
  </si>
  <si>
    <t>Sofiendalsvej</t>
  </si>
  <si>
    <t>94B</t>
  </si>
  <si>
    <t>DK, Denmark, North Denmark Region, Aalborg, 9200, Sofiendalsvej, 94B, 57.01824140000001, 9.8779507</t>
  </si>
  <si>
    <t>Vi designer, leverer og servicerer forretningskritisk IT-infrastruktur • Gennemtænkte og driftssikre løsninger indenfor netværk og IT-infrastruktur.</t>
  </si>
  <si>
    <t>IT infrastructure; managed services; cloud; consulting; networking</t>
  </si>
  <si>
    <t>Aalborg-based IT infrastructure and services provider.</t>
  </si>
  <si>
    <t>Itectra A/S is a Denmark-based IT company focused on infrastructure solutions, cloud services and managed IT operations, serving enterprise and public-sector clients with design, implementation and operation of IT environments.</t>
  </si>
  <si>
    <t>IT services; infrastructure; cloud solutions; managed operations; consulting</t>
  </si>
  <si>
    <t>IT Infrastructure &amp; Managed Services</t>
  </si>
  <si>
    <t>72 17 00 58</t>
  </si>
  <si>
    <t>+4531746272 | +4572170058</t>
  </si>
  <si>
    <t>info@itectra.com</t>
  </si>
  <si>
    <t>http://www.itectra.com/</t>
  </si>
  <si>
    <t>https://www.facebook.com/itectra/</t>
  </si>
  <si>
    <t>https://www.linkedin.com/company/351693/</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</si>
  <si>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</si>
  <si>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2020-02-25T11:18:22.000Z</t>
  </si>
  <si>
    <t>JACK OF DIGITAL (PRIVATE) LIMITED</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</si>
  <si>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</si>
  <si>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</si>
  <si>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</si>
  <si>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</si>
  <si>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</si>
  <si>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</si>
  <si>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Reach millions across Pakistan's top media channels with Jack of Digital. We go beyond Reach-We craft strategic campaigns tailored to your unique goals.</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</si>
  <si>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</si>
  <si>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</si>
  <si>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</si>
  <si>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</si>
  <si>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0317 0035225</t>
  </si>
  <si>
    <t>info@jackofdigital.com</t>
  </si>
  <si>
    <t>ca*****@***********al.com</t>
  </si>
  <si>
    <t>https://jackofdigital.com/</t>
  </si>
  <si>
    <t>https://www.facebook.com/JackofDigital</t>
  </si>
  <si>
    <t>https://x.com/jackofdigital</t>
  </si>
  <si>
    <t>https://www.instagram.com/jod_jackofdigital/</t>
  </si>
  <si>
    <t>https://www.linkedin.com/company/jackofdigital/?originalSubdomain=pk</t>
  </si>
  <si>
    <t>web servers: empathy platform | databases: mysql | web servers: apache http server | cms: wordpress | blogs: wordpress | programming languages: php</t>
  </si>
  <si>
    <t>2021-08-20T18:26:11.000Z</t>
  </si>
  <si>
    <t>AEON DANMARK A/S</t>
  </si>
  <si>
    <t>7943c0b1-9bfc-11ec-8253-a78d4af1afc1</t>
  </si>
  <si>
    <t>EA Tools Wholesale A / S</t>
  </si>
  <si>
    <t>IFACT A/S.</t>
  </si>
  <si>
    <t>IFACT</t>
  </si>
  <si>
    <t>Ibæk Strandvej</t>
  </si>
  <si>
    <t>DK, Denmark, Region of Southern Denmark, Vejle, 7100, Dianavej, 13, 55.720774, 9.567495</t>
  </si>
  <si>
    <t>IFACT, legally known as IFACT A/S., based in Vejle, Region of Southern Denmark, is a company specializing in Business Intelligence (BI) solutions. Originating from an internal BI project within Jansson Gruppen in 2019, IFACT has developed a state-of-the-art BI platform in Azure, offering a BI-as-a-service model. The company provides tailored BI solutions to small and medium-sized enterprises (SMEs) that lack the resources, time, or expertise to implement traditional BI projects. IFACT's approach focuses on delivering accessible and effective BI solutions, ensuring continuous maintenance and development of the services provided.</t>
  </si>
  <si>
    <t>Decision-making Support | Report Generation | Data Visualization Services | Data Analysis | Data Collection and Analysis | Visualization of Kpis | Key Data Overviews | Data Analysis Services | Business Intelligence Platform | Performance Evaluation Services | Key Performance Indicators</t>
  </si>
  <si>
    <t>Vi sÃ¦lger succes â€“ nÃ¥r det handler om Business Intelligence Hvorfor BI ?Du har taget et aktivt valg om, at du gerne vil have Business Intelligence (BI), fordi du ved, at det er en meget tung intern proces, nÃ¥r I skal trÃ¦kke jeres nÃ¸gletal ud og konvertere dem til rapporter.</t>
  </si>
  <si>
    <t>Maksimal opbevaringstid : Permanent Type : Lokalt HTML-lager manifests.extensions Bruges af Microsoft Power BI-platformen til at vise grafik pÃ¥ hjemmesiden. F.eks. dit foretrukne sprog, eller den region, du befinder dig i. FÃ¥ mere at vide om denne udbyder g.gif Registrerer data af statistisk karakter over flere brugeres navigation pÃ¥ hjemmesiden. FÃ¥ mere at vide om denne udbyder #-# Benyttes til indsamling data omhandlende brugerens interaktion med indlejret indhold. LAST_RESULT_ENTRY_KEY Benyttes til indsamling data omhandlende brugerens interaktion med indlejret indhold. Maksimal opbevaringstid : Permanent Type : IndexedDB remote_sid NÃ¸dvendig for implementeringen og funtionaliteten af YouTube video-indhold pÃ¥ hjemmesiden. ServiceWorkerLogsDatabase#SWHealthLog NÃ¸dvendig for implementeringen og funtionaliteten af YouTube video-indhold pÃ¥ hjemmesiden. PÃ¥ den mÃ¥de kan du handle og tage de beslutninger, der kan hjÃ¦lpe forretningen. Hvorfor BI med IFACT. Du og din virksomhed har ikke Ã¸konomiske ressourcer, tid eller kompetencer til at lykkes med BI â€“ altsÃ¥ pÃ¥ traditionel vis med store IT-projekter og dyre konsulenter.</t>
  </si>
  <si>
    <t>Business Management | Computer Software | B2bâ€™s | Enterprise Software Solution | Information Technology Services</t>
  </si>
  <si>
    <t>79 43 33 00</t>
  </si>
  <si>
    <t>+4542073806 | +4572468890</t>
  </si>
  <si>
    <t>info@ifact.dk</t>
  </si>
  <si>
    <t>http://www.ea-engros.dk/</t>
  </si>
  <si>
    <t>https://www.facebook.com/ifact.dk/</t>
  </si>
  <si>
    <t>https://www.linkedin.com/company/ifactdenmark</t>
  </si>
  <si>
    <t>cookie compliance: cookie control | javascript libraries: core-js | wordpress themes: astra | miscellaneous: rss | ui frameworks: bootstrap | javascript libraries: webp | web servers: empathy platform | performance: priority hints | wordpress plugins: elementor | seo: yoast seo | widgets: css | web frameworks: microsoft asp.net | font scripts: google font api | miscellaneous: lottiefiles | security: hsts | miscellaneous: http/3 | databases: mysql | issue trackers: really simple discovery | web frameworks: blazor | wordpress plugins: crocoblock jetelements | cms: site.com | miscellaneous: open graph | network devices: html | miscellaneous: jquery easing | cdn: jsdelivr | javascript libraries: jquery ui | wordpress plugins: w3 total cache | network devices: html5 | web servers: apache http server | miscellaneous: facebook | cms: wordpress | blogs: wordpress | caching: w3 total cache | tag managers: google tag manager | miscellaneous: linkedin | marketing automation: sleeknote | cookie compliance: cookiebot | javascript libraries: jquery | widgets: javascript | font scripts: twitter emoji (twemoji) | cdn: cloudflare | wordpress plugins: yoast seo | programming languages: php | javascript libraries: jquery migrate | web frameworks: html5 | page builders: elementor | analytics: google analytics</t>
  </si>
  <si>
    <t>2022-02-24T21:44:12.000Z</t>
  </si>
  <si>
    <t>Jastel Network Co Ltd</t>
  </si>
  <si>
    <t>7f176bc0-93e4-11eb-a746-fdabd18be9c6</t>
  </si>
  <si>
    <t>JasTel Network</t>
  </si>
  <si>
    <t>JasTel Network Co. Ltd. | Justel Network Company Limited</t>
  </si>
  <si>
    <t>Jastel | JASTEL NETWORK</t>
  </si>
  <si>
    <t>นนทบุรี</t>
  </si>
  <si>
    <t>ถนน แจ้งวัฒนะ</t>
  </si>
  <si>
    <t>TH, Thailand, Nonthaburi Province, Nonthaburi City Municipality, 11000, , , 13.8428962, 100.4937886 | TH, Thailand, Nonthaburi Province, Pak Kret District, 11120, , , 13.8610918, 100.3456772</t>
  </si>
  <si>
    <t>JasTel ผู้ให้บริการโครงข่ายโทรคมนาคม Data Center บริการอินเทอร์เน็ต Corporate Internet ระบบ network ในองค์กร เช่า Cloud Server มาตรฐานสากล ตอบรับทุกความต้องการของลูกค้า</t>
  </si>
  <si>
    <t>Internet Services Provider | Data Communication Solutions | Internet Leased Line Services | National Internet Exchange Services | Telecommunications Services | VPN/MPLS Network Services | Data Center Colocation | Corporate Internet | Computer and Telecommunication Services | Cable Network Services | Telecom Networks | Cloud Server Rental Services | International Gateway License | Domestic Services | Leased Circuit Services | Internet Enterprise | Leased Circuit Network | Phishing Email Prevention | Internet Solutions | International Cable Marketing Network | Home Internet | International Network Expansion</t>
  </si>
  <si>
    <t>Presently, JasTel's clients come from a wide range of businesses including voice (IDD/ VOIP) providers, IIG providers, internet providers, international telecom businesses, international enterprise groups with business in Thailand, and corporations with multiple branches such as banks, embassies, international news bureaus, and industrial factories.</t>
  </si>
  <si>
    <t>JasTel Network Company Limited (JasTel) is a telecommunications network, service, and internet provider in Thailand and throughout international territories. The company is a subsidiary of Jasmine International Public Company Limited (JAS). With over 20 years of experience in the telecommunications industry, Jasmine Group has recognized that providing telecommunications services in Thailand has rapidly grown reflecting the high demand for usage of data communication and multiple internet solutions including increased bandwidth usage both domestically and internationally. This led to the establishment of JasTel Network Company Limited in June of 2006 to provide Leased Circuit Network and Internet/ Telecommunication services both domestically and internationally via a vast cable network made up of terrestrial and submarine fiber optic cables and copper cables.</t>
  </si>
  <si>
    <t>Internet And Network | Cloud Services | Leased Line | Corporate Internet | Internet Connectivity | Networking And Cabling | Telecommunications Services</t>
  </si>
  <si>
    <t>Communication Equipment Installation - Commercial | Communication Equipment Installation - Residential | Data Processing Centres / Server Farms | Cloud Computing | Software Developers (Pre-Packaged)</t>
  </si>
  <si>
    <t>153402 | 153401 | 740701 | 740808 | 891801</t>
  </si>
  <si>
    <t>02 100 3183</t>
  </si>
  <si>
    <t>+6621003183 | +6621003184 | +6621003360 | +6627826500</t>
  </si>
  <si>
    <t>info@jastel.co.th</t>
  </si>
  <si>
    <t>cs@jastel.co.th | info@jastel.co.th</t>
  </si>
  <si>
    <t>http://www.jastel.co.th/</t>
  </si>
  <si>
    <t>http://www.linkedin.com/company/jastel-network-co.-ltd.</t>
  </si>
  <si>
    <t>widgets: getbutton | javascript libraries: core-js | javascript libraries: lit-html | javascript libraries: webp | web servers: empathy platform | development: styled-components | performance: priority hints | ecommerce: woocommerce | analytics: google universal analytics | security: recaptcha | iaas: google sign-in | seo: yoast seo | widgets: css | javascript libraries: lazysizes | javascript frameworks: react | rum: cloudflare browser insights | font scripts: google font api | blogging platforms: wordpress | wordpress plugins: wpmu dev smush | miscellaneous: http/3 | video players: youtube | databases: mysql | javascript frameworks: styled-components | cms: site.com | widgets: facebook | ecommerce: facebook like button | live chat: getbutton | authentication: facebook login | cdn: google hosted libraries | miscellaneous: open graph | captchas: recaptcha | widgets: facebook comments | seo tool: yoast seo | network devices: html | miscellaneous: jquery easing | javascript frameworks: jquery migrate | webmail: facebook login button | seo tool: facebook friendly | javascript frameworks: webfont loader | network devices: html5 | cms: wordpress | cookie compliance: cookie notice | blogs: wordpress | analytics: cloudflare browser insights | tag managers: google tag manager | analytics: facebook analytics | web frameworks: jquery waypoints | javascript libraries: jquery | retargeting: facebook | cms: google sites | widgets: javascript | form builders: contact form 7 | javascript libraries: jquery.scrollto | font scripts: twitter emoji (twemoji) | javascript libraries: lit-element | cdn: cloudflare | wordpress plugins: yoast seo | programming languages: php | javascript libraries: jquery migrate | performance: lazysizes | wordpress plugins: cookie notice | hosting panels: plesk | wordpress plugins: contact form 7 | javascript frameworks: jquery | analytics: google analytics</t>
  </si>
  <si>
    <t>2019-11-24T02:28:14.000Z</t>
  </si>
  <si>
    <t>JLL Corporate Solutions AB</t>
  </si>
  <si>
    <t>00aa81f1-0d4d-11ec-a809-9588640bef4a</t>
  </si>
  <si>
    <t>JLL Stockholm Real Estate</t>
  </si>
  <si>
    <t>Jones Lang LaSalle IP Inc.</t>
  </si>
  <si>
    <t>JLL</t>
  </si>
  <si>
    <t>111 45</t>
  </si>
  <si>
    <t>Birger Jarlsgatan</t>
  </si>
  <si>
    <t>CN, China, Tibet, Sar, , , , 28.1932396, 87.7422136 | US, United States, Washington, Redmond, , , , 47.6694141, -122.1238767</t>
  </si>
  <si>
    <t>Hitta fastighetstjänster, lösningar och partners i Sverige. Få expertis speciellt för Sverige för att hjälpa dig fatta informerade, strategiska beslut.</t>
  </si>
  <si>
    <t>Commercial Real Estate Services | Yacht Brokerage Services | Property Investment Strategies</t>
  </si>
  <si>
    <t>Our banking and financial services specialists focus on providing solutions to support strategic management of your real estate portfolio</t>
  </si>
  <si>
    <t>JLL GPT is the first generative AI model for commercial real estate, purpose-built to deliver insights to clients in a whole new way. Create a data-driven decarbonization plan that's built for action, powered by JLL's Carbon Pathfinder technology. Discover your next investment opportunity. We uncover opportunities and capital sources across the globe to help our clients meet their investment goals. Join a diverse community of talented individuals to help shape the future of real estate for a better world. Find media contacts, and get access to commercial real estate news and announcements. It is a unique combination of updates from professionals on the ground and insights from our leading research experts. Demand more from your real estate. Learn about managing property. Breathe life into old space, or create something brand new to help your people thrive. Learn about delivering projects. Uncover investment opportunities and capital sources â€“ all over the world. Learn about investing. Implement tools, processes, and strategies that improve the value and performance of your real estate.</t>
  </si>
  <si>
    <t>Commercial Real Estate | Real Estate | Capital Markets | Health Care | Trends &amp; Insights | Risk Advisory | Investing In Real Estate | Global Real Estate | Business &amp; Development | Manage Properties &amp; Portfolios</t>
  </si>
  <si>
    <t>Real Estate - Agents &amp; Managers</t>
  </si>
  <si>
    <t>Real Estate Agents and Managers (residential property managers)</t>
  </si>
  <si>
    <t>Kennels / Boarding of Household Pets | Animal Day Care Providers | Retail - Pet Food and Accessories (No Live Animals) | Wholesale - Hardware / Plumbing Supplies / Electrical Supplies | Animal Groomers</t>
  </si>
  <si>
    <t>Real estate activities on a fee or contract basis</t>
  </si>
  <si>
    <t>68.31 | 68.32</t>
  </si>
  <si>
    <t>Real estate agencies | Management of real estate on a fee or contract basis</t>
  </si>
  <si>
    <t>073801 | 073802 | 599401 | 509201 | 073803</t>
  </si>
  <si>
    <t>08-453 50 00</t>
  </si>
  <si>
    <t>+12128125700 | +8618009967566</t>
  </si>
  <si>
    <t>w9inquiry@jll.com</t>
  </si>
  <si>
    <t>https://www.jllsweden.se/en/cities/stockholm</t>
  </si>
  <si>
    <t>https://www.facebook.com/jll/</t>
  </si>
  <si>
    <t>https://twitter.com/JLL</t>
  </si>
  <si>
    <t>https://www.instagram.com/jll/</t>
  </si>
  <si>
    <t>https://www.linkedin.com/company/jll/</t>
  </si>
  <si>
    <t>2021-09-04T04:42:38.000Z</t>
  </si>
  <si>
    <t>JOB-INDEX A/S</t>
  </si>
  <si>
    <t>95040fb3-93e4-11eb-9937-4fab995bf8ff</t>
  </si>
  <si>
    <t>Jobindex A/S</t>
  </si>
  <si>
    <t>Jobindex A/S.</t>
  </si>
  <si>
    <t>Jobindex</t>
  </si>
  <si>
    <t>Carl Jacobsens Vej</t>
  </si>
  <si>
    <t>29 - 31</t>
  </si>
  <si>
    <t>DK, Denmark, Capital Region of Denmark, Copenhagen, 2500, Carl Jacobsens Vej, 29-31, 55.6546731, 12.5152156</t>
  </si>
  <si>
    <t>Start din jobsøgning på Jobindex blandt mere end 30.000 ledige stillinger. Opret CV, få tips til ansøgning, jobsamtale eller løn. Hjælp til rekruttering.</t>
  </si>
  <si>
    <t>job portal; recruitment advertising; job search; employment; HR services</t>
  </si>
  <si>
    <t>Copenhagen-based operator of Denmark’s leading job portal.</t>
  </si>
  <si>
    <t>Jobindex A/S is a Danish company operating one of Denmark’s leading online job portals. It offers job advertisements, CV database access and recruitment services, helping employers find candidates and job seekers search for vacancies across sectors.</t>
  </si>
  <si>
    <t>online job board; recruitment ads; CV database; HR tech; employment services</t>
  </si>
  <si>
    <t>Employment Placement Agencies</t>
  </si>
  <si>
    <t>Online Recruitment &amp; Job Portals</t>
  </si>
  <si>
    <t>Online job advertising and recruitment services</t>
  </si>
  <si>
    <t>Information &amp; Communication / Administrative and Support Services</t>
  </si>
  <si>
    <t>38 32 33 55</t>
  </si>
  <si>
    <t>+4528102016 | +4538323350 | +4538323355</t>
  </si>
  <si>
    <t>https://www.jobindex.dk/?utm_source=google_my_business&amp;utm_medium=referral&amp;utm_campaign=jobindex_link&amp;utm_content=homepage</t>
  </si>
  <si>
    <t>https://www.facebook.com/jobindex</t>
  </si>
  <si>
    <t>https://www.instagram.com/jobindex_dk</t>
  </si>
  <si>
    <t>https://www.linkedin.com/company/jobindex</t>
  </si>
  <si>
    <t>https://www.youtube.com/jobindex</t>
  </si>
  <si>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</si>
  <si>
    <t>2019-11-27T09:46:25.000Z</t>
  </si>
  <si>
    <t>JOBSTREET.COM PTE LTD</t>
  </si>
  <si>
    <t>04f6a945-93e5-11eb-8474-3bbe2d07207d</t>
  </si>
  <si>
    <t>Jobstreet by SEEK, Singapore</t>
  </si>
  <si>
    <t>International Tax Management Pte Ltd.</t>
  </si>
  <si>
    <t>International Tax Management | International tax manager</t>
  </si>
  <si>
    <t>Wallich Street</t>
  </si>
  <si>
    <t>SG, Singapore, Central, Singapore, 078881, Wallich Street, , 1.2770467, 103.84547262636721</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</si>
  <si>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</si>
  <si>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</si>
  <si>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(Ã¢â‚¬Å“ITMÃ¢â‚¬Â)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</si>
  <si>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andÃ‚ accounting atâ€¦.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</si>
  <si>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</si>
  <si>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Building Owner - Multiple Occupancy - Mixed-Use Commercial | Lawyers / Barristers / Solicitors | Management Consultants | Accountants / Auditors | Bookkeeping Services</t>
  </si>
  <si>
    <t>399101 | 811101 | 641401 | 641101 | 740802</t>
  </si>
  <si>
    <t>6538 0060</t>
  </si>
  <si>
    <t>+6531520247 | +6597764058</t>
  </si>
  <si>
    <t>nico.derksen@itm.com.sg</t>
  </si>
  <si>
    <t>info@itm.com.sg</t>
  </si>
  <si>
    <t>https://www.jobstreet.com.sg/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</si>
  <si>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</si>
  <si>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</si>
  <si>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2020-04-20T20:54:15.000Z</t>
  </si>
  <si>
    <t>JOHNSON CONTROLS DENMARK APS</t>
  </si>
  <si>
    <t>3029aeeb-1b04-11ec-be44-b33b64e33ebc</t>
  </si>
  <si>
    <t>Johnson Controls Denmark ApS (Head office)</t>
  </si>
  <si>
    <t>Johnson Controls Denmark ApS Head office</t>
  </si>
  <si>
    <t>Højbjerg</t>
  </si>
  <si>
    <t>Christian X's Vej</t>
  </si>
  <si>
    <t>DK, Denmark, Central Denmark Region, Aarhus, 8270, Christian X's Vej, 201, 56.11329699999999, 10.158671499999997</t>
  </si>
  <si>
    <t>Danish subsidiary of Johnson Controls providing building technologies, HVAC, fire and security solutions.</t>
  </si>
  <si>
    <t>building automation; HVAC; fire safety; security; building technologies</t>
  </si>
  <si>
    <t>Denmark-based provider of building technology, fire and security solutions within Johnson Controls.</t>
  </si>
  <si>
    <t>Johnson Controls Denmark ApS is the Danish subsidiary of Johnson Controls, delivering building automation systems, heating, ventilation and air conditioning (HVAC), fire detection and suppression, and electronic security solutions to commercial and industrial customers.</t>
  </si>
  <si>
    <t>building automation; energy efficiency; HVAC systems; fire &amp; security; building services</t>
  </si>
  <si>
    <t>Electrical Apparatus and Equipment, Wiring Supplies, and Related Equipment Merchant Wholesalers</t>
  </si>
  <si>
    <t>Building Technologies &amp; Services</t>
  </si>
  <si>
    <t>HVAC, fire and security systems for buildings</t>
  </si>
  <si>
    <t>Construction / Manufacturing</t>
  </si>
  <si>
    <t>Plumbing, Heating and Air-Conditioning</t>
  </si>
  <si>
    <t>Plumbing, heat and air-conditioning installation</t>
  </si>
  <si>
    <t>87 36 70 00</t>
  </si>
  <si>
    <t>https://www.johnsoncontrols.com/da_dk</t>
  </si>
  <si>
    <t>https://www.facebook.com/JohnsonControls</t>
  </si>
  <si>
    <t>https://twitter.com/johnsoncontrols</t>
  </si>
  <si>
    <t>https://www.linkedin.com/company/johnson-controls</t>
  </si>
  <si>
    <t>https://www.youtube.com/user/JohnsonControlsInc/JohnsonControls</t>
  </si>
  <si>
    <t>2021-10-26T08:00:12.000Z</t>
  </si>
  <si>
    <t>JONES LANG LASALLE PROPERTY CONSULTANTS PTE LTD</t>
  </si>
  <si>
    <t>a0c7c82f-a62d-11ed-b2cd-53de41d2c5f2</t>
  </si>
  <si>
    <t>Jones Lang Lasalle Property Consultants Pte. Ltd.</t>
  </si>
  <si>
    <t>SG, Singapore, Central, Singapore, 178957, Temasek Boulevard, 6, 1.294671, 103.8596736</t>
  </si>
  <si>
    <t>Jones Lang Lasalle Property Consultants Pte. Ltd. is a company based in Singapore that operates in the real estate consulting industry.</t>
  </si>
  <si>
    <t>Real Estate Consulting Services | Wheelchair Accessible Parking Options</t>
  </si>
  <si>
    <t>Jones Lang Lasalle Property Consultants Pte. Ltd. is a real estate agent/manager based in Singapore.</t>
  </si>
  <si>
    <t>Real Estate Agents and Managers (agents and brokers)</t>
  </si>
  <si>
    <t>6337 2737</t>
  </si>
  <si>
    <t>2023-02-06T14:50:05.044Z</t>
  </si>
  <si>
    <t>Kahoot! Denmark ApS</t>
  </si>
  <si>
    <t>14b174a0-93e5-11eb-8ad6-7326edce8d21</t>
  </si>
  <si>
    <t>Kahoot! Trust | Kahoot! EDU Inc.</t>
  </si>
  <si>
    <t>Kahoot | Kahoot! AS</t>
  </si>
  <si>
    <t>Vesterbrogade</t>
  </si>
  <si>
    <t>1L</t>
  </si>
  <si>
    <t>NO, Norway, Oslo, Oslo, 0160, Fridtjof Nansens plass, 7, 59.912606, 10.735303 | US, United States, Texas, Austin, 78705, North Interstate 35, 3300, 30.290467588235295, -97.72279250980392</t>
  </si>
  <si>
    <t>Kahoot! Trust, legally known as Kahoot! Trust, is a global learning and engagement platform company based in Oslo, Norway. Founded in 2012 by Morten Versvik, Johan Brand, and Jamie Brooker, the company offers a variety of solutions designed to enhance learning and engagement. provides tools for creating, sharing, and hosting interactive learning sessions, including presentations, quizzes, and training courses. The platform is used by over 8 million educators worldwide and is employed by 97% of Fortune 500 companies for training, presentations, onboarding, and events. also offers specialized solutions for employee engagement and learning, such as Kahoot! 360 Engage. The company is part of the Kahoot! Group, which includes Clever, a platform for digital learning in schools, and award-winning learning apps for families and children.</t>
  </si>
  <si>
    <t>Educational | Return on Training Investment | Customizable Characters | Learning Sessions | Presentation Skills Training | Knowledge Retention | Ai-powered Study Tool | Live Sessions | Mobile Application Development | Remote Training | Self-paced Games | Formative Assessment Services | Learner Engagement Platform | High Engagement Quizzes | Self-paced Assignments | Knowledge Retention with Solo Study Modes | Educational Services | In-person Sessions | Learning Goals Tests | Game Modes</t>
  </si>
  <si>
    <t>Kahoot !is a Norwegian online game-based learning platform.</t>
  </si>
  <si>
    <t>Kahoot! is a Norwegian online game-based learning platform. It has learning games, also known as "kahoots", which are user-generated multiple-choice quizzes that can be accessed via a web browser or the Kahoot! app. In July 2023, Kahoot agreed to be acquired by Goldman Sachs Asset Management alongside General Atlantic, Glitrafjord, and others in a $1.72 billion all-cash deal.</t>
  </si>
  <si>
    <t>Schools - Not Otherwise Classified (incl Business Colleges) | Operations Consultants | Management Consultants | Software Developers (Custom) | Software Developers (Pre-Packaged)</t>
  </si>
  <si>
    <t>832301 | 641403 | 641401 | 891802 | 891801</t>
  </si>
  <si>
    <t>privacy@kahoot.com</t>
  </si>
  <si>
    <t>https://kahoot.com/</t>
  </si>
  <si>
    <t>https://www.facebook.com/getkahoot/</t>
  </si>
  <si>
    <t>https://twitter.com/KahootSupport</t>
  </si>
  <si>
    <t>https://www.instagram.com/kahoot/</t>
  </si>
  <si>
    <t>https://www.linkedin.com/company/kahoot</t>
  </si>
  <si>
    <t>https://itunes.apple.com/app/apple-store/id1131203560?pt=2314983&amp;ct=kahootcommobileapp&amp;mt=8</t>
  </si>
  <si>
    <t>https://play.google.com/store/apps/details?id=no.mobitroll.kahoot.android&amp;referrer=utm_source%3Dkahoot%26utm_campaign%3Dmobileapp</t>
  </si>
  <si>
    <t>web servers: ibm websphere application server | payment processors: paypal | javascript libraries: lodash | documentation: zendesk | javascript libraries: core-js | widgets: twitter | analytics: hotjar | miscellaneous: google cloud storage | wordpress plugins: yoast seo - 18.2 | web frameworks: ruby on rails | web servers: empathy platform | performance: priority hints | unknown: amazon elastic load balancing | miscellaneous: webpack | security: recaptcha | seo: yoast seo | cms: shopify | widgets: css | cdn: jquery cdn | paas: wp engine | miscellaneous: x | paas: amazon web services | javascript frameworks: react | programming languages: ruby | cdn: cdnjs | saas: zendesk | font scripts: google font api | cache tools: varnish | security: hsts | reverse proxies: nginx | blogging platforms: wordpress | miscellaneous: http/3 | video players: youtube | javascript libraries: modernizr | databases: mysql | analytics: amplitude | reverse proxy: nginx | issue trackers: zendesk | javascript frameworks: moment.js | performance: google cloud trace | cms: site.com | cms: zendesk | cdn: google hosted libraries | miscellaneous: open graph | reverse proxies: envoy | javascript libraries: jquery - 3.3.1 | reverse proxies: nunjucks | seo tool: yoast seo | cookie compliance: onetrust | network devices: html | miscellaneous: jquery easing | javascript frameworks: jquery migrate | seo: yoast seo - 18.2 | javascript frameworks: modernizr | seo tool: facebook friendly | live chat: zendesk | network devices: html5 | miscellaneous: facebook | cms: wordpress | hosting: wp engine | blogs: wordpress | ecommerce: cart functionality | payment processors: shop pay | caching: varnish | lead generation: mailchimp | tag managers: google tag manager | miscellaneous: linkedin | javascript libraries: jquery | widgets: javascript | seo tool: twitter friendly | javascript libraries: underscore.js | web servers: nginx | cdn: cloudflare | wordpress plugins: yoast seo | iaas: google cloud | programming languages: php | marketing automation: mailchimp | javascript libraries: jquery migrate | javascript frameworks: backbone.js | security: cloudflare bot management | javascript libraries: moment.js | cdn: amazon cloudfront | ecommerce: shopify | miscellaneous: instagram | javascript frameworks: jquery | analytics: google analytics | javascript libraries: flickity</t>
  </si>
  <si>
    <t>2019-11-24T00:29:56.000Z</t>
  </si>
  <si>
    <t>KAMTOWER DANMARK A/S</t>
  </si>
  <si>
    <t>51c74a02-6deb-11ec-96ad-05bd7998a1d5</t>
  </si>
  <si>
    <t>Cyberjuice Aps.</t>
  </si>
  <si>
    <t>Cyberjuice</t>
  </si>
  <si>
    <t>Hørsholm</t>
  </si>
  <si>
    <t>Lyngsø Alle</t>
  </si>
  <si>
    <t>3A</t>
  </si>
  <si>
    <t>DK, Denmark, Capital Region of Denmark, Copenhagen, 1421, Tom Kristensens Vej, , 55.6611573, 12.5865541</t>
  </si>
  <si>
    <t>Telecom infrastructure management, analysis &amp; design</t>
  </si>
  <si>
    <t>Tailored Training Surveys | Collective Intelligence of Employees | Policy and Procedure Translation | Drafting and Compilation of Compliance Documentations | User-friendly and Cost-effective Cybersecurity Management Platform | Automated Cybersecurity Software | Security Consultants | Organizational Awareness and Engagement Tracking | Step-by-step Guidance | Cybersecurity Services | Step-by-step Wizards for Non-experienced Individuals | Baseline Cybersecurity | Security Strategy and Roadmap | Cybersecurity Management Platform for Small Businesses</t>
  </si>
  <si>
    <t>We are a team of passionate and innovative professionals who are dedicated to protecting our customers from cyber threats by making cybersecurity relevant, engaging and easy to understand.</t>
  </si>
  <si>
    <t>An automated &amp; inclusive cybersecurity management platform for startups and small companies. The Cyberjuice platform automates most of your cybersecurity work and guides you through the process in an engaging step-by-step way. This company was born from a desire to solve the cybersecurity problems startups and small businesses are facing: - Lack of expertise- Lack of time- Lack of budget
Cyberjuice platform saves companies months of work and for security consultants. And of course better cybersecurity means they can avoid devastating incidents - that's the whole point. Cyberjuice isâ€¦- Combining the human element with the technical solutions in a holistic agile process- Making it easy for employees to choose secure behaviour and implement the technical solutions. No-one else offers that on a platform today.- Easy, and simple to use - you don't need the skills inhouse.- Continuous improvement of your cybersecurity - thanks to employee collective intelligence - powered by the Cyberjuice AI.Everybody in your company will feel competent with cybersecurity.</t>
  </si>
  <si>
    <t>Software Development | Cyber Security Management | Security Consultants | Cyber Securities</t>
  </si>
  <si>
    <t>Software Developers (Pre-Packaged) | Software Developers (Custom) | Management Consultants | Technology Customer Support Services (For others) | Burglar / Fire Alarm Installation (No Monitoring)</t>
  </si>
  <si>
    <t>891801 | 891802 | 641401 | 740809 | 173103</t>
  </si>
  <si>
    <t>hello@cyberjuice.io</t>
  </si>
  <si>
    <t>careers@cyberjuice.io | hello@cyberjuice.io</t>
  </si>
  <si>
    <t>https://kamtower.com/</t>
  </si>
  <si>
    <t>https://dk.linkedin.com/company/cyberjuice</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</si>
  <si>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miscellaneous: open graph | javascript libraries: yui | cookie compliance: cookieyes | network devices: html5 | ecommerce: cart functionality | tag managers: google tag manager | widgets: javascript | marketing automation: klaviyo | analytics: google analytics</t>
  </si>
  <si>
    <t>2022-03-15T18:41:05.000Z</t>
  </si>
  <si>
    <t>KANTAR TNS AS</t>
  </si>
  <si>
    <t>0013bee4-93e5-11eb-b89f-536884b3e7dd</t>
  </si>
  <si>
    <t>KANTAR AS</t>
  </si>
  <si>
    <t>Kantar TNS AS | Kantar Norge AS | Kantar AS | Kantar</t>
  </si>
  <si>
    <t>Lakkegata</t>
  </si>
  <si>
    <t>NO, Norway, Oslo, Oslo, 0187, Lakkegata, 23, 59.915011, 10.761012</t>
  </si>
  <si>
    <t>Norwegian market research firm, subsidiary of Kantar TNS</t>
  </si>
  <si>
    <t>market research; customer insight; brand tracking; media research; surveys</t>
  </si>
  <si>
    <t>Oslo-based market research and insight company within Kantar.</t>
  </si>
  <si>
    <t>Kantar TNS AS is a Norwegian market research and insight company headquartered in Oslo. As part of Kantar, it offers quantitative and qualitative research, brand and customer tracking, media and opinion surveys for public and private clients.</t>
  </si>
  <si>
    <t>market insight; brand research; customer experience; public opinion; surveys</t>
  </si>
  <si>
    <t>Market Research &amp; Insights</t>
  </si>
  <si>
    <t>Market and opinion research services</t>
  </si>
  <si>
    <t>91 11 16 00</t>
  </si>
  <si>
    <t>+4790775520 | +4799426846 | +4791191382 | +4747863276 | +4792847335 | +4792652514 | +4780041440 | +4790627229 | +4797138769 | +4791111600 | +4790633911 | +4780022610</t>
  </si>
  <si>
    <t>heidi.stamgaard@kantar.com</t>
  </si>
  <si>
    <t>http://www.kantar.no/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</si>
  <si>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</si>
  <si>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</si>
  <si>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2019-11-23T23:50:52.000Z</t>
  </si>
  <si>
    <t>Kaon Broadband Co.,Ltd.</t>
  </si>
  <si>
    <t>066023fb-128f-11ec-8e51-535d35220a18</t>
  </si>
  <si>
    <t>가온 브로드밴드 (KAON BROADBAND)</t>
  </si>
  <si>
    <t>Kaon Media</t>
  </si>
  <si>
    <t>KR</t>
  </si>
  <si>
    <t>South Korea</t>
  </si>
  <si>
    <t>Gyeonggi-do</t>
  </si>
  <si>
    <t>Seongnam-si</t>
  </si>
  <si>
    <t>Daewangpangyo-ro</t>
  </si>
  <si>
    <t>KR, South Korea, Gyeonggi, Seongnam-si, , , , 37.4201556, 127.1262092 | PE, Peru, Lima, Lima Metropolitan Area, 15023, Calle 10, 384, -12.0915992, -76.9816579 | CL, Chile, RegiÃ³n Metropolitana de Santiago, Santiago, 8910339, Fernando Lazcano, 1280, -33.484004321739135, -70.65196386956521 | CO, Colombia, Bogota\, Capital District, Bogota, 111831, Carrera 7, 73-55, 4.55742, -74.119335 | US, United States, Colorado, Denver, 80231, East Hampden Avenue, 7535, 39.6557214, -104.902967 | MX, Mexico, Hidalgo, Tula, , , , 20.5, -99.0 | VN, Vietnam, HÃ  Ná»™i, HÃ  Ná»™i, , , , 21.0283334, 105.854041 | CN, China, Guangdong Province, Huizhou, , , , 23.1125153, 114.4127007</t>
  </si>
  <si>
    <t>가온브로드밴드는 AP Router, Wi-Fi Repeater, DOCSIS Gateway, PON, xDSL 등 다양한 브로드밴드 제품과 고객이 네트워크 환경을 효율적으로 구축, 관리할 수 있는 통합솔루션을 공급하고 있습니다.</t>
  </si>
  <si>
    <t>CPE; broadband devices; set-top boxes; gateways; routers; telecom equipment</t>
  </si>
  <si>
    <t>South Korea-based supplier of broadband CPE and video set-top boxes.</t>
  </si>
  <si>
    <t>Kaon Broadband Co., Ltd. is a South Korean technology company specialising in customer premises equipment (CPE) for pay-TV operators and broadband service providers. Its portfolio includes video set-top boxes, broadband gateways, Wi-Fi routers and related software platforms.</t>
  </si>
  <si>
    <t>telecom CPE; pay-TV devices; gateways; routers; broadband equipment</t>
  </si>
  <si>
    <t>Telecom &amp; Broadband Equipment</t>
  </si>
  <si>
    <t>Manufacturing of broadband and video customer premises equipment</t>
  </si>
  <si>
    <t>Marketing Consultants | Commercial Printing | Advertising Agencies | Communication Equipment Installation - Commercial | Management Consultants</t>
  </si>
  <si>
    <t>641405 | 275001 | 731201 | 153402 | 641401</t>
  </si>
  <si>
    <t>031-724-8900</t>
  </si>
  <si>
    <t>+82317248500 | +82317248997</t>
  </si>
  <si>
    <t>pr@kaonmedia.com</t>
  </si>
  <si>
    <t>http://www.kaonbroadband.com/</t>
  </si>
  <si>
    <t>https://www.facebook.com/kaonmedia</t>
  </si>
  <si>
    <t>https://twitter.com/KAONMEDIA</t>
  </si>
  <si>
    <t>https://www.linkedin.com/company/kaon-media</t>
  </si>
  <si>
    <t>https://www.youtube.com/channel/UCe335UTOe0gqReFU52yf2jQ</t>
  </si>
  <si>
    <t>javascript libraries: jquery - 1.8.2 | web frameworks: microsoft asp.net | font scripts: google font api | analytics: google analytics - GA4 | web servers: iis - 8.5 | network devices: html | operating systems: windows server</t>
  </si>
  <si>
    <t>2021-09-10T21:38:45.000Z</t>
  </si>
  <si>
    <t>KERRY FREIGHT PAKISTAN (PRIVATE) LIMITED</t>
  </si>
  <si>
    <t>02a50a06-0be9-11ee-9a98-d9e74f6171d5</t>
  </si>
  <si>
    <t>Kerry Freight Pakistan PVT LTD</t>
  </si>
  <si>
    <t>Kerry Cart</t>
  </si>
  <si>
    <t>Shahra-e-Faisal</t>
  </si>
  <si>
    <t>PK, Pakistan, Sindh, Karachi, 74400, , , 24.8546842, 67.0207055</t>
  </si>
  <si>
    <t>Kerry Cart is an online retail company specializing in home and lifestyle accessories. The company offers a wide range of products including kitchen and dining items, baking products, storage jars, trolleys, cosmetic and jewelry organizers, wall stickers, bathroom and cleaning accessories, and various apparel and accessories. Kerry Cart is committed to providing high-quality products, secure shopping, and efficient delivery services. The company aims to enhance customers' home and lifestyle experiences by offering stylish and functional products.</t>
  </si>
  <si>
    <t>Bathroom Cleaning Supplies | Dining Accessories | Kitchen Carts | Storage Trolleys | Ecommerce Stores | Smart Storage Solutions | Cosmetic and Jewellery Organizers | Cleaning Tools</t>
  </si>
  <si>
    <t>Let us be your trusted partner in curating a stylish and organized lifestyle.</t>
  </si>
  <si>
    <t>At Kerry Cart, we believe that the little details in life can make a big difference. Whether you're looking to elevate your kitchen and dining experience, add a touch of organization to your living space, or discover unique ways to express your style, we have just what you need. From stylish and durable cookware to elegant tableware, we've got your culinary needs covered. Baking Products: For all the bakers and aspiring chefs out there, our Baking Products section is a paradise of high-quality baking essentials. Whether you're a seasoned pro or a baking enthusiast, you'll find everything you need to create mouthwatering treats. Trolleys: Looking for convenient storage and mobility solutions. Whether you're decorating a nursery, living room, or office space, these stickers add a unique touch to any wall. From smart storage solutions to practical cleaning tools, we're here to make your daily routines simpler and more enjoyable. Quality and Variety: We are committed to offering only the best products that meet our strict quality standards.</t>
  </si>
  <si>
    <t>Storage Organization | Beauty Personal Care | Bathroom Cleaning | Wallet Accessories | Kitchen &amp; Dining | Candles And Holders | Knife Accessories | Hand &amp; Nail Care | Car Accessory | Cookware/kitchen Utensils</t>
  </si>
  <si>
    <t>All Other Home Furnishings Retailers</t>
  </si>
  <si>
    <t>5961 | 5113 | 5085 | 5963 | 5999 | 5162 | 5431 | 5142 | 5961 | 5421 | 5411 | 5961</t>
  </si>
  <si>
    <t>Catalog and Mail-Order Houses (electronic shopping web sites) | Industrial and Personal Service Paper (industrial and personal service paper sold via retail method) | Industrial Supplies (sold via retail method) | Direct Selling Establishments (except mobile food services and food wagons) | Miscellaneous Retail Stores, NEC  (except art dealers, pet and pet supplies, hearing aids, artificial limbs, cosmetics, telephones, sunglasses, manufacture of orthopedic devices to prescription in a retail environment, and typewriters) | Plastics Materials and Basic Forms and Shapes (plastics materials, forms, and basic shapes sold via retail method) | Fruit and Vegetable Markets (temporary fruit and vegetable stands) | Packaged Frozen Foods (frozen food sold via retail method) | Catalog and Mail-Order Houses (mail-order houses) | Meat and Fish (Seafood) Markets, Including Freezer Provisioners (freezer provisioners) | Grocery Stores (frozen food and freezer plan providers) | Catalog and Mail-Order Houses (electronic auctions)</t>
  </si>
  <si>
    <t>4752 | 4759 | 4773 | 4789 | 4791 | 4799</t>
  </si>
  <si>
    <t>Retail sale of hardware, paints and glass in specialized stores | Retail sale of electrical household appliances, furniture, lighting equipment and other household articles in specialized stores | Other retail sale of new goods in specialized stores | Retail sale via stalls and markets of other goods | Retail sale via mail order houses or via Internet | Other retail sale not in stores, stalls or markets</t>
  </si>
  <si>
    <t>47.52 | 47.89 | 47.99 | 47.76 | 47.77 | 47.78 | 47.59 | 47.54 | 47.91</t>
  </si>
  <si>
    <t>Retail sale of hardware, paints and glass in specialised stores | Retail sale via stalls and markets of other goods | Other retail sale not in stores, stalls or markets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via mail order houses or via Internet</t>
  </si>
  <si>
    <t>(021) 38353000</t>
  </si>
  <si>
    <t>info@kerrycart.com</t>
  </si>
  <si>
    <t>https://kerrycart.com/</t>
  </si>
  <si>
    <t>https://www.facebook.com/KerryCartStore/</t>
  </si>
  <si>
    <t>https://www.instagram.com/kerrycartstore/</t>
  </si>
  <si>
    <t>2023-06-16T01:19:21.000Z</t>
  </si>
  <si>
    <t>Kerry Logistics Network Limited</t>
  </si>
  <si>
    <t>d06cf44c-93e4-11eb-a33a-a3dfba582839</t>
  </si>
  <si>
    <t>Kerry Freight (Hong Kong) Limited</t>
  </si>
  <si>
    <t>Kerry Logistics | Kerry Logistics Network | Kerry Worldbridge Logistics</t>
  </si>
  <si>
    <t>永基路</t>
  </si>
  <si>
    <t>HK, Hong Kong, Hong Kong, Hong Kong Island, , , , ,  | HK, Hong Kong, Hong Kong, New Territories, , Wing Kei Road, 55, 22.36338525, 114.1209614871284 | IN, India, Tamil NÄdu,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</si>
  <si>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</si>
  <si>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</si>
  <si>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</si>
  <si>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</si>
  <si>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</si>
  <si>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General Freight Trucking, Long-Distance, Truckload</t>
  </si>
  <si>
    <t>Air Freight &amp; Logistics</t>
  </si>
  <si>
    <t>TR-AF</t>
  </si>
  <si>
    <t>4214 | 4212</t>
  </si>
  <si>
    <t>Local Trucking With Storage (general freight) | Local Trucking Without Storage (general freight)</t>
  </si>
  <si>
    <t>Freight Brokers | Transportation Terminal (Motor Freight) | Warehousing - General Merchandise (No Flammables / Explosives) | Storage and Moving - General Merchandise (No Flammables / Explosives) | Trucks - Hauling for Others (incl Incidental Short-Term Warehousing)</t>
  </si>
  <si>
    <t>Freight transport by road</t>
  </si>
  <si>
    <t>49.41 | 49.42</t>
  </si>
  <si>
    <t>Freight transport by road | Removal services</t>
  </si>
  <si>
    <t>487101 | 429001 | 427301 | 427501 | 411701</t>
  </si>
  <si>
    <t>2410 3600</t>
  </si>
  <si>
    <t>+85224103600 | +85224805958 | +85523901245</t>
  </si>
  <si>
    <t>contact@kerrylogistics.com</t>
  </si>
  <si>
    <t>eu.gdpr.dpo@kerrylogistics.com</t>
  </si>
  <si>
    <t>https://kerrylogistics.com/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</si>
  <si>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</si>
  <si>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</si>
  <si>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</si>
  <si>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</si>
  <si>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2019-11-24T00:49:37.000Z</t>
  </si>
  <si>
    <t>KINLY HOLDING AS</t>
  </si>
  <si>
    <t>8c74710c-93e4-11eb-90d2-e3355a7e800b</t>
  </si>
  <si>
    <t>Kinly AS</t>
  </si>
  <si>
    <t>Kinly</t>
  </si>
  <si>
    <t>Røyneberg</t>
  </si>
  <si>
    <t>Kanalsletta</t>
  </si>
  <si>
    <t>US, United States, Mississippi, Rankin County, 39047, Mason Court, 405, 32.36582478457979, -90.04196605605468</t>
  </si>
  <si>
    <t>Transform your workplace and connect your teams with AV, UCC technology and managed services, that improve productivity and sustainability.</t>
  </si>
  <si>
    <t>State Rubrics for Teachers and Administrators | Instant Staff Directories | Education Observation Platform | School District Needs | Digital Signatures and Access Logs | Educational Technology Development | K-12 Educator Observations Platform | Staff Observation Tools for K-12 Educators | Student Assessment Data | Educational Services | Goal-setting and Meeting Documentation | Growth Plans for Educator Performance</t>
  </si>
  <si>
    <t>Kinly provides simple and easy tools to evaluate staff, provide guidance, and collaborate on needs.</t>
  </si>
  <si>
    <t>A platform designed to simplify K-12 educator observations. The only platform designed by active educators for educators. Our platform helps grow educators through industry leading solutions.</t>
  </si>
  <si>
    <t>Schools And Districts | Tools For Teachers | Speech &amp; Language | School Goals | Tools &amp; Education | Student Assessments | K-12 Education</t>
  </si>
  <si>
    <t>Management Consultants | Operations Consultants | Software Developers (Pre-Packaged) | Software Developers (Custom) | Information Technology Consultants</t>
  </si>
  <si>
    <t>641401 | 641403 | 891801 | 891802 | 641411</t>
  </si>
  <si>
    <t>51 20 50 00</t>
  </si>
  <si>
    <t>support@kinly.app</t>
  </si>
  <si>
    <t>https://www.kinly.com/</t>
  </si>
  <si>
    <t>https://www.facebook.com/wearekinly</t>
  </si>
  <si>
    <t>https://www.instagram.com/wearekinly/</t>
  </si>
  <si>
    <t>https://www.linkedin.com/company/wearekinly/</t>
  </si>
  <si>
    <t>miscellaneous: babel | javascript libraries: clipboard.js | javascript libraries: core-js - 3.35.1 | cdn: cdnjs | development: firebase | font scripts: google font api | javascript graphics: chart.js - 2.9.4 | javascript frameworks: toastr - 2.1.3 | web frameworks: express | page builders: bubble | web frameworks: bubble | databases: firebase | javascript libraries: granim.js | web servers: express | authentication: facebook login | miscellaneous: open graph | javascript graphics: highcharts - 11.4.8 | programming languages: node.js | javascript libraries: jquery migrate - 3.4.1 | javascript libraries: jquery - 3.6.4 | cdn: cloudflare | search engines: algolia - 3.35.1</t>
  </si>
  <si>
    <t>2020-08-21T09:11:33.000Z</t>
  </si>
  <si>
    <t>KINNARPS A/S</t>
  </si>
  <si>
    <t>b0eab351-93e4-11eb-be5a-4f810ab55f2e</t>
  </si>
  <si>
    <t>Kinnarps</t>
  </si>
  <si>
    <t>Kinnarps AB.</t>
  </si>
  <si>
    <t>Kinnarps | Kinnarps Danmark</t>
  </si>
  <si>
    <t>Roskildevej</t>
  </si>
  <si>
    <t>DK, Denmark, Capital Region of Denmark, BrÃ¸ndbyvester, 2605, Roskildevej, 522, 55.668727, 12.423514 | DK, Denmark, Central Denmark Region, Aarhus, 8200, Dusager, 6, 56.193853, 10.1853 | DK, Denmark, Region Zealand, NykÃ¸bing Falster, 4800, Herningvej, 36A, 54.784452, 11.880258</t>
  </si>
  <si>
    <t>Kinnarps tilbyder kontorindretning med fokus på ergonomi og bæredygtighed. Find de perfekte kontormøbler til din virksomhed.</t>
  </si>
  <si>
    <t>office furniture; workplaces; interior solutions; ergonomics; design</t>
  </si>
  <si>
    <t>Supplier of office furniture and interior solutions in Denmark.</t>
  </si>
  <si>
    <t>Kinnarps A/S is the Danish subsidiary of Swedish furniture group Kinnarps. It delivers office furniture, ergonomic seating and complete interior solutions for offices, schools and public environments, from planning and design to installation.</t>
  </si>
  <si>
    <t>workspace furniture; ergonomic chairs; interior planning; office design; public space solutions</t>
  </si>
  <si>
    <t>Furniture Merchant Wholesalers</t>
  </si>
  <si>
    <t>Office Furniture &amp; Interiors</t>
  </si>
  <si>
    <t>Office furniture and interior solutions</t>
  </si>
  <si>
    <t>Manufacturing / Wholesale Trade</t>
  </si>
  <si>
    <t>Building Products &amp; Furnishings</t>
  </si>
  <si>
    <t>CG-BF</t>
  </si>
  <si>
    <t>Office Furniture, Except Wood</t>
  </si>
  <si>
    <t>Manufacture of furniture</t>
  </si>
  <si>
    <t>Manufacture of office and shop furniture</t>
  </si>
  <si>
    <t>70 15 10 10</t>
  </si>
  <si>
    <t>+4570151010 | +4560008000 | +4529690038 | +4551397153 | +4551397142 | +4529690041 | +4529690005 | +4561209244 | +4551397156 | +4529690017 | +4570707473 | +4551397155 | +4551397163 | +4529690016</t>
  </si>
  <si>
    <t>info@kinnarps.dk</t>
  </si>
  <si>
    <t>pia.laursen@kinnarps.dk | e-ordre@kinnarps.dk | anne.vogel@kinnarps.dk | anne.iversen@kinnarps.dk | geert.jensen@kinnarps.dk | nico.brandt@kinnarps.dk | niels.andersen@kinnarps.dk | trine.larsen@kinnarps.dk | hanne.hey@kinnarps.dk | thj@kinnarps.dk | carina.schmidt@kinnarps.dk</t>
  </si>
  <si>
    <t>http://www.kinnarps.dk/</t>
  </si>
  <si>
    <t>https://www.facebook.com/kinnarps.dk</t>
  </si>
  <si>
    <t>https://twitter.com/kinnarpsgroup</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</si>
  <si>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</si>
  <si>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</si>
  <si>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</si>
  <si>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2019-12-04T08:31:02.000Z</t>
  </si>
  <si>
    <t>KLM-ROYAL DUTCH AIRLINES Filial av utenlandsk foretak.</t>
  </si>
  <si>
    <t>9f7413f3-c45d-11ec-8bf5-9b57c511468a</t>
  </si>
  <si>
    <t>Foretak. KLM-Royal Dutch Airlines filial Av utenlandsk</t>
  </si>
  <si>
    <t>Koninklijke Luchtvaart Maatschappij N.V.</t>
  </si>
  <si>
    <t>KLM Royal Dutch Airlines</t>
  </si>
  <si>
    <t>Haakon Vii's gate</t>
  </si>
  <si>
    <t>NO, Norway, , , , , , 61.1529386, 8.7876653</t>
  </si>
  <si>
    <t>KLM Norway, based in Amstelveen, North Holland, is a subsidiary of KLM Royal Dutch Airlines. It operates as part of the KLM Group, which includes KLM Cityhopper. The company offers a range of travel services, including flight bookings, baggage handling, and travel document management. KLM Norway provides various travel options and services for both leisure and business travelers, ensuring a seamless travel experience. The company is committed to sustainability and environmental protection, and it participates in initiatives to protect the environment and preserve cultural heritage.</t>
  </si>
  <si>
    <t>Air Transportation Services | International Travel Documents | Travel Alert | Ticket Options and Services | Sustainability Initiatives | Baggage Handling Services | Traveling with Kids and Pets | Online Check-in | Healthcare Assistance | Flight Changes, Upgrades, and Cancellations | Refund and Compensation Services | Onboard Experience and Services for Travelers</t>
  </si>
  <si>
    <t>Sammenlign og bestill alle KLM-flyvninger, se siste minutt-tilbud, velg favorittsete, sjekk inn online, bestill hoteller og alt du trenger for reisen din.</t>
  </si>
  <si>
    <t>Airline Companies</t>
  </si>
  <si>
    <t>Passenger Transport Services</t>
  </si>
  <si>
    <t>Air Transportation, Scheduled (passenger)</t>
  </si>
  <si>
    <t>24 13 23 00</t>
  </si>
  <si>
    <t>https://www.klm.no/</t>
  </si>
  <si>
    <t>programming languages: typescript | web servers: empathy platform | performance: priority hints | analytics: dynatrace oneagent | javascript frameworks: zone.js | widgets: css | miscellaneous: pwa | cdn: akamai | javascript libraries: hammer.js | security: hsts | reverse proxies: nginx | personalisation: optimizely | cms: site.com | javascript frameworks: angular | miscellaneous: open graph | a/b testing: optimizely | network devices: html | rum: dynatrace rum | network devices: html5 | analytics: dynatrace | widgets: javascript | ssl/tls certificate authorities: sectigo | security: akamai bot manager | web servers: nginx</t>
  </si>
  <si>
    <t>2022-04-25T06:04:52.000Z</t>
  </si>
  <si>
    <t>KM TELECOM DANMARK A/S</t>
  </si>
  <si>
    <t>483419e2-93e5-11eb-8474-3bbe2d07207d</t>
  </si>
  <si>
    <t>KM Telecom Denmark A / S</t>
  </si>
  <si>
    <t>KM Telecom Danmark A/S. | KM Telecom Belgium BV.</t>
  </si>
  <si>
    <t>KM TELECOM</t>
  </si>
  <si>
    <t>Navervej</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</si>
  <si>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</si>
  <si>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</si>
  <si>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</si>
  <si>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</si>
  <si>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nÃ©cessaire aux capacitÃ©s de communication qui permettent Ã  nos clients de faire de meilleures affaires. Analyse, conception et mise en Å“uvre de l'infrastructure de communication de l'IdO sur laquelle reposent les capacitÃ©s, processus et services actuels et futurs. &gt; IntÃ©gration et gestion numÃ©riques. KM Telecom fournit l'infrastructure pour les capacitÃ©s de communication sans fil qui permettent Ã  nos clients de faire de meilleures affaires. Nous analysons, concevons, mettons en Å“uvre et entretenons l'infrastructure de communication qui fournit les capacitÃ©s pour lesquelles elle a Ã©tÃ© conÃ§ue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</si>
  <si>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31 70 18 18</t>
  </si>
  <si>
    <t>+447889340424 | +4527600452 | +4533644337 | +4563404060</t>
  </si>
  <si>
    <t>mail@km-telecom.com</t>
  </si>
  <si>
    <t>support@km-telecom.com | mail@km-telecom.com</t>
  </si>
  <si>
    <t>leeth@km-telecom.com | into@km-telecom.com | kja@km-telecom.com | mh@km-telecom.com</t>
  </si>
  <si>
    <t>https://km-telecom.com/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</si>
  <si>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</si>
  <si>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</si>
  <si>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</si>
  <si>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</si>
  <si>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KMD Venture A/S</t>
  </si>
  <si>
    <t>fce64cb2-93e4-11eb-86dd-ffbd1b53140e</t>
  </si>
  <si>
    <t>KMD</t>
  </si>
  <si>
    <t>KMD company | KMD A/S.</t>
  </si>
  <si>
    <t>KMD Kommunedata | Kommunedata | KMD IT</t>
  </si>
  <si>
    <t>Lautrupparken</t>
  </si>
  <si>
    <t>DK, Denmark, Capital Region of Denmark, Copenhagen, , , , 55.6867243, 12.5700724 | DK, Denmark, Capital Region of Denmark, Ballerup, 2750, Lautrupparken, 40, 55.73613, 12.393105</t>
  </si>
  <si>
    <t>KMD er blandt nogle af Danmarks største it- og softwarevirksomheder. KMD leverer it-løsninger til erhverv og det offentlige.</t>
  </si>
  <si>
    <t>Healthcare IT Systems | Citizen Service Platforms | Data Security Solutions | Enterprise Resource Planning | Pension Administration Software | Public Sector Software | Local Government Services | Human Resources Systems | Digital Welfare Technologies | Government IT Infrastructure | Business Process Outsourcing | Cloud-based Services | IT Solutions Provider | Financial Management Software</t>
  </si>
  <si>
    <t>We are made up of 3, 000 people who all share the same ambition: To create tomorrow's digital solutions through innovation and expertise.</t>
  </si>
  <si>
    <t>KMD (formerly Kommunedata which literally translates to 'municipality data'), develops IT solutions for Danish municipalities, government and others, as well as some branches of the army. Until 2009 it was owned by the municipalities' national association (Kommunernes Landsforening - KL), who sold the company to EQT Partners (85%) and Arbejdsmarkedets TillÃ¦gspension (15%). In 2012 EQT Partners sold its stake in the company to the private equity company Advent International. Kommunedata was established in 1972 by a merger of municipal IT centres.</t>
  </si>
  <si>
    <t>IT Operations | IT Services | Hybrid It | Data Warehousing</t>
  </si>
  <si>
    <t>Underground Cable / Conduit Installation | Communication Equipment Installation - Commercial | Communication Equipment Installation - Residential | Professional Associations | Retail - Electronics (Install / Repair Off Premises)</t>
  </si>
  <si>
    <t>173301 | 153402 | 153401 | 862001 | 571801</t>
  </si>
  <si>
    <t>44 60 10 00</t>
  </si>
  <si>
    <t>+4541810710 | +4544601000 | +48222106610</t>
  </si>
  <si>
    <t>info@kmd.dk</t>
  </si>
  <si>
    <t>info@kmd.dk | marketing@kmd.dk | privacy@kmd.dk</t>
  </si>
  <si>
    <t>https://www.kmd.dk/</t>
  </si>
  <si>
    <t>https://www.facebook.com/kmditdanmark/</t>
  </si>
  <si>
    <t>https://twitter.com/KMDIT</t>
  </si>
  <si>
    <t>https://www.instagram.com/kmdit/</t>
  </si>
  <si>
    <t>https://www.linkedin.com/company/kmd</t>
  </si>
  <si>
    <t>https://www.youtube.com/user/KMDit</t>
  </si>
  <si>
    <t>cms: umbraco | font scripts: bootstrap icons | web servers: ibm websphere application server | cookie compliance: cookie information | javascript libraries: lodash | web servers: .net framework | static site generator: next.js | ui frameworks: bootstrap | paas: azure | cms: sitecore | javascript libraries: webp | user onboarding: walkme | web servers: empathy platform | web frameworks: bootstrap | miscellaneous: webpack | ssl/tls certificate authorities: digicert | javascript frameworks: vue.js | javascript frameworks: angularjs | web servers: azure app service | widgets: css | cdn: jquery cdn | miscellaneous: x | web frameworks: microsoft asp.net | javascript frameworks: react | javascript frameworks: lo-dash | javascript frameworks: jquery mousewheel | font scripts: google font api | security: hsts | miscellaneous: http/3 | javascript libraries: modernizr | analytics: plausible | javascript frameworks: moment.js | miscellaneous: whatsapp | cms: site.com | font scripts: adobe fonts | analytics: siteimprove | font scripts: typekit | javascript libraries: select2 | javascript libraries: bootstrap table | miscellaneous: open graph | captchas: recaptcha | reverse proxies: nunjucks | ui frameworks: primevue | network devices: html | miscellaneous: jquery easing | font scripts: font awesome | web servers: schannel | javascript frameworks: modernizr | operating systems: windows server | seo tool: facebook friendly | network devices: html5 | miscellaneous: facebook | javascript libraries: basket.js | ecommerce: cart functionality | web servers: iis | web servers: next.js | tag managers: google tag manager | miscellaneous: linkedin | web frameworks: next.js | paas: vercel | javascript libraries: jquery | widgets: javascript | javascript frameworks: select2 | javascript frameworks: basket.js | javascript libraries: datatables | analytics: coldfusion | programming languages: cfml | javascript frameworks: next.js | cdn: cloudflare | javascript libraries: jquery migrate | web frameworks: html5 | javascript libraries: moment.js | advertising: google adsense | miscellaneous: instagram | javascript frameworks: jquery | analytics: google analytics</t>
  </si>
  <si>
    <t>2019-11-24T02:33:00.000Z</t>
  </si>
  <si>
    <t>KODA</t>
  </si>
  <si>
    <t>1d215651-93e5-11eb-8e19-198fb02d6f96</t>
  </si>
  <si>
    <t>Koda</t>
  </si>
  <si>
    <t>NCB | Nordic Copyright Bureau</t>
  </si>
  <si>
    <t>Lautrupsgade</t>
  </si>
  <si>
    <t>DK, Denmark, Capital Region of Denmark, Copenhagen, 2100, Lautrupsgade, 9, 55.710824, 12.589079</t>
  </si>
  <si>
    <t>Danish collecting society for songwriters, composers and music publishers</t>
  </si>
  <si>
    <t>Synchronization Rights | Music Licensing Services</t>
  </si>
  <si>
    <t>Icelandic and Norwegian productions gre@ncb.dk.</t>
  </si>
  <si>
    <t>Koda sørger for, at musikskabere og musikforlag modtager betaling for brugen af musik, og arbejder for et stærkere musikliv socialt, økonomisk og miljømæssigt.</t>
  </si>
  <si>
    <t>Audio Products | Album Tracks | Music Report | Recorded Music</t>
  </si>
  <si>
    <t>2731 | 8999 | 2741</t>
  </si>
  <si>
    <t>Books: Publishing, or Publishing and Printing (music books) | Services, NEC (music publishing) | Miscellaneous Publishing (sheet music publishing or publishing and printing)</t>
  </si>
  <si>
    <t>33 30 63 00</t>
  </si>
  <si>
    <t>+4522133314 | +4533368700</t>
  </si>
  <si>
    <t>ncb@ncb.dk</t>
  </si>
  <si>
    <t>http://www.koda.dk/</t>
  </si>
  <si>
    <t>https://www.facebook.com/koda.musik</t>
  </si>
  <si>
    <t>https://www.instagram.com/koda_dk/#</t>
  </si>
  <si>
    <t>https://www.linkedin.com/company/koda/</t>
  </si>
  <si>
    <t>web servers: ibm websphere application server | cookie compliance: cookie control | javascript libraries: parallax.js | widgets: twitter | javascript libraries: owl carousel | miscellaneous: rss | ui frameworks: bootstrap | maps: google maps | web servers: empathy platform | web frameworks: bootstrap | analytics: google universal analytics | seo: yoast seo | widgets: css | miscellaneous: twitter emoji (twemoji) | photo galleries: slider revolution | javascript libraries: waitforimages | ssl/tls certificate authorities: thawte | analytics: exactmetrics | font scripts: google font api | blogging platforms: wordpress | javascript libraries: modernizr | databases: mysql | issue trackers: really simple discovery | cms: site.com | wordpress plugins: exactmetrics | video players: mediaelement.js | javascript libraries: prettyphoto | web servers: zend | javascript libraries: select2 | miscellaneous: open graph | miscellaneous: revslider | seo tool: yoast seo | network devices: html | javascript libraries: mixitup | miscellaneous: jquery easing | font scripts: font awesome | javascript libraries: jquery ui | javascript frameworks: jquery migrate | web servers: schannel | javascript frameworks: modernizr | seo tool: facebook friendly | network devices: html5 | javascript frameworks: prettyphoto | cms: wordpress | blogs: wordpress | javascript frameworks: jquery ui | tag managers: google tag manager | javascript libraries: infinite scroll | cookie compliance: cookiebot | javascript libraries: jquery | widgets: owl carousel | widgets: slider revolution | widgets: javascript | javascript graphics: chart.js | javascript frameworks: select2 | font scripts: twitter emoji (twemoji) | seo tool: twitter friendly | javascript libraries: easy pie chart | wordpress plugins: yoast seo | programming languages: php | javascript libraries: jquery migrate | javascript frameworks: jquery | analytics: google analytics</t>
  </si>
  <si>
    <t>2019-11-24T11:36:39.000Z</t>
  </si>
  <si>
    <t>KOLEGRUPPEN OST ApS</t>
  </si>
  <si>
    <t>02f2ea1a-93e5-11eb-91fb-73d498260b10</t>
  </si>
  <si>
    <t>Cooling Group East Ltd.</t>
  </si>
  <si>
    <t>BÃ„KO DANMARK</t>
  </si>
  <si>
    <t>Ishøj</t>
  </si>
  <si>
    <t>Broenge</t>
  </si>
  <si>
    <t>DK, Denmark, Capital Region of Denmark, IshÃ¸j Municipality, 2635, Broenge, 11, 55.619779, 12.319983</t>
  </si>
  <si>
    <t>Machines and Supplies | Cleaning Service | Bakery Samplers | B System | Bakery Products | Online Retail | Financial Advices</t>
  </si>
  <si>
    <t>Vi bruger al vores tid pÃ¥ at betjene danske bagere og konditorer. LÃ¦s om de mange Ã¸konomiske og indkÃ¸bsmÃ¦ssige fordele du opnÃ¥r ved at samarbejde med andre bagere.</t>
  </si>
  <si>
    <t>Vi har et tÃ¦t samarbejde med Europas stÃ¸rste grossist indenfor bagerirÃ¥varer. Vores direkte samarbejdspartner er BÃ„KO Schleswig Holstein med hovedkontor og lager i Kropp, som ligger 50 kilometer fra den dansk/tyske grÃ¦nse. Vi er "ejet af bagere", og mÃ¥let for BÃ„KO DANMARK er derfor udelukkende at give danske bagere og konditorer de bedste varer til de billigste priser. Det betyder b.l.a., at vi ikke tÃ¦nker pÃ¥ "hvad kan vi fÃ¥ for en vare og dermed fÃ¥ maksimal indtjening". GÃ¸re det nemt, enkelt og effektivt og holde styr pÃ¥ omkostningerne â€“ sÃ¥ kan bagere og konditorer fÃ¥ de bedste varer til den billigste pris. Learn more about this provider iutk Recognises the user's device and what Issuu documents have been read. Topfil SolbÃ¦r 60 % er en lÃ¦kker frugtfyldning, som kan anvendes i et. Vi arbejder for danske bagere. Vi kan garantere at vi altid leverer de allerbedste rÃ¥varer.</t>
  </si>
  <si>
    <t>Statistics &amp; Data | Advertising Effectiveness | Media Advertising | Inspiration &amp; Trends</t>
  </si>
  <si>
    <t>Bakeries &amp; Desserts</t>
  </si>
  <si>
    <t>Retail Bakeries (bread, cake and related products baked and sold on premise)</t>
  </si>
  <si>
    <t>Retail - Bakeries | Baked Goods / Pasta Manufacturing | Wholesale - Food (Dry and Canned Goods - No Dietary / Health Supplements) | Retail - Grocery | Confectionery Manufacturing</t>
  </si>
  <si>
    <t>Manufacture of bakery products</t>
  </si>
  <si>
    <t>10.72 | 10.71</t>
  </si>
  <si>
    <t>Manufacture of rusks and biscuits; manufacture of preserved pastry goods and cakes | Manufacture of bread; manufacture of fresh pastry goods and cakes</t>
  </si>
  <si>
    <t>542101 | 205101 | 506001 | 541001 | 205201</t>
  </si>
  <si>
    <t>71 77 78 88</t>
  </si>
  <si>
    <t>+4530737313 | +4540160676 | +4540164181 | +4544226819 | +4592824479 | +4530734765 | +4539694010 | +4544226816 | +4520575707 | +4544226815 | +4544226818</t>
  </si>
  <si>
    <t>kontor@baekodanmark.dk</t>
  </si>
  <si>
    <t>http://koelegruppen.dk/</t>
  </si>
  <si>
    <t>ui frameworks: bootstrap | widgets: addthis | web servers: empathy platform | web frameworks: bootstrap | analytics: google universal analytics | javascript libraries: slick | widgets: css | miscellaneous: twitter emoji (twemoji) | javascript frameworks: jquery mousewheel | font scripts: google font api | security: hsts | blogging platforms: wordpress | miscellaneous: http/3 | databases: mysql | issue trackers: really simple discovery | cms: site.com | cdn: google hosted libraries | miscellaneous: open graph | seo: yoast seo premium | network devices: html | miscellaneous: jquery easing | javascript frameworks: jquery migrate | web servers: apache | seo tool: facebook friendly | javascript frameworks: slick | network devices: html5 | web servers: apache http server | cms: wordpress | blogs: wordpress | tag managers: google tag manager | marketing automation: sleeknote | javascript libraries: jquery | widgets: javascript | font scripts: twitter emoji (twemoji) | seo tool: twitter friendly | programming languages: php | javascript libraries: jquery migrate | javascript frameworks: jquery | analytics: google analytics</t>
  </si>
  <si>
    <t>2019-11-24T01:25:47.000Z</t>
  </si>
  <si>
    <t>KOMMANDITAKTIESELSKABET FREDERIKSSUND SHOPPINGCENTER</t>
  </si>
  <si>
    <t>0682f388-10f5-11ec-9a79-a50f34f12a32</t>
  </si>
  <si>
    <t>Kommanditaktieselskabet Frederikssund Shoppingcenter</t>
  </si>
  <si>
    <t>Frederikssund Anti-Rust ApS.</t>
  </si>
  <si>
    <t>Frederikssund ANTI-RUST</t>
  </si>
  <si>
    <t>Vestre Havnepromenade</t>
  </si>
  <si>
    <t>DK, Denmark, Capital Region of Denmark, Frederikssund, 3600, Holmensvej, 15, 55.847894, 12.073632900000002</t>
  </si>
  <si>
    <t>Frederikssund Anti-Rust, legally known as Frederikssund Anti-Rust ApS., based in Frederikssund, Capital Region of Denmark, specializes in vehicle rust protection and car care services. The company offers thorough and precise treatments to prevent rust damage, ensuring vehicles remain well-maintained and presentable. Frederikssund Anti-Rust is a member of the Anti-Rust Ring, guaranteeing high-quality work on clients' cars. Their services include rust protection with Dinitrol, vehicle detailing, and general car care.</t>
  </si>
  <si>
    <t>Automotive Leasing Services | Undercarriage Treatment | Jade Quartz Coating | Care and Preparation Services | Car Buying and Leasing Services | Sound Dampening Services | Rust Protection Services | Trailer Leasing | 532120 Truck Rental</t>
  </si>
  <si>
    <t>Undervognsbehandling NÃ¥r du fÃ¥r en undervognsbehandling hos Frederikssund ANTI-RUST sparer du penge ved at forebygge rustskader. BILPLEJE - KLARGÃ˜RING</t>
  </si>
  <si>
    <t>Vi sikrer at din kÃ¸reglÃ¦de bestÃ¥r og at din bil altid fremtrÃ¦der pÃ¦n og vedligeholdt. Rustbeskyttelse med Dinitrol. Vi anvender Dinitrol som sammen med korrekt behandling af bilen.</t>
  </si>
  <si>
    <t>Nicer User Experience</t>
  </si>
  <si>
    <t>Car Washes</t>
  </si>
  <si>
    <t>Auto Services</t>
  </si>
  <si>
    <t>Carwashes</t>
  </si>
  <si>
    <t>Auto Repair Garage (incl heavy trucks) | Auto Repair Garage (No heavy trucks) | Auto Body / Paint Shops | Auto Specialty Shops (Auto Detail / Glass / Lube) | Auto Dealer (Used)</t>
  </si>
  <si>
    <t>Maintenance and repair of motor vehicles</t>
  </si>
  <si>
    <t>551302 | 551301 | 553101 | 552302 | 551201</t>
  </si>
  <si>
    <t>88 96 10 10</t>
  </si>
  <si>
    <t>http://www.frederikssund-antirust.dk/</t>
  </si>
  <si>
    <t>network devices: html</t>
  </si>
  <si>
    <t>2021-09-08T03:16:51.000Z</t>
  </si>
  <si>
    <t>KORN FERRY (UK) LIMITED</t>
  </si>
  <si>
    <t>2a5d0b59-1b05-11ec-8de4-3bb83042adac</t>
  </si>
  <si>
    <t>Korn Ferry</t>
  </si>
  <si>
    <t>SW1Y 6QB</t>
  </si>
  <si>
    <t>Ryder Street</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</si>
  <si>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</si>
  <si>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</si>
  <si>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</si>
  <si>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</si>
  <si>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</si>
  <si>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020 7024 9000</t>
  </si>
  <si>
    <t>https://www.kornferry.com/about-us/global-offices/london</t>
  </si>
  <si>
    <t>https://www.facebook.com/KornFerry</t>
  </si>
  <si>
    <t>https://twitter.com/Korn_Ferry</t>
  </si>
  <si>
    <t>https://www.instagram.com/kornferry/</t>
  </si>
  <si>
    <t>https://www.linkedin.com/company/kornferry</t>
  </si>
  <si>
    <t>https://www.youtube.com/user/kornferryintl</t>
  </si>
  <si>
    <t>2022-04-19T06:49:12.000Z</t>
  </si>
  <si>
    <t>Kpmg AS Hovedkontor</t>
  </si>
  <si>
    <t>f06c2d62-93e4-11eb-919a-b3f9a5ad205c</t>
  </si>
  <si>
    <t>KPMG - Oslo</t>
  </si>
  <si>
    <t>KPMG Statsautorisert Revisionspartnerselskab</t>
  </si>
  <si>
    <t>Kpmg AS</t>
  </si>
  <si>
    <t>NO, Norway, Agder, VegÃ¥rshei, 4985, Hovlandsveien, 9, 58.7498556, 8.8644113</t>
  </si>
  <si>
    <t>Vårt KPMG kontor i Oslo</t>
  </si>
  <si>
    <t>Accounting Services | Accounting Firm</t>
  </si>
  <si>
    <t>Kpmg AS is an accounting &amp; bookkeeping services company based in VegÃ¥rshei, Norway.</t>
  </si>
  <si>
    <t>45 40 40 63</t>
  </si>
  <si>
    <t>https://home.kpmg.com/no/nb/home/om-kpmg/offices/oslo.html?utm_source=google&amp;utm_medium=gmb&amp;utm_campaign=oslo_website</t>
  </si>
  <si>
    <t>https://www.facebook.com/KPMGNorway/</t>
  </si>
  <si>
    <t>https://www.instagram.com/kpmgnorway/</t>
  </si>
  <si>
    <t>https://linkedin.com/in/rune-skjelvan-9869751</t>
  </si>
  <si>
    <t>2023-05-23T22:32:41.719Z</t>
  </si>
  <si>
    <t>KROLL ASSOCIATES U.K. LIMITED</t>
  </si>
  <si>
    <t>52c95451-18ff-11f0-b726-e3ae0b5c2c98</t>
  </si>
  <si>
    <t>Kroll</t>
  </si>
  <si>
    <t>Kroll OnTrack Inc. | Kroll LLC.</t>
  </si>
  <si>
    <t>Kroll Advisory Holding SpA | Kroll</t>
  </si>
  <si>
    <t>SE1 9SG</t>
  </si>
  <si>
    <t>London Bridge Street</t>
  </si>
  <si>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</si>
  <si>
    <t>As the leading independent provider of financial and risk advisory solutions, Kroll leverages our unique insights, data and technology to help clients stay ahead of complex demands. Click for more details.</t>
  </si>
  <si>
    <t>investigations; due diligence; risk consulting; compliance; forensic services</t>
  </si>
  <si>
    <t>London-headquartered Kroll entity specialising in investigations and risk advisory.</t>
  </si>
  <si>
    <t>Kroll Associates U.K. Limited is a UK entity within Kroll, a global provider of risk and financial advisory solutions. The firm conducts investigations, enhanced due diligence, compliance reviews and forensic services for corporations, financial institutions and law firms.</t>
  </si>
  <si>
    <t>corporate investigations; integrity due diligence; compliance reviews; forensic accounting; risk advisory</t>
  </si>
  <si>
    <t>Investigation Services</t>
  </si>
  <si>
    <t>Risk Advisory &amp; Investigations</t>
  </si>
  <si>
    <t>Corporate investigations and risk consulting</t>
  </si>
  <si>
    <t>Detective, Guard, and Armored Car Services</t>
  </si>
  <si>
    <t>Private security activities</t>
  </si>
  <si>
    <t>020 7089 4700</t>
  </si>
  <si>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</si>
  <si>
    <t>mediarelations@kroll.com</t>
  </si>
  <si>
    <t>https://www.kroll.com/en/</t>
  </si>
  <si>
    <t>https://www.facebook.com/wearekroll</t>
  </si>
  <si>
    <t>https://x.com/KrollWire</t>
  </si>
  <si>
    <t>https://www.instagram.com/wearekroll/#</t>
  </si>
  <si>
    <t>https://www.linkedin.com/company/kroll/</t>
  </si>
  <si>
    <t>https://www.youtube.com/watch?v=ZMDaP-QvRYM</t>
  </si>
  <si>
    <t>2025-03-11T08:29:53.000Z</t>
  </si>
  <si>
    <t>Kromann Reumert</t>
  </si>
  <si>
    <t>76c8a6a0-93e4-11eb-b89f-536884b3e7dd</t>
  </si>
  <si>
    <t>Kromann Reumert Law Firm</t>
  </si>
  <si>
    <t>Advokatfirmaet Kromann Reumert I/S</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</si>
  <si>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</si>
  <si>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RÃ¥dhuspladsen, 3, 56.153306, 10.203491</t>
  </si>
  <si>
    <t>building in Copenhagen Municipality, Denmark</t>
  </si>
  <si>
    <t>law firm; business law; M&amp;A; dispute resolution; regulatory; commercial law</t>
  </si>
  <si>
    <t>Copenhagen-based business law firm serving Danish and international clients.</t>
  </si>
  <si>
    <t>Danmarks førende advokatvirksomhed med kontorer i København, Aarhus og London | Kromann Reumert</t>
  </si>
  <si>
    <t>corporate law; mergers &amp; acquisitions; litigation; finance; regulatory; commercial contracts</t>
  </si>
  <si>
    <t>Business law and legal advisory services</t>
  </si>
  <si>
    <t>70 12 12 11</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</si>
  <si>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</si>
  <si>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</si>
  <si>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</si>
  <si>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http://www.kromannreumert.com/</t>
  </si>
  <si>
    <t>https://facebook.com/kromannreumert/</t>
  </si>
  <si>
    <t>https://www.instagram.com/kromannreumert</t>
  </si>
  <si>
    <t>https://linkedin.com/company/kromann-reumert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</si>
  <si>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</si>
  <si>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</si>
  <si>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</si>
  <si>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LOXYSOFT AS</t>
  </si>
  <si>
    <t>179b9c40-93e5-11eb-97db-273ba5953680</t>
  </si>
  <si>
    <t>LeadDesk (Loxysoft AS)</t>
  </si>
  <si>
    <t>Bording Cognito AS</t>
  </si>
  <si>
    <t>Olaf Helsets vei</t>
  </si>
  <si>
    <t>NO, Norway, Oslo, Oslo, 0694, Olaf Helsets vei, 6, 59.865204, 10.84169</t>
  </si>
  <si>
    <t>Intelligent Software-as-a-Service til salg og kundeservice i høyt volum, hvor agenter håndterer opptil 150 kunder om dagen.</t>
  </si>
  <si>
    <t>Website and E-commerce Development Services | Marketing Automation | Performance-based Marketing and Advertising Services | Digital Media Marketing Solutions | Social Media Management Services | Dialogue and CRM Services | Print Campaigns | Profiling Articles | Project Management Services | Customer Segmentation | SMS Messaging | Automation of Graphic Production | CRM System | Customer Acquisition and Nurturing | Strategic Design Services | Design Services | Technology and Marketing Agency | A/B Testing Results Analysis | Marketing Services | Customer Relationship Management | Campaign and Content Creation Services</t>
  </si>
  <si>
    <t>Vi lager innhold og kampanjer â€“ skaper strategier og design.</t>
  </si>
  <si>
    <t>Vi har systemene som holder kundedialogen gÃ¥ende automatisk, i alle kanaler. Gjennom Ã¥ hele tiden teste, analysere og forbedre annonser skaper vi markedsfÃ¸ring i digitale medier som virkelig funker. Vi hjelper deg kommunisere pÃ¥ en mÃ¥te som bryter gjennom stÃ¸yet og fester seg i hjernebarken. Vi sÃ¸rger for at den fungerer sÃ¸mlÃ¸st, ser flott ut og skaffer deg salg. MarkedsfÃ¸ringens verden er full av ulike roller, og ofte forventes det at du som markedsfÃ¸rer skal bekle alle.</t>
  </si>
  <si>
    <t>Performance Marketing | Large Businesses And Small | Digitales Marketing | Design &amp; Dev | Marketing Automation</t>
  </si>
  <si>
    <t>32 99 36 57</t>
  </si>
  <si>
    <t>+4722627000 | +4799106100 | +4799107100 | +4722627005 | +4792416898 | +4797654505 | +4791552328 | +4790613984 | +4748204375 | +4746705121 | +4796503100 | +4741905252 | +4799297747 | +4795127691 | +4745485403</t>
  </si>
  <si>
    <t>hei@cognito.no</t>
  </si>
  <si>
    <t>post@cognito.no</t>
  </si>
  <si>
    <t>bodil@cognito.no | eivind@cognito.no | rolf@cognito.no | marie@cognito.no | dag.rune@cognito.no | jorgen@cognito.no | hei@cognito.no | thea@cognito.no | haakon.ringhus@cognito.no | wenche@cognito.no | petter@cognito.no | pbh@cognito.no | emma@cognito.no | anders@cognito.no</t>
  </si>
  <si>
    <t>https://leaddesk.com/no/</t>
  </si>
  <si>
    <t>https://www.facebook.com/leaddesk/</t>
  </si>
  <si>
    <t>https://twitter.com/leaddesk</t>
  </si>
  <si>
    <t>https://www.instagram.com/leaddesk/</t>
  </si>
  <si>
    <t>https://www.linkedin.com/company/leaddesk</t>
  </si>
  <si>
    <t>https://www.youtube.com/channel/UCjB4SgGKs2xz80H4cQH95qw</t>
  </si>
  <si>
    <t>web servers: ibm websphere application server | cookie compliance: cookie information | javascript libraries: parallax.js | javascript libraries: core-js | caching: wp rocket | analytics: hotjar | miscellaneous: rss | ui frameworks: bootstrap | advertising: linkedin ads | javascript libraries: webp | widgets: fitvids.js | wordpress plugins: gravity forms | web servers: empathy platform | performance: priority hints | javascript libraries: swiper | security: recaptcha | seo: yoast seo | javascript libraries: packery | widgets: css | font scripts: google font api | reverse proxies: nginx | ui frameworks: packery | form builders: gravity forms | javascript libraries: modernizr | databases: mysql | issue trackers: really simple discovery | cms: site.com | wordpress plugins: draftpress hfcm | miscellaneous: open graph | seo: yoast seo premium | network devices: html | web servers: schannel | javascript libraries: lightbox | network devices: html5 | video players: vimeo | miscellaneous: facebook | analytics: linkedin insight tag | javascript libraries: imagesloaded | javascript frameworks: gsap | cms: wordpress | blogs: wordpress | tag managers: google tag manager | miscellaneous: linkedin | video players: fitvids.js | javascript libraries: infinite scroll | javascript libraries: jquery | widgets: javascript | analytics: facebook pixel | web servers: nginx | wordpress plugins: wp rocket | wordpress plugins: yoast seo | programming languages: php | javascript libraries: jquery migrate | customer data platform: datatrics | hosting panels: plesk | miscellaneous: instagram | analytics: google analytics</t>
  </si>
  <si>
    <t>2020-05-15T08:34:39.000Z</t>
  </si>
  <si>
    <t>LEASE PLAN FINANS A/S</t>
  </si>
  <si>
    <t>015d4838-69f4-11ec-90e1-2d5acd928949</t>
  </si>
  <si>
    <t>Ayvens Danmark A/S</t>
  </si>
  <si>
    <t>FeetuniqueFollow | Feet Unique</t>
  </si>
  <si>
    <t>Midtager</t>
  </si>
  <si>
    <t>DK, Denmark, Capital Region of Denmark, BrÃ¸ndby, 2605, Midtager, 26A, 55.644913, 12.388434</t>
  </si>
  <si>
    <t>Vi er Ayvens, en global leder inden for bæredygtig mobilitet. I en verden der har brug for mere intuitive og mere bæredygtige måder at flytte på, er vi forpligtet til at få livet til at flyde bedre for alle vores kunder, fra store virksomheder til private.</t>
  </si>
  <si>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</si>
  <si>
    <t>Trusted shoelace-seller with 50.000+ customers 100% shoelace-store with 200+ types of shoelaces Available in any color In any length: 70-300 cm Long lasting shoelaces that doesn't fray/break or become untied For regular shoes, sneakers, boots or dress shoes Flat, round and oval shapes</t>
  </si>
  <si>
    <t>KÃ¶p skosnÃ¶ren online pÃ¥ Feet Unique - SnÃ¶ren fÃ¶r alla smaker och varje tillfÃ¤lle. Vi ger dig tillgÃ¥ng till ett enormt utbud av stilar och fÃ¤rger som vanliga svarta, grÃ¥a eller bruna till skrikrosa, gula eller neonorange och allt dÃ¤remellan. Eller sÃ¥ Ã¤r du kanske bara fÃ¤rdig med att fÃ¶rsumma dina skor och vill ge dem den kÃ¤rlek och uppmÃ¤rksamhet de fÃ¶rtjÃ¤nar. FÃ¶r stÃ¶vlar, finskor, gymnastikskor, lÃ¶parskor - vi har fÃ¶r dem allaâ€¦.</t>
  </si>
  <si>
    <t>Dress Shoes | Round Elastic | Flat Leather | Gold And Silver | Shoes &amp; Sneakers | Oval Shape | Running Shoes | Footwear Accessories | Black / Gray | Perfect Pairs</t>
  </si>
  <si>
    <t>Shoes &amp; Other Footwear Stores</t>
  </si>
  <si>
    <t>Footwear</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</si>
  <si>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</si>
  <si>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</si>
  <si>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Auto Body / Paint Shops | Auto Specialty Shops (Auto Detail / Glass / Lube) | Retail - Auto Parts / accessories (incl installation of accessories) | Auto Repair Garage (incl heavy trucks) | Auto Repair Garage (No heavy trucks)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</si>
  <si>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</si>
  <si>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</si>
  <si>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</si>
  <si>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</si>
  <si>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553101 | 552302 | 525501 | 551302 | 551301</t>
  </si>
  <si>
    <t>33 55 80 00</t>
  </si>
  <si>
    <t>support@feetunique.net</t>
  </si>
  <si>
    <t>https://www.ayvens.com/da-dk/</t>
  </si>
  <si>
    <t>https://www.facebook.com</t>
  </si>
  <si>
    <t>https://www.linkedin.com/company/ayvens/</t>
  </si>
  <si>
    <t>https://www.youtube.com/@Ayvens</t>
  </si>
  <si>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</si>
  <si>
    <t>2020-04-22T10:56:30.000Z</t>
  </si>
  <si>
    <t>LeasePlan Sverige AB</t>
  </si>
  <si>
    <t>fb1700e9-1b5d-11ec-9e2d-97948a03f19d</t>
  </si>
  <si>
    <t>Leaseplan</t>
  </si>
  <si>
    <t>SE, Sweden, Stockholm County, Solna, 169 67, , , 59.36343978181819, 18.017785890909092</t>
  </si>
  <si>
    <t>Vi är Ayvens! Leasa en bil, elbil eller förvalta en hel bilpark. För ditt företag eller för din familj. Din billeasingpartner. Leasa bil hos Ayvens idag!</t>
  </si>
  <si>
    <t>Fleet Management | Insurance Services | Operational Car Leasing</t>
  </si>
  <si>
    <t>Leaseplan provides operational car leasing, fleet management and insurance services.</t>
  </si>
  <si>
    <t>Insurance Services | Car Lease | Fleet Management</t>
  </si>
  <si>
    <t>Passenger Car Leasing</t>
  </si>
  <si>
    <t>Credit Intermediation</t>
  </si>
  <si>
    <t>Fleet Management</t>
  </si>
  <si>
    <t>Miscellaneous Business Services</t>
  </si>
  <si>
    <t>Business Services</t>
  </si>
  <si>
    <t>Renting and leasing of motor vehicles</t>
  </si>
  <si>
    <t>Renting/leasing cars</t>
  </si>
  <si>
    <t>08-501 122 00</t>
  </si>
  <si>
    <t>https://www.ayvens.se/</t>
  </si>
  <si>
    <t>https://x.com/ayvens_group?s=20</t>
  </si>
  <si>
    <t>https://instagram.com/ayvens_global</t>
  </si>
  <si>
    <t>2022-02-20T11:40:03.000Z</t>
  </si>
  <si>
    <t>LEOCH BATTERY PTE. LTD.</t>
  </si>
  <si>
    <t>9b2222a0-9c13-11ec-a427-3716f54dd1e5</t>
  </si>
  <si>
    <t>Leoch Battery Pte Ltd</t>
  </si>
  <si>
    <t>Leoch Battery Pte Ltd.</t>
  </si>
  <si>
    <t>LEOCH Battery | Leoch Battery Singapore</t>
  </si>
  <si>
    <t>Beach Road</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</si>
  <si>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Há»“ ChÃ­ Minh City, Há»“ ChÃ­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</si>
  <si>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</si>
  <si>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</si>
  <si>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</si>
  <si>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</si>
  <si>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</si>
  <si>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6863 6078</t>
  </si>
  <si>
    <t>+60162632050 | +6568636078 | +60123935972 | +918028367720 | +6621204587 | +61297560950 | +84888310999</t>
  </si>
  <si>
    <t>marketing.apac@leoch.com</t>
  </si>
  <si>
    <t>https://www.leoch.com.sg/</t>
  </si>
  <si>
    <t>https://www.facebook.com/leochbatterysg/</t>
  </si>
  <si>
    <t>https://www.instagram.com/leochbatterysg/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</si>
  <si>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</si>
  <si>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</si>
  <si>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</si>
  <si>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LINKEDIN IRELAND UNLIMITED COMPANY</t>
  </si>
  <si>
    <t>87a7dad6-cd82-11ec-b775-d339108ca9d0</t>
  </si>
  <si>
    <t>LinkedIn Ireland</t>
  </si>
  <si>
    <t>LinkedIn Ireland Unlimited Company</t>
  </si>
  <si>
    <t>Wilton Place</t>
  </si>
  <si>
    <t>CZ, Czechia, Southeast, Brno, 617 00, HnÄ›vkovskÃ©ho, 712/62d, 49.1691448, 16.6229136 | CZ, Czechia, Prague, Prague, 190 00, PodÄ›bradskÃ¡, 52, 50.1029135, 14.519161231649065 | CZ, Czechia, Northeast, NÃ¡chod, 547 01, KladskÃ¡, 160, 50.4182413, 16.173805 | CZ, Czechia, Northeast, okres NÃ¡chod, 547 01, 30413, , 50.41863262961842, 16.141603184568176</t>
  </si>
  <si>
    <t>Irish company</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</si>
  <si>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</si>
  <si>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potÅ™ebujete pomoc s reklamacÃ­, servisem, nebo chcete vyuÅ¾Ã­t moÅ¾nosti vrÃ¡cenÃ­ produktu, mÅ¯Å¾ete tak uÄinit on-line z pohodlÃ­ vaÅ¡eho domova na odkazu nÃ­Å¾e.</t>
  </si>
  <si>
    <t>1 billion members | Manage your professional identity. Build and engage with your professional network. Access knowledge, insights and opportunities.</t>
  </si>
  <si>
    <t>Appliance Stores</t>
  </si>
  <si>
    <t>+420220770770 | +420774810810</t>
  </si>
  <si>
    <t>info@roboticky-vysavac.cz</t>
  </si>
  <si>
    <t>http://www.linkedin.com/</t>
  </si>
  <si>
    <t>cs</t>
  </si>
  <si>
    <t>https://www.facebook.com/RobotickyVysavac.cz/</t>
  </si>
  <si>
    <t>https://www.linkedin.com/top-content?trk=guest_homepage-basic_guest_nav_menu_topContent</t>
  </si>
  <si>
    <t>https://www.youtube.com/user/RobotickyVysavac</t>
  </si>
  <si>
    <t>2022-05-06T21:21:44.000Z</t>
  </si>
  <si>
    <t>LINKEDIN SINGAPORE PTE. LTD.</t>
  </si>
  <si>
    <t>bd538962-a9a1-11ec-819d-93d1c51cb0f0</t>
  </si>
  <si>
    <t>LinkedIn APAC HQ</t>
  </si>
  <si>
    <t>Linkedin Local Singapore</t>
  </si>
  <si>
    <t>Marina Boulevard</t>
  </si>
  <si>
    <t>The #linkedinlocal movement is a global community of professionals that aims to create genuine connections through the use of LinkedIn profiles. It provides a platform for individuals to connect with others beyond their job titles, business cards, and company names. The movement offers #linkedinellocal events where participants can make new connections, reconnect with old friends, and engage in authentic conversations in a friendly environment. For more information on #LinkedinLocalSingapore, please visit their website.</t>
  </si>
  <si>
    <t>Professional Networking Community | Genuine Connections | Online Networking Platform</t>
  </si>
  <si>
    <t>The #linkedinlocal movement is taking the world by storm !</t>
  </si>
  <si>
    <t>The #linkedinlocal movement is taking the world by storm. It is a thriving global community of professionals making genuine connections. Join us and meet the people behind the LinkedIn profiles and connect with them beyond job titles, business cards and company names. Take your 'online' connections 'offline' and make a real connection at our #linkedinlocal events. Come and make new connections, reconnect with those you've not seen for a while and enjoy authentic conversations in a friendly environment. Find out the stories behind the LinkedIn profiles. See #LinkedinLocalSingapore for more</t>
  </si>
  <si>
    <t>Hospitality | Leisure &amp; Tourism</t>
  </si>
  <si>
    <t>0819-1837-7795</t>
  </si>
  <si>
    <t>https://www.localx.org/</t>
  </si>
  <si>
    <t>https://twitter.com/linkedinlocal</t>
  </si>
  <si>
    <t>http://www.linkedin.com/company/linkedin-local-singapore</t>
  </si>
  <si>
    <t>2022-03-21T23:18:48.000Z</t>
  </si>
  <si>
    <t>L.M. Ericsson Bangladesh Ltd.</t>
  </si>
  <si>
    <t>e117d5a5-1943-11f0-90cb-71d5a42a1c29</t>
  </si>
  <si>
    <t>LM Ericsson</t>
  </si>
  <si>
    <t>Ericsson is a leading provider of Information and Communication Technology (ICT) to service providers, handling approximately 40% of the world's mobile traffic through its networks. The company focuses on creating technology and services that are easy to use, adopt, and scale, aiming to enhance connectivity and success for its customers in a fully connected world. With over 140 years of experience, Ericsson has been instrumental in transforming lives, industries, and society through its innovative ideas, technology, and dedicated workforce.</t>
  </si>
  <si>
    <t>Telecommunications Services | Mobile Traffic | Information and Communication Technology | Domain Registration Services | Easy-to-use, Adopt, and Scale Technology | Information Technology Solutions Provider | Game-changing Technology Services</t>
  </si>
  <si>
    <t>Ericsson is one of the leading providers of Information and Communication Technology (ICT) to service providers, with about 40% of the world's mobile traffic carried through our networks.</t>
  </si>
  <si>
    <t>Ericsson is one of the leading providers of Information and Communication Technology (ICT) to service providers, with about 40% of the world's mobile traffic carried through our networks. We enable the full value of connectivity by creating game-changing technology and services that are easy to use, adopt and scale, making our customers successful in a fully connected world. For more than 140 years, our ideas, technology and people have changed the world: real turning points that have transformed lives, industries and society as a whole.</t>
  </si>
  <si>
    <t>WHOIS Search</t>
  </si>
  <si>
    <t>09606-701000</t>
  </si>
  <si>
    <t>ngtld-abuse@cscinfo.com</t>
  </si>
  <si>
    <t>2025-02-22T01:12:22.000Z</t>
  </si>
  <si>
    <t>SCANOPTIK A/S</t>
  </si>
  <si>
    <t>95bcceb3-69c7-11ec-90c3-11b44ca175bd</t>
  </si>
  <si>
    <t>Scan Global Logistics A/S</t>
  </si>
  <si>
    <t>Viewpoint</t>
  </si>
  <si>
    <t>Strømmen</t>
  </si>
  <si>
    <t>DK, Denmark, North Denmark Region, Aalborg, 9210, Indkildevej, 2A, 57.005985, 9.923362 | DK, Denmark, Capital Region of Denmark, Copenhagen, 1357, , , 55.6867243, 12.5700724</t>
  </si>
  <si>
    <t>Logistics challenges? Consider them solved.  We live to make logistics simpler and your day easier. Benefit from our local Danish team in Aalborg,...</t>
  </si>
  <si>
    <t>E-Learning Modules | Learning Platform for Optometrists | Online Learning Platform | Learning and Development Opportunities | Practical Handbooks | Articles and Medical Library | Online Learning Platform for Eye Care | On-demand Lectures and Presentations | Clinical Articles and Learning Modules Access | Practical Knowledge Resources | Interviews with Eye Care Experts | Educational Resources for Eye Care Professionals | Clinical Conversations | Real-life Case Studies</t>
  </si>
  <si>
    <t>Viewpoint offers free access to optometry e-learning: handbooks, interviews, masterclasses, clinical talks â€“ created with eye care experts.</t>
  </si>
  <si>
    <t>We believe that knowledge sharing and continuous education are the keys to elevating the optometry profession in Northern Europe and beyond. The conference brings together diverse and inspiring topics from leading industry experts, all presented to eye care professionals from Specsavers and other companies. Our focus is always on practical learning and developing our clinical skills in delivering refractive and eye healthcare. We also dive into the future of eye care, exploring new ways to position optometrists as healthcare providers. Since our first conference in Norway in 2009, we have grown exponentially. Now, almost fifteen years later, Clinical Conference is the largest eye care professionals conference in Northern Europe. Viewpoint is a learning platform where you and your fellow optometrists can learn and develop your skills. You get access to various events and an ever-growing library with practical knowledge: guides, interviews, e-learning modules, videos, articles and much more.</t>
  </si>
  <si>
    <t>Medical Articles | Eyes Care | Health Care &amp; Hospital | Hospital Care</t>
  </si>
  <si>
    <t>Optometrists</t>
  </si>
  <si>
    <t>Therapy &amp; Alternative Medicine</t>
  </si>
  <si>
    <t>Offices and Clinics of Optometrists</t>
  </si>
  <si>
    <t>32 48 00 00</t>
  </si>
  <si>
    <t>contact@viewpoint.online</t>
  </si>
  <si>
    <t>aalborg@scangl.com</t>
  </si>
  <si>
    <t>https://www.scangl.com/contact/denmark/aalborg/</t>
  </si>
  <si>
    <t>https://www.facebook.com/viewpointonlinecommunity/</t>
  </si>
  <si>
    <t>https://www.linkedin.com/company/scan-global-logistics/</t>
  </si>
  <si>
    <t>hosting: kinsta | paas: kinsta | miscellaneous: http/3 | databases: mysql | cms: wordpress | blogs: wordpress | cdn: cloudflare | programming languages: php</t>
  </si>
  <si>
    <t>2021-12-30T16:06:37.000Z</t>
  </si>
  <si>
    <t>LOYALTY AS</t>
  </si>
  <si>
    <t>3700913b-93e5-11eb-a746-fdabd18be9c6</t>
  </si>
  <si>
    <t>Loyalty AS</t>
  </si>
  <si>
    <t>Loyalty Nordic AB.</t>
  </si>
  <si>
    <t>Loyalty AS | Loyalty | Loyaltys | Loyalty Nordic</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</si>
  <si>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</si>
  <si>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tilbyr profesjonell outsourcing og co-sourcing av tjenester innen _x000D_
kundeservice, møtebooking og salg. Vårt mål er å støtte bedrifter i deres _x000D_
vekst og å bygge sterke kunderelasjoner. Besøk vår nettside på _x000D_
www.loyalty.no for å utforske våre løsninger tilpasset det nordiske _x000D_
markedet.</t>
  </si>
  <si>
    <t>customer loyalty; CRM; marketing; customer insight; retention</t>
  </si>
  <si>
    <t>Oslo-based marketing and loyalty services company.</t>
  </si>
  <si>
    <t>Loyalty AS is a Norwegian company that specialises in customer loyalty and CRM services, helping clients design and operate loyalty programmes, customer clubs and data-driven marketing initiatives to increase customer retention and value.</t>
  </si>
  <si>
    <t>loyalty programmes; customer clubs; CRM consulting; campaign management; customer analytics</t>
  </si>
  <si>
    <t>Marketing &amp; CRM Services</t>
  </si>
  <si>
    <t>Customer loyalty and marketing consulting</t>
  </si>
  <si>
    <t>21 63 18 88</t>
  </si>
  <si>
    <t>+4793686747 | +4741846306 | +4792631294 | +4791675900 | +4797882376 | +4746673105 | +4721631888 | +4792669164 | +46733143683 | +4791683782 | +4798623538 | +4793489777</t>
  </si>
  <si>
    <t>post@loyalty.no</t>
  </si>
  <si>
    <t>miriam.westlie@loyalty.no</t>
  </si>
  <si>
    <t>oystein.borhaug@loyalty.no | rune.larsen@loyalty.no | jorn.rossing@loyalty.no | nora.homme@loyalty.no | christian.habbestad@loyalty.no | staphani.jeyathasan@loyalty.no | elise.samuelsen@loyalty.no</t>
  </si>
  <si>
    <t>http://loyalty.no/</t>
  </si>
  <si>
    <t>https://www.facebook.com/loyalty.no</t>
  </si>
  <si>
    <t>http://instagram.com/loyalty.as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</si>
  <si>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</si>
  <si>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</si>
  <si>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</si>
  <si>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MAKIO ApS</t>
  </si>
  <si>
    <t>b43ac8b9-93e4-11eb-a746-fdabd18be9c6</t>
  </si>
  <si>
    <t>Makio</t>
  </si>
  <si>
    <t>Makio ApS.</t>
  </si>
  <si>
    <t>MAKIO</t>
  </si>
  <si>
    <t>Hauser Plads</t>
  </si>
  <si>
    <t>DK, Denmark, Capital Region of Denmark, Copenhagen Municipality, 1127, Hauser Plads, 32 4, 55.6824394, 12.5755049</t>
  </si>
  <si>
    <t>Danish digital agency delivering e-commerce solutions, web development and digital marketing services.</t>
  </si>
  <si>
    <t>digital agency; e-commerce; web development; digital marketing; UX/UI</t>
  </si>
  <si>
    <t>Aalborg-based digital agency focused on web and e-commerce solutions.</t>
  </si>
  <si>
    <t>MAKIO ApS is a Danish digital agency that designs and develops e-commerce platforms, websites and digital experiences, and supports clients with digital strategy, online marketing and optimisation.</t>
  </si>
  <si>
    <t>web design; e-commerce solutions; online marketing; UX; digital strategy</t>
  </si>
  <si>
    <t>Digital Agencies &amp; E-commerce</t>
  </si>
  <si>
    <t>Web, e-commerce and digital marketing services</t>
  </si>
  <si>
    <t>88 74 49 12</t>
  </si>
  <si>
    <t>hej@makio.dk</t>
  </si>
  <si>
    <t>http://makio.dk/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</si>
  <si>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</si>
  <si>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</si>
  <si>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2020-05-03T14:04:13.000Z</t>
  </si>
  <si>
    <t>Manpower Student AB</t>
  </si>
  <si>
    <t>194b4815-93e5-11eb-a736-0f5b20ecb2f1</t>
  </si>
  <si>
    <t>Manpower Solna</t>
  </si>
  <si>
    <t>Manpower | Manpower Sweden | Manpower Mora | Manpower MalmÃ¶</t>
  </si>
  <si>
    <t>Evenemangsgatan</t>
  </si>
  <si>
    <t>SE, Sweden, Stockholm County, Solna, 169 79, , , 59.37038345, 18.003589116666667 | SE, Sweden, Ã–stergÃ¶tland County, NorrkÃ¶ping, 602 32, Kristinagatan, 34, 58.589168548583984, 16.192245483398438 | SE, Sweden, Kronoberg County, Ã„lmhult, 343 36, KÃ¶pmangatan, 1, 56.55280303955078, 14.134681701660156 | SE, Sweden, Kalmar County, Kalmar, 392 33, Esplanaden, 26, 56.665489196777344, 16.35599708557129 | SE, Sweden, VÃ¤stra GÃ¶taland County, TrollhÃ¤ttan, 461 32, Drottninggatan, 37, 58.287227630615234, 12.296551704406738 | SE, Sweden, Halland County, Halmstad, 302 45, Bredgatan, 1, 56.669983599999995, 12.860586099999999 | SE, Sweden, Kronoberg County, VÃ¤xjÃ¶, 352 30, Klostergatan, 6, 56.877931, 14.807169 | SE, Sweden, JÃ¶nkÃ¶ping County, Gislaved, 332 30, SÃ¶dra Storgatan, 20, 57.3003468, 13.534730099999999 | SE, Sweden, JÃ¶nkÃ¶ping County, JÃ¶nkÃ¶ping, 551 86, Kyrkogatan, 3, 57.7798228, 14.163188400000001 | SE, Sweden, SÃ¶dermanland County, NykÃ¶ping, 611 32, VÃ¤stra Storgatan, 23, 58.7523867, 17.0057214</t>
  </si>
  <si>
    <t>Anlita Manpower när du behöver hjälp med bemanning och rekrytering i Stockholm. Och du som är arbetssökande kan hitta ditt nästa jobb via oss!</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</si>
  <si>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</si>
  <si>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â€“ oavsett om du vill arbeta som uthyrd eller vill bli rekryterad till ett annat fÃ¶retag.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</si>
  <si>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ArbetsfÃ¶rmedlingen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</si>
  <si>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</si>
  <si>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Help Supply Services (temporary help services)</t>
  </si>
  <si>
    <t>Employment Agencies | Management Consultants | Human Resource Consultants | Organizational Consultants | Operations Consultants</t>
  </si>
  <si>
    <t>Temporary employment agency activities</t>
  </si>
  <si>
    <t>740501 | 641401 | 641404 | 641402 | 641403</t>
  </si>
  <si>
    <t>077-155 99 10</t>
  </si>
  <si>
    <t>+4620244000 | +46771559910 | +46771559920</t>
  </si>
  <si>
    <t>https://www.manpower.se/sv/om-oss/vara-kontor/stockholm</t>
  </si>
  <si>
    <t>https://www.facebook.com/manpowersverige/</t>
  </si>
  <si>
    <t>https://www.instagram.com/manpower_sweden/</t>
  </si>
  <si>
    <t>https://www.linkedin.com/in/helena-s%C3%B6rdin/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</si>
  <si>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</si>
  <si>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2019-11-24T03:16:41.000Z</t>
  </si>
  <si>
    <t>MANPOWER AS</t>
  </si>
  <si>
    <t>753387b2-93e4-11eb-aa66-9b8d95e2171b</t>
  </si>
  <si>
    <t>Manpower Norge</t>
  </si>
  <si>
    <t>Manpower | Manpower Norway | ManpowerGroup</t>
  </si>
  <si>
    <t>NO, Norway, Oslo, Oslo, 0187, Lakkegata, 53, 59.91684, 10.762724 | NO, Norway, TrÃ¸ndelag, Grong, , , , 64.5002139, 12.1421667 | NO, Norway, Vestfold og Telemark, Sandefjord, 3210, Kongens gate, 2A, 59.132144927978516, 10.226554870605469 | NO, Norway, Vestfold og Telemark, Porsgrunn, 3921, , , 59.13768768310547, 9.645928382873535 | NO, Norway, Viken, Ski, 1400, Ã…sveien, 3, 59.71450424194336, 10.836891174316406 | NO, Norway, Vestfold og Telemark, TÃ¸nsberg, 3111, Tollbodgaten, 22, 59.271331787109375, 10.409480094909668 | NO, Norway, Rogaland, Sandnes, 4313, Vestre Svanholmen, 12, 58.889251708984375, 5.698039531707764 | NO, Norway, Viken, Drammen, 3044, StrÃ¸msÃ¸ torg, 4, 59.739280700683594, 10.202421188354492 | NO, Norway, Viken, BÃ¦rum, 1366, Lysaker torg, 5, 59.912532806396484, 10.6371431350708 | NO, Norway, Viken, Kongsberg, 3611, Dyrmyrgata, 35, 59.67482376098633, 9.640478134155273</t>
  </si>
  <si>
    <t>Manpower hjelper bedrifter i Oslo med bemanning og rekruttering. Som jobbsøker kan du finne din neste utfordring gjennom oss!</t>
  </si>
  <si>
    <t>staffing; recruitment; temporary work; HR solutions; workforce management</t>
  </si>
  <si>
    <t>Norwegian subsidiary of ManpowerGroup offering staffing and recruitment services.</t>
  </si>
  <si>
    <t>Manpower AS is the Norwegian subsidiary of ManpowerGroup, offering temporary staffing, permanent recruitment and HR solutions to businesses in a wide range of industries across Norway.</t>
  </si>
  <si>
    <t>temporary staffing; recruitment; HR services; outsourcing; workforce solutions</t>
  </si>
  <si>
    <t>561311</t>
  </si>
  <si>
    <t>Temporary staffing and recruitment</t>
  </si>
  <si>
    <t>Help Supply Services</t>
  </si>
  <si>
    <t>22 01 80 00</t>
  </si>
  <si>
    <t>https://www.manpower.no/nb/om-oss/vare-kontorer/manpower-oslo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</si>
  <si>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</si>
  <si>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</si>
  <si>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</si>
  <si>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</si>
  <si>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</si>
  <si>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2019-11-24T01:03:39.000Z</t>
  </si>
  <si>
    <t>Mapspeople A/S</t>
  </si>
  <si>
    <t>9e655640-93e4-11eb-a736-0f5b20ecb2f1</t>
  </si>
  <si>
    <t>MapsPeople</t>
  </si>
  <si>
    <t>MapsPeople A/S</t>
  </si>
  <si>
    <t>DK, Denmark, North Denmark Region, NÃ¸rresundby, 9400, Stigsborgvej, 60, 57.058147, 9.950403 | DE, Germany, Bavaria, Munich, 80333, TÃ¼rkenstraÃŸe, 7, 48.1449394, 11.572224 | US, United States, Texas, Austin, 78758, , , 30.381035867386093, -97.70743911266187</t>
  </si>
  <si>
    <t>Give your smart building product the best indoor map experience on the market. We build the maps, you grow the business.</t>
  </si>
  <si>
    <t>indoor mapping; wayfinding; SaaS; digital maps; smart buildings</t>
  </si>
  <si>
    <t>Aalborg-based provider of indoor mapping and wayfinding software.</t>
  </si>
  <si>
    <t>MapsPeople A/S is a Danish software company that develops and delivers MapsIndoors, a cloud-based indoor mapping platform integrated with Google Maps. It helps organisations such as offices, universities, hospitals and sports venues provide digital wayfinding, space overview and smart building services.</t>
  </si>
  <si>
    <t>indoor navigation; digital floor plans; wayfinding; smart offices; venue mapping</t>
  </si>
  <si>
    <t>Location &amp; Mapping Software</t>
  </si>
  <si>
    <t>Indoor mapping and wayfinding software</t>
  </si>
  <si>
    <t>Technology Customer Support Services (For others) | Management Consultants | Software Implementation Integration | Software Developers (Pre-Packaged) | Software Developers (Custom)</t>
  </si>
  <si>
    <t>740809 | 641401 | 740810 | 891801 | 891802</t>
  </si>
  <si>
    <t>70 13 02 12</t>
  </si>
  <si>
    <t>+4553577100 | +4570130212</t>
  </si>
  <si>
    <t>pc@mapspeople.com</t>
  </si>
  <si>
    <t>hello@mapspeople.com | hr@mapspeople.com | gdpr@mapspeople.com | marketing@mapspeople.com | finance@mapspeople.com</t>
  </si>
  <si>
    <t>http://www.mapspeople.com/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</si>
  <si>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</si>
  <si>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</si>
  <si>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</si>
  <si>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</si>
  <si>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</si>
  <si>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MARKEDSSJEFENE AS</t>
  </si>
  <si>
    <t>49eaca92-93e5-11eb-a33a-a3dfba582839</t>
  </si>
  <si>
    <t>Markedssjefene i Oslo</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</si>
  <si>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</si>
  <si>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</si>
  <si>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Vi tar ansvar for markedsfÃ¸ringen din som om den var vÃ¥r egen. Med 13 Ã¥rs erfaring og tett samarbeid fÃ¥r du en kraftfull modell som skaper vekst.</t>
  </si>
  <si>
    <t>marketing; outsourced marketing manager; digital marketing; strategy; content</t>
  </si>
  <si>
    <t>Oslo-based marketing agency offering flexible marketing manager services.</t>
  </si>
  <si>
    <t>Markedssjefene AS is a Norwegian marketing agency that offers outsourced marketing manager services to small and medium-sized businesses. The company provides strategy, content, digital marketing and campaign execution on a flexible basis.</t>
  </si>
  <si>
    <t>outsourced marketing; marketing strategy; content marketing; digital campaigns; B2B marketing</t>
  </si>
  <si>
    <t>Marketing &amp; Advertising Services</t>
  </si>
  <si>
    <t>Marketing consulting and campaign execution</t>
  </si>
  <si>
    <t>Marketing Consultants | Management Consultants | Operations Consultants | Information Technology Consultants | Advertising Agencies</t>
  </si>
  <si>
    <t>641405 | 641401 | 641403 | 641411 | 731201</t>
  </si>
  <si>
    <t>24 02 22 21</t>
  </si>
  <si>
    <t>+4724022221 | +4755902090</t>
  </si>
  <si>
    <t>kontakt@markedssjefene.no</t>
  </si>
  <si>
    <t>hei@markedssjefene.no</t>
  </si>
  <si>
    <t>https://www.markedssjefene.no/?utm_source=GoogleMyBusiness&amp;utm_medium=Website</t>
  </si>
  <si>
    <t>https://www.facebook.com/markedssjefene/?locale=nb_NO</t>
  </si>
  <si>
    <t>https://twitter.com/markedssjefene</t>
  </si>
  <si>
    <t>https://www.instagram.com/markedssjefene/</t>
  </si>
  <si>
    <t>https://www.linkedin.com/company/markedssjefene/?originalSubdomain=no</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</si>
  <si>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</si>
  <si>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</si>
  <si>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JLT Denmark A/S</t>
  </si>
  <si>
    <t>0779f8d4-93e5-11eb-a33a-a3dfba582839</t>
  </si>
  <si>
    <t>Technical University of Denmark</t>
  </si>
  <si>
    <t>Jyske Finans A/S.</t>
  </si>
  <si>
    <t>Jyske Finans</t>
  </si>
  <si>
    <t>Bygning</t>
  </si>
  <si>
    <t>101A</t>
  </si>
  <si>
    <t>DK, Denmark, Central Denmark Region, Silkeborg, 8600, KastaniehÃ¸jvej, 2, 56.1893354, 9.577407000000001 | DK, Denmark, Capital Region of Denmark, Glostrup, 2600, Hovedvejen, 99, 55.665689099999994, 12.397025099999999 | DK, Denmark, North Denmark Region, Aalborg, 9000, Ã˜stre Havnegade, 65 4, 57.0481078, 9.9354737 | DK, Denmark, Capital Region of Denmark, Lyngby-TaarbÃ¦k Municipality, 2830, Teknikerbyen, , 55.8003533, 12.496988799999999</t>
  </si>
  <si>
    <t>Nye tider is a company that focuses on inspiring business growth and providing financial solutions. They aim to be a proactive partner in the development of businesses, offering expertise and support to enhance operational growth and market position. The company operates as a subsidiary of Jyske Bank and is headquartered in Silkeborg, Denmark, with additional offices in Aalborg and Glostrup. Nye tider employs approximately 170 staff members and is recognized as one of the largest and most experienced companies in Denmark specializing in vehicle financing and equipment financing for the commercial sector.</t>
  </si>
  <si>
    <t>Commercial Banking | Financial Services | Financial Services for Small Businesses | Lease-to-own Options for Agricultural Equipment | Customer Service Improvement | Website Optimization | Advisory Services | Leases for Industrial Machines | Proactive Start-up Partner | Market Research | Flexibility and Financial Soundness | Proactive Sparring Partner | Investment Advisory Services | Statistics And Data Analysis | Construction Engineering Machinery and Equipment Leasing | Performance Monitoring | Financial Institution | Targeted Marketing | Operational Growth and Health | Banking Services | Technical Support for Website Functionality</t>
  </si>
  <si>
    <t>Vi tror pÃ¥, at lÃ¸bende tilpasning af et samarbejde giver fleksibilitet og Ã¸konomisk rÃ¥derum.</t>
  </si>
  <si>
    <t>Til at lave analyser og statistik, sÃ¥ vi kan forbedre hjemmesiden. Til at profilere din adfÃ¦rd, sÃ¥ vi kan levere mÃ¥lrettet markedsfÃ¸ring til dig. Det gÃ¸r vi for at kunne optimere design, brugervenlighed og styrke effektiviteten af hjemmesiden. FormÃ¥l: StÃ¸tter online markedsfÃ¸ring ved at indsamle oplysninger om brugerne til at promovere produkter gennem partnere og andre platforme. FormÃ¥l: Samler information om brugerne og deres aktivitet pÃ¥ websitet. Som pÃ¥ de fleste andre hjemmesider efterlader du dig elektroniske spor bl.a. via cookies, nÃ¥r du bruger Jyske Finans' hjemmesider og apps. FormÃ¥let er at forbedre din brugeroplevelse, at understÃ¸tte vores markedsfÃ¸ring samt gÃ¸re hjemmesider, apps og Ã¸vrig kommunikation mere relevant for dig. Vi vil gerne inspirere dig til at investere i din virksomhed. I Jyske Finans Ã¸nsker vi at inspirere dig i udviklingen af din virksomhed. Vi tror pÃ¥, at vi kan gÃ¸re en forskel som proaktiv samarbejds- og sparringspartner for dig og din virksomhed, og vi tror pÃ¥, at vi kan bidrage til din virksomheds driftsmÃ¦ssige vÃ¦kst, sundhed og position pÃ¥ markedet.</t>
  </si>
  <si>
    <t>Microsoft Azure | Online Marketing | Targeted Advertising | Finance Apps | Debt Leads | Computer &amp; Tablets</t>
  </si>
  <si>
    <t>Consumer Finance</t>
  </si>
  <si>
    <t>FN-CF</t>
  </si>
  <si>
    <t>6153 | 6159 | 6141</t>
  </si>
  <si>
    <t>Short-Term Business Credit Institutions, Except Agricultural (business sales finance). | Miscellaneous Business Credit Institutions (finance leasing combined with sales financing) | Personal Credit Institutions (installment sales finance)</t>
  </si>
  <si>
    <t>Finance Companies (Personal Credit Institutions) | Investment Institutions | Financial Planners / Advisors | Building Owner - Multiple Occupancy - Mixed-Use Commercial | Credit Unions / Caisses Populaires / Savings &amp; Loan</t>
  </si>
  <si>
    <t>6491 | 6492</t>
  </si>
  <si>
    <t>Financial leasing | Other credit granting</t>
  </si>
  <si>
    <t>64.91 | 64.92</t>
  </si>
  <si>
    <t>614001 | 615001 | 641501 | 399101 | 612001</t>
  </si>
  <si>
    <t>45 25 25 25</t>
  </si>
  <si>
    <t>+4589895117 | +4589895198 | +4589895190 | +4589894358 | +4589894240 | +4589894309 | +4589895060 | +4589894311 | +4589894301 | +4589894080 | +4589895118 | +4589895026 | +4589894360 | +4589896660 | +4589895197 | +4589896037 | +4545959557 | +4589894170 | +4589894288 | +4589894296 | +4589895180 | +4589894210 | +4589895150 | +4589895009 | +4589896651 | +4589895148 | +4589894387 | +4589895191 | +4589896639</t>
  </si>
  <si>
    <t>info@jyskefinans.dk</t>
  </si>
  <si>
    <t>https://www.dtu.dk/</t>
  </si>
  <si>
    <t>https://www.linkedin.com/company/jyske-finans</t>
  </si>
  <si>
    <t>web servers: ibm websphere application server | cookie compliance: cookie information | performance: azure monitor | load balancers: azure front door | analytics: facebook custom audiences | miscellaneous: azure edge network | paas: azure | web servers: empathy platform | analytics: leadinfo | web frameworks: java servlet | widgets: css | issue trackers: better stack | javascript libraries: lazysizes | font scripts: google font api | security: hsts | video players: youtube | javascript libraries: modernizr | cms: site.com | widgets: facebook | retargeting: facebook custom audiences | miscellaneous: open graph | network devices: html | javascript libraries: jquery ui | web servers: apache | javascript frameworks: modernizr | network devices: html5 | miscellaneous: facebook | analytics: azure monitor | javascript frameworks: jquery ui | tag managers: google tag manager | miscellaneous: linkedin | javascript libraries: jquery | retargeting: facebook | widgets: javascript | rum: microsoft application insights | seo tool: twitter friendly | performance: lazysizes | javascript frameworks: jquery | analytics: google analytics | programming languages: java</t>
  </si>
  <si>
    <t>2019-11-24T00:53:54.000Z</t>
  </si>
  <si>
    <t>MARSH &amp; MCLENNAN AGENCIES AS</t>
  </si>
  <si>
    <t>000edce5-93e5-11eb-8474-3bbe2d07207d</t>
  </si>
  <si>
    <t>Marsh AS</t>
  </si>
  <si>
    <t>Malermestrene Juuhl &amp; Bratfoss | Juuhl &amp; Bratfoss | Malermestrene Juuhl &amp; Bratfoss AS</t>
  </si>
  <si>
    <t>Harbitzalléen</t>
  </si>
  <si>
    <t>NO, Norway, Oslo, Oslo, 0275, Hovfaret, 8, 59.9261017, 10.676122399999999</t>
  </si>
  <si>
    <t>Marsh is a global leader in insurance broking and risk management, bringing global, national, and industry-specific solutions.</t>
  </si>
  <si>
    <t>Painting Services | Total Contracting Services | Antique Painting Services | Painting and Wallpapering Services | Painting and Wall Covering Contractor | Facade Work Services | Decoration Services</t>
  </si>
  <si>
    <t>Malermestrene Juuhl &amp; Bratfoss har over 50 Ã¥rs erfaring i bransjen og bred kompetanse innen de forskjellige delene av malefaget.</t>
  </si>
  <si>
    <t>Malermestrene Juuhl &amp; Bratfoss har over 50 Ã¥rs erfaring i bransjen og bred kompetanse innen de forskjellige delene av malefaget. Vi har eget dÃ¸r- og vindusverksted med besÃ¸ksadresse pÃ¥ Ã…dalsbruk i LÃ¸ten Kommune. â†’ Mer informasjon. Sjablonger gir oss et stort kreativt spillerom i forhold til Ã¥ lage dekorasjoner i alt fra nÃ¦ringsbygg og borettslag til restaurering av kirker og andre antikvariske bygninger. â†’ Mer informasjon.</t>
  </si>
  <si>
    <t>Tile Restorations</t>
  </si>
  <si>
    <t>Lawyers / Barristers / Solicitors | Building Owner - Multiple Occupancy - Mixed-Use Commercial | Accountants / Auditors | Doors / Windows / Awnings / Sidings - Installation | Wood Products Manufacturing (Cabinetry / Closets / Molding / Trim / Fixtures / Partitions)</t>
  </si>
  <si>
    <t>811101 | 399101 | 641101 | 176601 | 249003</t>
  </si>
  <si>
    <t>22 01 10 00</t>
  </si>
  <si>
    <t>+4722519000 | +4748044145 | +4798001560 | +4741413017 | +4792974005 | +4791689584 | +4790013757</t>
  </si>
  <si>
    <t>post@jubr.no</t>
  </si>
  <si>
    <t>hilde@jubr.no | post@jubr.no</t>
  </si>
  <si>
    <t>trude@jubr.no | tina@jubr.no | rino@jubr.no | tore@jubr.no | truls@jubr.no</t>
  </si>
  <si>
    <t>https://www.marsh.com/no/en/home.html</t>
  </si>
  <si>
    <t>https://www.facebook.com/people/Marsh-Global/61566446300687/</t>
  </si>
  <si>
    <t>https://x.com/MarshGlobal</t>
  </si>
  <si>
    <t>https://www.linkedin.com/company/marsh</t>
  </si>
  <si>
    <t>https://www.youtube.com/user/TheMarshChannel</t>
  </si>
  <si>
    <t>javascript libraries: core-js | javascript libraries: lit-html | hosting: kinsta | wordpress plugins: contact form 7 - 5.7.7 | paas: kinsta | maps: google maps | wordpress plugins: yoast seo - 21.1 | web servers: empathy platform | security: recaptcha | seo: yoast seo | javascript libraries: core-js - 3.19.1 | widgets: css | paas: wp engine | blogging platforms: wordpress | miscellaneous: http/3 | databases: mysql | reverse proxy: nginx | form builders: contact form 7 - 5.7.7 | cdn: google hosted libraries | miscellaneous: open graph | ui frameworks: zurb foundation - 6.2.2 | web frameworks: zurb foundation | seo tool: yoast seo | network devices: html | miscellaneous: jquery easing | javascript libraries: jquery - 2.1.0 | seo tool: facebook friendly | network devices: html5 | ui frameworks: zurb foundation | cms: wordpress | blogs: wordpress | widgets: sharethis | javascript libraries: jquery | widgets: javascript | form builders: contact form 7 | seo tool: twitter friendly | javascript libraries: lit-element | web servers: nginx | cdn: cloudflare | wordpress plugins: yoast seo | analytics: google analytics - UA | programming languages: php | security: cloudflare bot management | seo: yoast seo - 21.1 | wordpress plugins: contact form 7 | javascript frameworks: jquery | analytics: google analytics</t>
  </si>
  <si>
    <t>2020-10-28T03:09:10.000Z</t>
  </si>
  <si>
    <t>Maven Wireless Sweden AB</t>
  </si>
  <si>
    <t>86550f01-93e4-11eb-97db-273ba5953680</t>
  </si>
  <si>
    <t>Maven Wireless</t>
  </si>
  <si>
    <t>Maven Wireless Sweden AB. | Maven Wireless Inc. | Maven Wireless AB.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</si>
  <si>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</si>
  <si>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Swedish company developing and supplying digital DAS and wireless coverage solutions for indoor and tunnel environments.</t>
  </si>
  <si>
    <t>digital DAS; wireless coverage; in-building; tunnels; public safety communications</t>
  </si>
  <si>
    <t>Kista-based provider of digital DAS and wireless coverage systems.</t>
  </si>
  <si>
    <t>Maven Wireless Sweden AB is a Swedish technology company headquartered in Kista that develops and supplies digital distributed antenna systems (DAS) and wireless coverage solutions for buildings, stadiums, tunnels and public safety networks.</t>
  </si>
  <si>
    <t>in-building coverage; mobile signal; public safety DAS; 4G/5G coverage; tunnel communication</t>
  </si>
  <si>
    <t>Wireless Coverage &amp; DAS Solutions</t>
  </si>
  <si>
    <t>Wireless coverage equipment for mobile and public safety networks</t>
  </si>
  <si>
    <t>08-760 43 00</t>
  </si>
  <si>
    <t>+14242200891 | +14687604300 | +4687604300</t>
  </si>
  <si>
    <t>info@mavenwireless.com</t>
  </si>
  <si>
    <t>info@mavenwireless.com | investor@mavenwireless.com</t>
  </si>
  <si>
    <t>https://www.mavenwireless.com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</si>
  <si>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</si>
  <si>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</si>
  <si>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</si>
  <si>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</si>
  <si>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</si>
  <si>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</si>
  <si>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</si>
  <si>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MAVENIR SYSTEMS AB</t>
  </si>
  <si>
    <t>8a8769f3-f8b6-11ed-9214-3d96876bd85b</t>
  </si>
  <si>
    <t>Mavenir Systems AB</t>
  </si>
  <si>
    <t>Mavenir Systems AB.</t>
  </si>
  <si>
    <t>111 52</t>
  </si>
  <si>
    <t>Garvis Carlssons Gata</t>
  </si>
  <si>
    <t>SE, Sweden, Stockholm County, Stockholm, 111 29, Fredsgatan, 10, 59.328975899999996, 18.065114899999998</t>
  </si>
  <si>
    <t>Mavenir Systems AB is a company categorized under the medical profession, specifically as a doctor. The company is based in Stockholm, Sweden.</t>
  </si>
  <si>
    <t>Healthcare Services | Medical Equipment Supplier | General Hospitals | Healthcare Professionals</t>
  </si>
  <si>
    <t>Mavenir Systems AB. is a surgeons &amp; physicians clinic based in Stockholm, Sweden.</t>
  </si>
  <si>
    <t>8062 | 8069</t>
  </si>
  <si>
    <t>General Medical and Surgical Hospitals | Specialty Hospitals, Except Psychiatric (childrenâ€™s hospitals)</t>
  </si>
  <si>
    <t>Hospital activities</t>
  </si>
  <si>
    <t>2023-05-22T15:36:00.338Z</t>
  </si>
  <si>
    <t>MAVENIR SYSTEMS LIMITED</t>
  </si>
  <si>
    <t>778051d9-057a-11ec-b41b-d7058b59cf68</t>
  </si>
  <si>
    <t>Mavenir</t>
  </si>
  <si>
    <t>Mavenir Systems Inc. | 6740 HubSpot Inc.</t>
  </si>
  <si>
    <t>Reading</t>
  </si>
  <si>
    <t>RG2 6DA</t>
  </si>
  <si>
    <t>Basingstoke Road</t>
  </si>
  <si>
    <t>GB, United Kingdom, England, Henley-on-Thames, RG9 1AY, Station Road, , 51.5347101, -0.9011643</t>
  </si>
  <si>
    <t>Mavenir combines unrivalled telco domain expertise with open, scalable, cloud-native software to enhance mobile networks with solutions that are AI-by-design.</t>
  </si>
  <si>
    <t>5G; cloud-native networks; IMS; messaging; Open RAN; telecom software</t>
  </si>
  <si>
    <t>Mavenir UK entity providing mobile network software and solutions.</t>
  </si>
  <si>
    <t>Mavenir Systems Limited is a UK company within Mavenir, a global network software provider delivering cloud-native solutions such as 5G core, IMS, messaging, monetisation and Open RAN for communication service providers.</t>
  </si>
  <si>
    <t>mobile core; IMS; messaging platforms; Open RAN; vRAN; telecom cloud software</t>
  </si>
  <si>
    <t>Telecom Network Software</t>
  </si>
  <si>
    <t>Cloud-native mobile network and messaging software</t>
  </si>
  <si>
    <t>0118 906 1700</t>
  </si>
  <si>
    <t>+917127182008 | +918155819898</t>
  </si>
  <si>
    <t>sales@ultravioletpools.com</t>
  </si>
  <si>
    <t>http://www.mavenir.com/</t>
  </si>
  <si>
    <t>https://www.facebook.com/Mavenir</t>
  </si>
  <si>
    <t>https://twitter.com/Mavenir</t>
  </si>
  <si>
    <t>https://www.linkedin.com/feed/update/urn:li:activity:7384933915314155520/</t>
  </si>
  <si>
    <t>https://www.youtube.com/c/MavenirTube</t>
  </si>
  <si>
    <t>2021-08-23T00:14:13.000Z</t>
  </si>
  <si>
    <t>MAVENIR SYSTEMS UK LIMITED</t>
  </si>
  <si>
    <t>Operating Software | B2B and B2C Commerce Software | Hubspot Services | Software for Technical Customer Service | Sales Compensation Plans | Strategic Marketing Skills</t>
  </si>
  <si>
    <t>Learn how on structure your sales compensation plan, from paying commissions and determining a rep's total salary into driving this right behaviors.</t>
  </si>
  <si>
    <t>Get how much sales reps become earn through seven different sales compensation methods. That's why gating your organization's sales compensation right is crucial to your success â€”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</si>
  <si>
    <t>Sale Prospects | Content Production | Online Marketing | Marketing &amp; Sales | Customer Service Software | Strategy &amp; Insights | E-mail Marketing | Marketing Automation | Accounting &amp; Management | Commissions &amp; Fees</t>
  </si>
  <si>
    <t>Measat Satellite Systems Sdn. Bhd.</t>
  </si>
  <si>
    <t>1fb93f4c-93e5-11eb-a736-0f5b20ecb2f1</t>
  </si>
  <si>
    <t>MEASAT Satellite Systems Sdn Bhd</t>
  </si>
  <si>
    <t>MEASAT Satellite Systems Sdn Bhd. | Binariang Satellite Systems Sdn. Bhd.</t>
  </si>
  <si>
    <t>MEASAT | MEASAT 3 | MEASAT Global Berhad | MEASAT Satellite Systems</t>
  </si>
  <si>
    <t>Jalan Teknokrat 1/2</t>
  </si>
  <si>
    <t>MY, Malaysia, Selangor, Cyberjaya, 63000, Jalan Teknokrat 4, 1/2, 2.9221854, 101.6551919 | MU, Mauritius, Mauritius, , , , , -20.2418219, 57.4822953 | MY, Malaysia, Kuala Lumpur, Kuala Lumpur, 50088, , , 3.155826823529412, 101.71517829411764</t>
  </si>
  <si>
    <t>Malaysian communications satellite operator</t>
  </si>
  <si>
    <t>Managed Network Services | Teleport Services | VSAT Network Solutions | Satellite Capacity Leasing | Data Transmission Services | Satellite Ground Stations | Remote Communication Services | Direct-to-home Broadcasting | Telecommunication Infrastructure | Satellite Transponder Services | Satellite Communication Services</t>
  </si>
  <si>
    <t>From cellular backhaul and corporate networks to high-speed broadband internet, we cater to the needs of diverse clients, including government, telecommunications companies, maritime and oil &amp; gas industries, enterprises, and small and medium-sized businesses.</t>
  </si>
  <si>
    <t>Beyond satellites, transforming connectivity. MEASAT delivers data, video, consultancy, and broadband solutions like CONNECTme for all. Stay connected today!</t>
  </si>
  <si>
    <t>Satellite Communication | Telecommunications | Value Added Services | Broadcasting Solutions | Cellular Backhaul | Satellite Service | Satellite Broadband | Broadband Internet | Broadcast Services | Satellite Communication Service</t>
  </si>
  <si>
    <t>Media Streaming Distribution Services, Social Networks, and Other Media Networks and Content Providers</t>
  </si>
  <si>
    <t>Communications Services, NEC (satellite communications)</t>
  </si>
  <si>
    <t>Communication Equipment Installation - Commercial | Motion Picture / Television Production (incl Commercials) | Communication Equipment Installation - Residential | Retail - Audio / Video Media Sales / Rentals (Music / Movies / Etc) | Underground Cable / Conduit Installation</t>
  </si>
  <si>
    <t>6190 | 6130</t>
  </si>
  <si>
    <t>Other telecommunications activities | Satellite telecommunications activities</t>
  </si>
  <si>
    <t>61.9 | 61.3</t>
  </si>
  <si>
    <t>153402 | 781101 | 153401 | 571501 | 173301</t>
  </si>
  <si>
    <t>03-8213 2188</t>
  </si>
  <si>
    <t>+2304541539 | +60323806688 | +60323806500 | +60388213218 | +60382132288 | +2304541554 | +60382132188 | +60382132233</t>
  </si>
  <si>
    <t>dpo@measat.com</t>
  </si>
  <si>
    <t>corporate.communications@measat.com | dpo@measat.com | recruitment@measat.com | sales@measat.com</t>
  </si>
  <si>
    <t>http://www.measat.com/</t>
  </si>
  <si>
    <t>https://www.facebook.com/MEASATGlobalBerhad/</t>
  </si>
  <si>
    <t>https://x.com/MEASAT</t>
  </si>
  <si>
    <t>https://www.instagram.com/measatglobalberhad/</t>
  </si>
  <si>
    <t>https://www.linkedin.com/company/1052396/</t>
  </si>
  <si>
    <t>https://www.youtube.com/@measatglobalberhad5773</t>
  </si>
  <si>
    <t>web servers: ibm websphere application server | miscellaneous: babel | javascript frameworks: chosen | javascript libraries: owl carousel | seo: all in one seo pack | ui frameworks: bootstrap | miscellaneous: popper | web servers: empathy platform | web frameworks: bootstrap | analytics: google universal analytics | javascript libraries: slick | security: recaptcha | widgets: css | javascript libraries: magnific popup | cdn: cdnjs | javascript frameworks: jquery mousewheel | font scripts: google font api | analytics: monsterinsights | blogging platforms: wordpress | wordpress plugins: all in one seo pack | databases: mysql | cms: site.com | cdn: google hosted libraries | miscellaneous: open graph | seo tool: yoast seo | network devices: html | miscellaneous: jquery easing | javascript frameworks: jquery migrate | web servers: apache | seo tool: facebook friendly | network devices: html5 | cms: wordpress | cache tools: wordpress super cache | web frameworks: chosen | blogs: wordpress | tag managers: google tag manager | javascript libraries: jquery | widgets: javascript | wordpress plugins: redux framework | operating systems: ubuntu | form builders: contact form 7 | seo tool: twitter friendly | wordpress plugins: monsterinsights | cdn: cloudflare | programming languages: php | javascript libraries: jquery migrate | wordpress plugins: contact form 7 | javascript frameworks: jquery | analytics: google analytics</t>
  </si>
  <si>
    <t>2019-11-24T02:44:35.000Z</t>
  </si>
  <si>
    <t>Media Times Limited</t>
  </si>
  <si>
    <t>37de0385-e6d6-11ed-8bb1-3d6aecbca671</t>
  </si>
  <si>
    <t>Media Times Ltd</t>
  </si>
  <si>
    <t>Media Times Ltd.</t>
  </si>
  <si>
    <t>Punjab</t>
  </si>
  <si>
    <t>PK, Pakistan, Punjab, Lahore, 54000, Hali Road, 41, 31.519305399999997, 74.35947709999999</t>
  </si>
  <si>
    <t>Media Times Ltd is a telecommunications service provider based in Lahore, Punjab, Pakistan.</t>
  </si>
  <si>
    <t>Media Times Ltd. is a telecommunications company based in Lahore, Pakistan.</t>
  </si>
  <si>
    <t>2023-04-29T21:36:16.395Z</t>
  </si>
  <si>
    <t>MEISEL EIENDOM AS</t>
  </si>
  <si>
    <t>00df4c07-3335-11ec-a736-a1890df23e9d</t>
  </si>
  <si>
    <t>Meisel AS avd Drammen</t>
  </si>
  <si>
    <t>Lier Blikk AS | Lierblikk</t>
  </si>
  <si>
    <t>Poppegårdsveien</t>
  </si>
  <si>
    <t>NO, Norway, Viken, Lier, 3414, Lierstranda, 52, 59.7487757, 10.2426082</t>
  </si>
  <si>
    <t>Bli en del av Meisel AS, hvor vi setter standarden for salgsutvikling gjennom innovasjon, samarbeid og personlig vekst. Her er du ikke bare en ansatt – du er en verdifull bidragsyter til vår felles suksess. Ta steget og søk i dag!</t>
  </si>
  <si>
    <t>Pottery, Ceramics &amp; Plumbing Fixture Manufacturing | Construction Services | Roofing Contractors | Execution of Works | Ceramics Manufacturing | Plumbing and Roofing Services | Skilled Tradesmen | Market Leader | Fixture Plumbing</t>
  </si>
  <si>
    <t>Lier Blikk AS â€“ Blikkenslager â€“ Lier â€“ Drammen â€“ Takarbeide, sentral godkjenning â€“ VÃ¥r erfaring â€“ Din Trygghet</t>
  </si>
  <si>
    <t>Lier Blikk AS er et blikkenslagerfirma etablert i 1976. Vi har som mÃ¥l Ã¥ vÃ¦re markedsledende i vÃ¥rt nÃ¦romrÃ¥de, og vi har gjennom mer enn 40 Ã¥r opparbeidet oss en solid posisjon med dyktige hÃ¥ndtverkere og lang erfaring. Gjennom de ansattes kvalitet mÃ¥les bedriftens opplevde kvalitet for kunden.</t>
  </si>
  <si>
    <t>Web Design/Development | Webdesign</t>
  </si>
  <si>
    <t>Roofing Contractors</t>
  </si>
  <si>
    <t>Building Contractors</t>
  </si>
  <si>
    <t>Roofing, Siding, and Sheet Metal Work (roofing contractors)</t>
  </si>
  <si>
    <t>Carpentry, trim and millwork (No Wood Shop) | Carpentry (incl. Wood Shop Operations) | Wood Products Manufacturing (Cabinetry / Closets / Molding / Trim / Fixtures / Partitions) | Handyman / "Handywoman" / Miscellaneous Home Repair | Wood Products Manufacturing (Not Otherwise Classified)</t>
  </si>
  <si>
    <t>Other specialized construction activities</t>
  </si>
  <si>
    <t>43.91 | 43.99</t>
  </si>
  <si>
    <t>Roofing activities | Other specialised construction activities n.e.c.</t>
  </si>
  <si>
    <t>175201 | 175101 | 249003 | 175202 | 249001</t>
  </si>
  <si>
    <t>99 11 38 82</t>
  </si>
  <si>
    <t>+4732848170 | +4793427989 | +4793462465</t>
  </si>
  <si>
    <t>post@lierblikk.no</t>
  </si>
  <si>
    <t>Vian@meisel.no</t>
  </si>
  <si>
    <t>egil@lierblikk.no | terje@lierblikk.no</t>
  </si>
  <si>
    <t>https://www.meisel.no/?utm_source=google&amp;utm_medium=wix_google_business_profile&amp;utm_campaign=7091897345951736461</t>
  </si>
  <si>
    <t>https://www.facebook.com/lierblikkas/</t>
  </si>
  <si>
    <t>https://www.instagram.com/meisel.no/</t>
  </si>
  <si>
    <t>https://www.linkedin.com/company/meisel-as/</t>
  </si>
  <si>
    <t>web servers: litespeed | javascript libraries: owl carousel | ui frameworks: bootstrap | widgets: addthis | web servers: empathy platform | security: recaptcha | widgets: css | font scripts: google font api | security: hsts | reverse proxies: nginx | miscellaneous: http/3 | javascript libraries: modernizr | databases: mysql | cms: site.com | video players: mediaelement.js | ecommerce: facebook like button | authentication: facebook login | performance: wp fastest cache | miscellaneous: jquery easing | webmail: facebook login button | network devices: html5 | miscellaneous: facebook | javascript libraries: imagesloaded | cms: wordpress | blogs: wordpress | wordpress plugins: wp fastest cache | javascript libraries: isotope | javascript libraries: jquery | widgets: javascript | form builders: contact form 7 | web servers: nginx | programming languages: php | javascript libraries: jquery migrate | wordpress plugins: contact form 7</t>
  </si>
  <si>
    <t>2021-10-20T14:17:49.000Z</t>
  </si>
  <si>
    <t>68a204a1-a872-11ed-a172-c70b75c2da79</t>
  </si>
  <si>
    <t>META World | Meta World Ireland</t>
  </si>
  <si>
    <t>IE, Ireland, Leinster, Dublin, , , , 53.3493795, -6.2605593</t>
  </si>
  <si>
    <t>SEO Friendly Websites | Irish Company Registrations | Digital Solutions Provider | SEO Optimization Services | Service Establishment | Graphic Design Services | High-performance Websites | Web Design and SEO Services | Web Agency for Smes | Web Design Services | Online Menu Customization | Paid Ads Registration Services | Video Editing Services | Marketing Consulting Service Centers</t>
  </si>
  <si>
    <t>Call Now +92123456789 Your one stop solution to every digital problem MetaWorld MetaWorld Crafting high-performance websites custom to your needs What Are The Biggest Challenges You're Facing as an SME business Owner ?Web Design SEO Graphic Design Digital Menu Paid Ads Registration Our Services Contact Us The importance of WEB DESIGN AND SEO AND USING THE RIGHT</t>
  </si>
  <si>
    <t>As an SME Web Agency, We can assist you whether you are a business owner, sole trader, or tradesman looking to start a new business or an established firm looking to upgrade. Without SEO SEARCH ENGINE OPTIMISATION, web design is incomplete. We create a magnificent SEO-friendly website that generates revenue for our clients.</t>
  </si>
  <si>
    <t>Web Designing | Graphics Designers | Seo Search Engine Optimisation | Web Design Services | Design And Video | Business / Finance | SEO Services | Online Menus</t>
  </si>
  <si>
    <t>john@metaworld.ie</t>
  </si>
  <si>
    <t>http://www.linkedin.com/company/meta-world-ireland</t>
  </si>
  <si>
    <t>seo: all in one seo pack | miscellaneous: rss | web servers: empathy platform | performance: priority hints | wordpress plugins: elementor | widgets: css | font scripts: google font api | analytics: monsterinsights | security: hsts | miscellaneous: http/3 | analytics: site kit | wordpress plugins: all in one seo pack | databases: mysql | issue trackers: really simple discovery | wordpress themes: oceanwp | cms: site.com | miscellaneous: open graph | network devices: html | network devices: html5 | cms: wordpress | blogs: wordpress | tag managers: google tag manager | wordpress plugins: site kit | widgets: javascript | wordpress plugins: monsterinsights | programming languages: php | page builders: elementor | analytics: google analytics</t>
  </si>
  <si>
    <t>2023-02-05T21:44:34.000Z</t>
  </si>
  <si>
    <t>MICROSOFT IRELAND OPERATIONS LIMITED</t>
  </si>
  <si>
    <t>146bd77c-4d69-11ed-b869-0b9c3de59569</t>
  </si>
  <si>
    <t>Microsoft Ireland</t>
  </si>
  <si>
    <t>Microsoft Ireland Operations</t>
  </si>
  <si>
    <t>D18 P521</t>
  </si>
  <si>
    <t>Sir John Rogerson's Quay</t>
  </si>
  <si>
    <t>IE, Ireland, Leinster, Dublin, D04 R674, Barrow Street, , 53.33981704711914, -6.238187789916992</t>
  </si>
  <si>
    <t>software; cloud services; distribution; operations; Microsoft</t>
  </si>
  <si>
    <t>Irish Microsoft entity handling regional operations and distribution.</t>
  </si>
  <si>
    <t>Microsoft Ireland Operations Limited is a key Microsoft entity based in Ireland, responsible for manufacturing, supply chain and operational functions for various Microsoft software and hardware products and cloud services across Europe, the Middle East and Africa.</t>
  </si>
  <si>
    <t>regional operations; software distribution; cloud operations; devices; licensing</t>
  </si>
  <si>
    <t>Software &amp; Cloud – Regional Operations</t>
  </si>
  <si>
    <t>Regional operations and distribution for Microsoft products and services</t>
  </si>
  <si>
    <t>(01) 295 3826</t>
  </si>
  <si>
    <t>cusassist@outlook.com</t>
  </si>
  <si>
    <t>https://www.microsoft.com/en-ie/aboutireland</t>
  </si>
  <si>
    <t>https://www.xbox.com/</t>
  </si>
  <si>
    <t>2022-10-16T14:11:48.000Z</t>
  </si>
  <si>
    <t>MICROSOFT NORGE AS</t>
  </si>
  <si>
    <t>4c721116-1afb-11ec-8511-032f81df2a60</t>
  </si>
  <si>
    <t>Microsoft Norway</t>
  </si>
  <si>
    <t>NO, Norway, Oslo, Oslo, 0194, Dronning Eufemias gate, 71, 59.90685279999999, 10.760978300000001 | NO, Norway, TrÃ¸ndelag, Trondheim, 7012, Kongens gate, 87, 63.4301124, 10.3826216 | NO, Norway, Troms og Finnmark, TromsÃ¸, 9008, GrÃ¸nnegata, 58, 69.648842, 18.9532152</t>
  </si>
  <si>
    <t>Norwegian subsidiary of Microsoft providing sales, marketing and support for Microsoft software and cloud services.</t>
  </si>
  <si>
    <t>software; cloud; Microsoft 365; Azure; consulting; support</t>
  </si>
  <si>
    <t>Norwegian Microsoft sales and marketing subsidiary based in Lysaker.</t>
  </si>
  <si>
    <t>Microsoft Norge AS is the Norwegian subsidiary of Microsoft, responsible for sales, marketing, partner management and customer support for Microsoft’s software, cloud and devices offerings in Norway.</t>
  </si>
  <si>
    <t>Microsoft 365; Azure; Dynamics; partner ecosystem; enterprise solutions; cloud adoption</t>
  </si>
  <si>
    <t>Software &amp; Cloud Services</t>
  </si>
  <si>
    <t>Sales and support of Microsoft software and cloud solutions</t>
  </si>
  <si>
    <t>23 50 05 00</t>
  </si>
  <si>
    <t>http://www.microsoft.no/</t>
  </si>
  <si>
    <t>https://www.facebook.com/knut.omang/</t>
  </si>
  <si>
    <t>2022-04-12T15:24:53.000Z</t>
  </si>
  <si>
    <t>MICROSOFT REGIONAL SALES PTE. LTD.</t>
  </si>
  <si>
    <t>00a8abe3-93e5-11eb-90d2-e3355a7e800b</t>
  </si>
  <si>
    <t>Microsoft Regional Sales Corporation</t>
  </si>
  <si>
    <t>Tan Rajah &amp; Cheah</t>
  </si>
  <si>
    <t>Alexandra Road</t>
  </si>
  <si>
    <t>438B</t>
  </si>
  <si>
    <t>SG, Singapore, Central, Singapore, 048624, Raffles Place, 80, 1.2853829499999998, 103.85071850150881 | SG, Singapore, Central, Singapore, 178957, Raffles Place, 80, 1.285615, 103.85020999999999</t>
  </si>
  <si>
    <t>Tan Rajah &amp; Cheah (TRC) is a full-service law firm based in Singapore, founded in 1947. It is one of the oldest local law firms in the country. The firm is known for its expertise in dispute resolution and has a diverse partnership that includes individuals who have achieved significant professional milestones. TRC is recognized for its commitment to excellence, integrity, and personalized service. The firm maintains strong relationships with law firms in Asia, North America, and Europe through its membership in the PLG International Lawyers group. TRC's lawyers continuously develop their legal expertise and maintain a high level of professionalism and integrity in their work.</t>
  </si>
  <si>
    <t>Dispute Resolution Services | Full Service Law Firms | Full-service Practice | Legalization Services | Legal Services | Legal Representation | Non Litigation | Law Firm | One-on-one Mentorship Course | Substantial and Complex Litigation Matters | Supreme Court | International Expertise | Commercial Advice | Legal Services for Individuals | Senior Counsel</t>
  </si>
  <si>
    <t>We are a full-service practice and our work spans across diverse practice areas. To meet our clientsâ€™ evolving needs, our lawyers are continuously honing their legal expertise in specialist areas and investing time to understand the environments in which our clients operate.</t>
  </si>
  <si>
    <t>Tan Rajah &amp; Cheah ("TRC") was founded in 1947 on a gentleman's handshake between 3 close friends. The founding partners were Mr C C Tan, Dr A P Rajah, and Mr Cheah Heng Sin. We are one of the oldest local law firms in Singapore. Our founders were distinguished members of the legal profession. Their values continue through to how we practise the law today. Since then the firm has developed into a full-service practice with 2 Senior Councils and over 30 lawyers. Over the past 68 years the firm has established a reputation for integrity and the provision of high-quality legal services. We are a medium-sized firm with a full-service practice, strong in dispute resolution. Our diverse partnership includes persons who have gone on to become Senior Counsel, Law Society Presidents, Supreme Court Judges and Members of Parliament. The firm has established a reputation for integrity and the provision of high-quality legal services. Small enough to provide a genuinely personalised service, yet with sufficient strength in depth to serve clients effectively in substantial litigation and non-litigation matters, TRC has maintained its tradition of friendly, expert service at competitive rates without compromising on the speed of response and quality commercial advice, which business clients demand. We maintain close links with law firms in Asia, North America and Europe through our membership of the law practice group, PLG International Lawyers. TRC's clients have the advantage of ready access to international expertise with local knowledge. We provide a dedicated team of lawyers with the proper expertise for each matter to ensure efficient delivery of quality services. The hands-on expertise and experience of the team facilitate optimal results for our clients.</t>
  </si>
  <si>
    <t>Practicing Areas | Legal Expertise | Chamber Partners | Real Estate And Construction | Law &amp; Society | White Collar Crimes | Local Laws | Business Crime | Property Dispute | Legal Practices</t>
  </si>
  <si>
    <t>General Practice Attorneys</t>
  </si>
  <si>
    <t>Lawyers / Barristers / Solicitors | Social / Counselling / Consulting Services | Churches / Synagogues / Temples / Mosques | Professional Associations | Notaries</t>
  </si>
  <si>
    <t>811101 | 808501 | 867101 | 862001 | 811201</t>
  </si>
  <si>
    <t>6370 9000</t>
  </si>
  <si>
    <t>+6563720988 | +6565322271 | +6565352475 | +6565391690</t>
  </si>
  <si>
    <t>trc@trc.com.sg</t>
  </si>
  <si>
    <t>admin@trc.com.sg</t>
  </si>
  <si>
    <t>https://trc.com.sg/</t>
  </si>
  <si>
    <t>http://www.linkedin.com/company/tan-rajah-cheah</t>
  </si>
  <si>
    <t>javascript libraries: core-js | miscellaneous: rss | ui frameworks: bootstrap | maps: google maps | web frameworks: bootstrap | javascript libraries: swiper | javascript libraries: slick | wordpress plugins: elementor | seo: yoast seo | miscellaneous: twitter emoji (twemoji) | font scripts: google font api | blogging platforms: wordpress | javascript libraries: modernizr | databases: mysql | cdn: google hosted libraries | miscellaneous: open graph | miscellaneous: revslider | font scripts: font awesome | javascript libraries: jquery ui | javascript frameworks: jquery migrate | web servers: apache | javascript frameworks: modernizr | javascript frameworks: slick | web servers: apache http server | javascript libraries: imagesloaded | cms: wordpress | blogs: wordpress | javascript libraries: jquery | wordpress plugins: yoast seo | programming languages: php | wordpress themes: hello elementor | javascript libraries: jquery migrate | page builders: elementor | javascript frameworks: jquery | analytics: google analytics</t>
  </si>
  <si>
    <t>2019-11-24T10:59:32.000Z</t>
  </si>
  <si>
    <t>ABC KANTINEAUTOMATER ApS</t>
  </si>
  <si>
    <t>2c53d1f1-6cf9-11ec-a598-5f2181f71be8</t>
  </si>
  <si>
    <t>AB Catering Copenhagen A / S</t>
  </si>
  <si>
    <t>ABC Spilleautomater</t>
  </si>
  <si>
    <t>Ventrupvej</t>
  </si>
  <si>
    <t>DK, Denmark, Capital Region of Denmark, Frederiksberg, 2000, Vagtelvej, 65, 55.69357, 12.523148</t>
  </si>
  <si>
    <t>Totalleverandør af fødevarer og nonfood-artikler til alle Danmarks køkkener og spisesteder.</t>
  </si>
  <si>
    <t>User Consent Management | Advertising Effectiveness | Social Media Automation | Billiards Supply Store | User Data Collection and Reporting | User Interaction Tracking | Website Traffic Analysis | Retail</t>
  </si>
  <si>
    <t>Ved opstilling af spilleautomater, kan vi samtidig levere et SÃ¸ren SÃ¸gaard royal de luxe billard m. varme og 50 mm. skifersten, i opstillingsperioden, inkl. 1 ombetrÃ¦kning Ã¥rlig.</t>
  </si>
  <si>
    <t>F.eks. dit foretrukne sprog, eller den region, du befinder dig i. Ved opstilling af spilleautomater, kan vi samtidig levere et SÃ¸ren SÃ¸gaard royal de luxe billard m. varme og 50 mm. skifersten, i opstillingsperioden, inkl. 1 ombetrÃ¦kning Ã¥rlig. Udlejning af billard.</t>
  </si>
  <si>
    <t>Debt Leads</t>
  </si>
  <si>
    <t>Amusement Arcades</t>
  </si>
  <si>
    <t>Casino &amp; Betting</t>
  </si>
  <si>
    <t>Casinos &amp; Gaming</t>
  </si>
  <si>
    <t>SV-CA</t>
  </si>
  <si>
    <t>Amusement and Recreation Services, NEC (casinos, except hotel casinos)</t>
  </si>
  <si>
    <t>Gambling and betting activities</t>
  </si>
  <si>
    <t>72 30 24 02</t>
  </si>
  <si>
    <t>mail@abcbillard.dk</t>
  </si>
  <si>
    <t>https://abcatering.dk/</t>
  </si>
  <si>
    <t>https://www.instagram.com/fantastiskfrisk/</t>
  </si>
  <si>
    <t>https://www.linkedin.com/company/ab-catering-a-s/</t>
  </si>
  <si>
    <t>analytics: matomo analytics | javascript libraries: quicklink | analytics: google analytics - GA4 | javascript libraries: jquery - 3.5.1 | performance: quicklink | miscellaneous: open graph | cms: mono.net | javascript libraries: jquery migrate - 3.3.3</t>
  </si>
  <si>
    <t>2022-01-02T21:35:35.000Z</t>
  </si>
  <si>
    <t>NW GRUPPEN A/S</t>
  </si>
  <si>
    <t>aa736d53-93e4-11eb-be3a-7f925cb94351</t>
  </si>
  <si>
    <t>NW Gruppen as</t>
  </si>
  <si>
    <t>Miralix A/S.</t>
  </si>
  <si>
    <t>Miralix</t>
  </si>
  <si>
    <t>Hedensted</t>
  </si>
  <si>
    <t>Snedkervej</t>
  </si>
  <si>
    <t>DK, Denmark, Central Denmark Region, Hedensted, 8722, Snedkervej, 5, 55.792541, 9.680872</t>
  </si>
  <si>
    <t>Få overblik over Miralix' kontaktcenterløsninger, services og support. Alt samlet ét sted til din virksomhed.</t>
  </si>
  <si>
    <t>Targeted Marketing on Google and Linkedin | Visitor/user Experience Improvement | Telecommunications Services | Intelligent Telephony Solutions | Customer Service Tool | Statistical Analysis | Onsite Services | Technical Support for Website Functionality | Wheelchair Accessible Entrance</t>
  </si>
  <si>
    <t>Med Miralix KontaktCenter fÃ¥r du intelligent telefoni og professionelle kundeservice vÃ¦rktÃ¸jer, der gÃ¸r det nemt at give god service. Udviklet i DK.</t>
  </si>
  <si>
    <t>F.eks. dit foretrukne sprog, eller den region, du befinder dig i. Permanent Lokalt HTML-lager _li_id.#.expires Leadinfo Indsamler data fra individuelle besÃ¸g pÃ¥ hjemmesiden, til udarbejdelse af statistik-rapporter. Giv kunderne den Ã¦gte her og nu oplevelse. Vores mange populÃ¦re KontaktCenter-funktioner gÃ¸r det nemt at samarbejde og give god kundeservice â€“ uanset om du arbejder i receptionen, pÃ¥ kontoret eller pÃ¥ farten. FÃ¥ gladere borgere med. FÃ¥ gladere borgere med Miralix KontaktCenter. FÃ¥ den bedste start med dit KontaktCenter. Vores projektafdeling stÃ¥r klar til at hjÃ¦lpe dig godt igennem implementeringen af dit nye KontaktCenter, sÃ¥ du og dine kollegaer kan nyde fordelene fra fÃ¸rste dag. Kan man implementere et KontaktCenter uden at mÃ¸des fysisk. LÃ¦s her hvordan det gik, da konsulenthuset Progressive kom i gang 100% remote. Vil du styrke dine kompetencer, have ny viden og inspiration. SÃ¸ger du et KontaktCenter, som bÃ¥de medarbejdere og kunder vil elske. SÃ¥ er en Miralix-lÃ¸sning svaret.</t>
  </si>
  <si>
    <t>76 41 09 00</t>
  </si>
  <si>
    <t>+4526231345 | +4576410900 | +4576410979</t>
  </si>
  <si>
    <t>hd@miralix.com</t>
  </si>
  <si>
    <t>info@miralix.com</t>
  </si>
  <si>
    <t>http://www.nw.dk/</t>
  </si>
  <si>
    <t>https://www.facebook.com/miralix/</t>
  </si>
  <si>
    <t>mailto:info@miralix.com</t>
  </si>
  <si>
    <t>https://www.linkedin.com/company/miralix-a-s/</t>
  </si>
  <si>
    <t>page builders: bold page builder | cookie compliance: cookie control | javascript libraries: core-js | miscellaneous: rss | ui frameworks: bootstrap | wordpress plugins: bold page builder | web servers: empathy platform | operating systems: unix | javascript libraries: slick | seo: yoast seo | widgets: css | miscellaneous: twitter emoji (twemoji) | javascript libraries: magnific popup | cms: hubspot cms hub | font scripts: google font api | security: hsts | blogging platforms: wordpress | miscellaneous: http/3 | databases: mysql | issue trackers: really simple discovery | wordpress plugins: hubspot wordpress plugin | cms: site.com | analytics: hubspot analytics | miscellaneous: open graph | reverse proxies: envoy | reverse proxies: nunjucks | network devices: html | miscellaneous: jquery easing | cdn: jsdelivr | wordpress plugins: jetpack | web servers: apache | javascript libraries: goober | translation: wpml | seo tool: facebook friendly | wordpress plugins: embed any document | network devices: html5 | web servers: apache http server | miscellaneous: facebook | javascript libraries: imagesloaded | cms: wordpress | blogs: wordpress | web server extensions: openssl | wordpress themes: bold themes | geolocation: twitter cards | tag managers: google tag manager | miscellaneous: linkedin | cookie compliance: cookiebot | javascript libraries: jquery | wordpress plugins: wpml | widgets: javascript | form builders: contact form 7 | font scripts: twitter emoji (twemoji) | marketing automation: hubspot | cdn: cloudflare | widgets: embed any document | wordpress plugins: yoast seo | programming languages: php | javascript libraries: jquery migrate | security: cloudflare bot management | wordpress plugins: contact form 7 | javascript frameworks: jquery | analytics: google analytics | wordpress plugins: ivory search</t>
  </si>
  <si>
    <t>2020-06-24T16:07:31.000Z</t>
  </si>
  <si>
    <t>MIXPANEL, INC.</t>
  </si>
  <si>
    <t>cd4156d5-93e4-11eb-91fb-73d498260b10</t>
  </si>
  <si>
    <t>Mixpanel</t>
  </si>
  <si>
    <t>Mixpanel Inc. | MIXPANEL S.L. | MIXPANEL UK LIMITED.</t>
  </si>
  <si>
    <t>Ferry Plaza</t>
  </si>
  <si>
    <t>US, United States, California, San Francisco, 94105, The Embarcadero, 2, 37.78696354322504, -122.38811184041916 | ES, Spain, Catalonia, Barcelona, 08037, Passeig de GrÃ cia (lateral Llobregat), 442, 41.3959412, 2.1599423 | GB, United Kingdom, England, London, W1T 3LA, Berners Street, 1-2, 51.51632145, -0.1359087630528482</t>
  </si>
  <si>
    <t>Get a complete view of your customers with Mixpanel digital analytics. Track, analyze, and act on user behavior to drive acquisition, growth, and retention.</t>
  </si>
  <si>
    <t>product analytics; user behaviour; SaaS; event tracking; dashboards</t>
  </si>
  <si>
    <t>San Francisco-based provider of self-serve product analytics.</t>
  </si>
  <si>
    <t>Mixpanel, Inc. is a product analytics company headquartered in San Francisco that offers a self-serve analytics platform. It enables product and growth teams to track events, analyse user behaviour and build dashboards and cohorts to improve digital products.</t>
  </si>
  <si>
    <t>analytics; user behaviour; event-based tracking; SaaS; product optimisation</t>
  </si>
  <si>
    <t>Analytics &amp; Data Platforms</t>
  </si>
  <si>
    <t>Product and user analytics software</t>
  </si>
  <si>
    <t>(415) 688-4001</t>
  </si>
  <si>
    <t>support@mixpanel.com</t>
  </si>
  <si>
    <t>security@mixpanel.com | legal@mixpanel.com | support@mixpanel.com | compliance@mixpanel.com</t>
  </si>
  <si>
    <t>success@mixpanel.com | grc@mixpanel.com</t>
  </si>
  <si>
    <t>https://mixpanel.com/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</si>
  <si>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</si>
  <si>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</si>
  <si>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</si>
  <si>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</si>
  <si>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2019-11-24T00:10:02.000Z</t>
  </si>
  <si>
    <t>MNEMONIC AS</t>
  </si>
  <si>
    <t>b86d48c0-b500-11ec-92c5-7f4ee7009bc8</t>
  </si>
  <si>
    <t>mnemonic AS</t>
  </si>
  <si>
    <t>mnemonic AS.</t>
  </si>
  <si>
    <t>Henrik Ibsens gate</t>
  </si>
  <si>
    <t>NO, Norway, Oslo, Oslo, 0255, Henrik Ibsens gate, 100, 59.914391, 10.718977 | NO, Norway, TrÃ¸ndelag,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Ã˜restads Boulevard, 73, 55.632249, 12.581176 | SE, Sweden, Stockholm County, Sundbyberg, 172 61, Vasagatan, 14a, 59.3626631, 17.962798 | US, United States, California, Palo Alto, 94063, Jefferson Avenue, 541, 37.48937975, -122.22816426409707</t>
  </si>
  <si>
    <t>Australian musical group</t>
  </si>
  <si>
    <t>cybersecurity; managed security services; SOC; threat detection; incident response</t>
  </si>
  <si>
    <t>Oslo-based managed security and cybersecurity services provider.</t>
  </si>
  <si>
    <t>mnemonic helps businesses manage their security risks, protect their data and defend against cyber threats.</t>
  </si>
  <si>
    <t>managed security; SOC; threat intelligence; penetration testing; security consulting</t>
  </si>
  <si>
    <t>Managed security and cybersecurity consulting</t>
  </si>
  <si>
    <t>Computer Related Services, Not Elsewhere Classified</t>
  </si>
  <si>
    <t>Software Developers (Pre-Packaged) | Software Developers (Custom) | Management Consultants | Operations Consultants | Burglar / Fire Alarm Installation (No Monitoring)</t>
  </si>
  <si>
    <t>Other information technology and computer service activities</t>
  </si>
  <si>
    <t>891801 | 891802 | 641401 | 641403 | 173103</t>
  </si>
  <si>
    <t>23 20 47 00</t>
  </si>
  <si>
    <t>+4723204747 | +4684448990 | +4551926578 | +16502414550 | +4723202825 | +442039730036 | +4723204700 | +31308994019</t>
  </si>
  <si>
    <t>contact@mnemonic.io</t>
  </si>
  <si>
    <t>jonrog-web@mnemonic.io</t>
  </si>
  <si>
    <t>https://www.mnemonic.io/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</si>
  <si>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</si>
  <si>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</si>
  <si>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</si>
  <si>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</si>
  <si>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</si>
  <si>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2022-04-12T21:39:44.000Z</t>
  </si>
  <si>
    <t>MobilePeople ApS</t>
  </si>
  <si>
    <t>a112cce1-0fd4-11ec-bad9-ebcc1813e8d3</t>
  </si>
  <si>
    <t>Mobile People Solution A / S</t>
  </si>
  <si>
    <t>Mobilepeople ApS.</t>
  </si>
  <si>
    <t>MobilePeople</t>
  </si>
  <si>
    <t>Lyskær</t>
  </si>
  <si>
    <t>8a</t>
  </si>
  <si>
    <t>DK, Denmark, Capital Region of Denmark, Herlev, 2730, LyskÃ¦r, 8A, 55.7145601, 12.433414800000001</t>
  </si>
  <si>
    <t>Danish IT company developing mobility and payment-related software solutions, including apps and platforms for public transport and city services.</t>
  </si>
  <si>
    <t>mobility solutions; mobile apps; public transport; payments; IT services</t>
  </si>
  <si>
    <t>Herlev-based IT company providing mobility and payment solutions.</t>
  </si>
  <si>
    <t>MobilePeople ApS is a Danish IT company that develops and operates mobility and payment solutions, including mobile applications and platforms that support public transport, city services and digital transactions for businesses and public organisations.</t>
  </si>
  <si>
    <t>mobility software; ticketing apps; city services; payment solutions; Xamarin/.NET development</t>
  </si>
  <si>
    <t>Mobility &amp; Payment Software</t>
  </si>
  <si>
    <t>Mobility applications and digital payment solutions</t>
  </si>
  <si>
    <t>70 13 13 70</t>
  </si>
  <si>
    <t>+4521700151 | +4525459777 | +4561227375 | +4541022930 | +4570888369 | +4570131370</t>
  </si>
  <si>
    <t>info@mobilepeople.com</t>
  </si>
  <si>
    <t>http://www.mobilepeople.dk/</t>
  </si>
  <si>
    <t>https://www.facebook.com/MobilePeople/</t>
  </si>
  <si>
    <t>https://twitter.com/MobilePeoplecom</t>
  </si>
  <si>
    <t>http://www.linkedin.com/company/mobilepeople</t>
  </si>
  <si>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</si>
  <si>
    <t>2021-09-07T10:26:54.000Z</t>
  </si>
  <si>
    <t>MOBILEUM, INC.</t>
  </si>
  <si>
    <t>5577f372-a5dd-11ef-aeae-313c0af7c979</t>
  </si>
  <si>
    <t>Mobileum, Inc.</t>
  </si>
  <si>
    <t>Mobileum Inc.</t>
  </si>
  <si>
    <t>Mobileum</t>
  </si>
  <si>
    <t>Cupertino</t>
  </si>
  <si>
    <t>Stevens Creek Boulevard</t>
  </si>
  <si>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Î‘Î»ÎµÎ¾Î¬Î½Î´ÏÎ±Ï‚, 128, 37.9893792, 23.7461529 | MY, Malaysia, Kuala Lumpur, Kuala Lumpur, 50250, Jalan Sultan Ismail, , 3.1539445, 101.7075265 | DE, Germany, Bavaria, Nuremberg, 90411, KlingenhofstraÃŸe, 50d, 49.4749074, 11.1070074 | PT, Portugal, Lisbon, Lisbon, 1050-233, Rua Viriato, 13b, 38.7296967, -9.1485493</t>
  </si>
  <si>
    <t>Mobileum delivers analytics solutions that generate revenues, reduce costs and accelerate digital transformation. Find everything here.</t>
  </si>
  <si>
    <t>telecom analytics; roaming; fraud management; risk management; network analytics</t>
  </si>
  <si>
    <t>Cupertino-headquartered telecom analytics and risk management software vendor.</t>
  </si>
  <si>
    <t>Mobileum, Inc. is a telecom analytics company headquartered in Silicon Valley that provides software for roaming management, core network analytics, revenue assurance, fraud management, security and testing to mobile and fixed communications service providers worldwide.</t>
  </si>
  <si>
    <t>roaming analytics; fraud detection; revenue assurance; 5G analytics; Active Intelligence platform</t>
  </si>
  <si>
    <t>Telecom Analytics &amp; Risk Software</t>
  </si>
  <si>
    <t>Analytics and risk management software for telecom operators</t>
  </si>
  <si>
    <t>(408) 844-6600</t>
  </si>
  <si>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</si>
  <si>
    <t>carlos.marques@mobileum.com</t>
  </si>
  <si>
    <t>http://www.mobileum.com/</t>
  </si>
  <si>
    <t>https://www.facebook.com/pages/WeDo-Technologies/179999035352035/</t>
  </si>
  <si>
    <t>https://twitter.com/mobileum_</t>
  </si>
  <si>
    <t>https://www.instagram.com/mobileum_/</t>
  </si>
  <si>
    <t>https://www.linkedin.com/company/mobileum/</t>
  </si>
  <si>
    <t>https://www.youtube.com/user/RoamwareTeam/featured</t>
  </si>
  <si>
    <t>2024-11-02T10:09:31.000Z</t>
  </si>
  <si>
    <t>MODULEX DANMARK A/S</t>
  </si>
  <si>
    <t>40e47543-93e5-11eb-8ad6-7326edce8d21</t>
  </si>
  <si>
    <t>Modulex</t>
  </si>
  <si>
    <t>Modulex A/S.</t>
  </si>
  <si>
    <t>Modulex | Modulex Denmark | Modulex Group | Modulex Carolinas</t>
  </si>
  <si>
    <t>Billund</t>
  </si>
  <si>
    <t>Kløvervej</t>
  </si>
  <si>
    <t>95 A</t>
  </si>
  <si>
    <t>DK, Denmark, Region of Southern Denmark, Billund, 7190, KlÃ¸vervej, 95, 55.718506, 9.126873 | GB, United Kingdom, England, Nottingham, NG17 7LE, Unity Road, , 53.1096005, -1.2406964 | US, United States, Florida, Miami, 33132, Northeast 1st Avenue, 14, 25.78108281632653, -80.19206640816327 | SE, Sweden, Stockholm County, Stockholms kommun, 125 81, KonsumentvÃ¤gen,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SchreyerstraÃŸe, 21a, 49.44501495361328, 11.059124946594238 | NL, Netherlands, South Holland, Hillegom, 2181 MH, Satellietbaan, 4n 2181 mh, 52.3021804, 4.5843548</t>
  </si>
  <si>
    <t>Our Billund factory produces modular signage systems and durable, eco-friendly materials. Designed for flexibility, built for sustainability.</t>
  </si>
  <si>
    <t>signage; wayfinding; visual communication; architectural signs; branded environments</t>
  </si>
  <si>
    <t>Billund-based provider of signage and wayfinding solutions.</t>
  </si>
  <si>
    <t>Modulex Danmark A/S designs, manufactures and installs interior and exterior signage, wayfinding systems and visual communication solutions for corporate offices, public buildings, hospitals, educational institutions and retail environments across Denmark.</t>
  </si>
  <si>
    <t>architectural signage; digital wayfinding; brand implementation; exterior signs; interior signs</t>
  </si>
  <si>
    <t>Signage &amp; Wayfinding</t>
  </si>
  <si>
    <t>Design and manufacture of signage and wayfinding systems</t>
  </si>
  <si>
    <t>Manufacturing / Professional Services</t>
  </si>
  <si>
    <t>Signs and Advertising Specialties</t>
  </si>
  <si>
    <t>Signs Manufacturing (No Plastic) | Signs - Installation (low rise - 3 stories or less) | Commercial Printing | Signs Manufacturing (Plastic) | Advertising Sign Rental &amp; Lease</t>
  </si>
  <si>
    <t>Other manufacturing n.e.c.</t>
  </si>
  <si>
    <t>359601 | 153201 | 275001 | 307101 | 731101</t>
  </si>
  <si>
    <t>72 19 30 00</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</si>
  <si>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</si>
  <si>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</si>
  <si>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</si>
  <si>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https://modulex.com/billund/</t>
  </si>
  <si>
    <t>https://www.facebook.com/modulexsigns/</t>
  </si>
  <si>
    <t>https://modulex.com/</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</si>
  <si>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</si>
  <si>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</si>
  <si>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</si>
  <si>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2019-11-24T01:36:17.000Z</t>
  </si>
  <si>
    <t>Monday. Kum Ltd.</t>
  </si>
  <si>
    <t>0c78cf9d-93e5-11eb-86dd-ffbd1b53140e</t>
  </si>
  <si>
    <t>monday.com</t>
  </si>
  <si>
    <t>monday Ltd.</t>
  </si>
  <si>
    <t>Monday | mondayDB | MONDAY LTD. Tel Aviv</t>
  </si>
  <si>
    <t>IL</t>
  </si>
  <si>
    <t>Israel</t>
  </si>
  <si>
    <t>Tel Aviv District</t>
  </si>
  <si>
    <t>Tel Aviv-Yafo</t>
  </si>
  <si>
    <t>Yitzhak Sadeh Street</t>
  </si>
  <si>
    <t>IL, Israel, Tel Aviv District, Tel Aviv-Yafo, 6777506, Yitzhak Sadeh, 6, 32.0649188, 34.7889358 | US, United States, New York, New York, 10003, East 18th Street, 111, 40.7369941, -73.9879697 | BR, Brazil, SÃ£o Paulo, SÃ£o Paulo, 04576-130, Avenida das NaÃ§Ãµes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</si>
  <si>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Streamline workflows across projects, CRM, IT, and development and gain clear visibility to make strategic decisions with confidence.</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</si>
  <si>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</si>
  <si>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</si>
  <si>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</si>
  <si>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</si>
  <si>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</si>
  <si>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</si>
  <si>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</si>
  <si>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</si>
  <si>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</si>
  <si>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</si>
  <si>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https://www.facebook.com/mondaydotcom</t>
  </si>
  <si>
    <t>https://twitter.com/mondaydotcom</t>
  </si>
  <si>
    <t>https://www.instagram.com/mondaydotcom</t>
  </si>
  <si>
    <t>https://www.linkedin.com/company/2525169</t>
  </si>
  <si>
    <t>https://itunes.apple.com/app/id1290128888</t>
  </si>
  <si>
    <t>https://play.google.com/store/apps/details?id=com.monday.monday</t>
  </si>
  <si>
    <t>https://www.youtube.com/watch?v=OU1IVTMX4ZI</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</si>
  <si>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</si>
  <si>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2019-11-24T03:27:42.000Z</t>
  </si>
  <si>
    <t>Mustika Teratai Sdn. Bhd.</t>
  </si>
  <si>
    <t>b67a2282-e926-11ed-bb20-d929ca7b3418</t>
  </si>
  <si>
    <t>Johor Bahru</t>
  </si>
  <si>
    <t>Jalan Harmoni 3/8</t>
  </si>
  <si>
    <t>27-01</t>
  </si>
  <si>
    <t>MY, Malaysia, Johor, Johor Bahru, 81100, Jalan Harmoni 3/8, 27, 1.5195504, 103.79521559999999</t>
  </si>
  <si>
    <t>Malaysian engineering contractor specialising in installation and maintenance of telecommunication cables and related infrastructure.</t>
  </si>
  <si>
    <t>telecom cables; engineering contractor; horizontal directional drilling; infrastructure; construction</t>
  </si>
  <si>
    <t>Johor Bahru-based contractor for telecommunication cable and infrastructure works.</t>
  </si>
  <si>
    <t>Mustika Teratai Sdn. Bhd. is a Bumiputera engineering contractor based in Johor Bahru, Malaysia. The company focuses on installation and maintenance of telecommunication cables and related infrastructure, including horizontal directional drilling and other civil works for telecom networks and utilities.</t>
  </si>
  <si>
    <t>telco infrastructure; underground cabling; HDD drilling; civil works; maintenance services</t>
  </si>
  <si>
    <t>Telecom Infrastructure Construction</t>
  </si>
  <si>
    <t>Construction of telecommunication cable infrastructure</t>
  </si>
  <si>
    <t>07-357 6714</t>
  </si>
  <si>
    <t>2023-05-02T20:18:17.434Z</t>
  </si>
  <si>
    <t>NAGARRO AS</t>
  </si>
  <si>
    <t>1c63d2ba-93e5-11eb-9937-4fab995bf8ff</t>
  </si>
  <si>
    <t>Nagarro</t>
  </si>
  <si>
    <t>Nagarro | Nagarro SE | Nagarrians</t>
  </si>
  <si>
    <t>Kongens gate</t>
  </si>
  <si>
    <t>DE, Germany, Bavaria, Munich, 81379, Baierbrunner StraÃŸe, 15, 48.0986707, 11.5337706 | US, United States, California, San Jose, 95112, North 1st Street, 1737, 37.3733939, -121.9182157 | IN, India, Uttar Pradesh, Gwari, 226010, Capt. Manoj Pandey Chauraha, , 26.8545022, 80.9943769 | IN, India, Haryana, Gurgaon, 122015, , , 28.37068916, 77.01547936 | CH, Switzerland, Zurich, Zurich, 8002, Tessinerplatz, 7, 47.3641476, 8.532072 | RO, Romania, BraÈ™ov, BraÈ™ov, 500152, Strada Turnului, 5, 45.665343, 25.612530962324627 | US, United States, New York, New York, 10007, Vesey Street, 30, 40.7121134, -74.0098949 | LK, Sri Lanka, Western Province, Colombo, 01000, Trace Lane, , 6.9294419000000005, 79.8617028171021 | RO, Romania, Cluj, Cluj-Napoca, 400145, Strada SomeÈ™ului, 14, 46.7775455, 23.5944366 | IN, India, West Bengal, Sector V, 700091, , , 22.576500691525425, 88.4301374322034</t>
  </si>
  <si>
    <t>A digital product engineering leader, Nagarro drives technology-led business breakthroughs for industry leaders and challengers through agility and innovation.</t>
  </si>
  <si>
    <t>Artificial Intelligence Solutions | Iot Solutions Provider | Customer Experience Design | IT Strategy and Operations | Managed IT Services | Cloud Computing Services | Cybersecurity Services | Agile Transformation Services | Enterprise Software Development | ERP System Implementation | Digital Product Engineering | Data Analytics Solutions | E-commerce Platform Development | Quality Assurance Testing | Business Consulting Services</t>
  </si>
  <si>
    <t>We excel at digital engineering and help our clients become human-centric, digital-first organizations, augmenting their ability to be responsive, efficient, intimate, creative, and sustainable.</t>
  </si>
  <si>
    <t>Nagarro SE is a German IT service provider based in Munich, Bavaria, Germany. The company was founded in 2020 as a spin-off of Allgeier SE. The company has been listed on the Frankfurt stock exchange since December 2020. Nagarro was included in the SDAX index in June 2021 and in the TecDAX of Deutsche BÃ¶rse in December 2021. The company's activities include digital products and IT services, particularly for the automotive, energy and telecommunications industries.</t>
  </si>
  <si>
    <t>Business Transformation Consulting | Technology Consultants | Site Reliability Engineering | Application Management Services | Enterprise Architecture Consulting | Digital Product Development | Digital Experience | Identity Access Management</t>
  </si>
  <si>
    <t>Management Consultants | Operations Consultants | Marketing Consultants | Information Technology Consultants | Software Developers (Pre-Packaged)</t>
  </si>
  <si>
    <t>641401 | 641403 | 641405 | 641411 | 891801</t>
  </si>
  <si>
    <t>40 00 17 66</t>
  </si>
  <si>
    <t>+81368617699 | +4989758000282 | +918920500500 | +4961737828578 | +4687513548 | +43140958900 | +14084366170 | +447880319702 | +19054979604 | +49897850000 | +528112537200 | +12153934616 | +16786941358 | +16469785175 | +40372343400 | +4588178118</t>
  </si>
  <si>
    <t>ir@nagarro.com</t>
  </si>
  <si>
    <t>press@nagarro.com</t>
  </si>
  <si>
    <t>http://www.nagarro.com/</t>
  </si>
  <si>
    <t>https://www.facebook.com/nagarroinc/</t>
  </si>
  <si>
    <t>https://twitter.com/nagarro</t>
  </si>
  <si>
    <t>https://www.instagram.com/lifeatnagarro/</t>
  </si>
  <si>
    <t>https://www.linkedin.com/company/nagarro</t>
  </si>
  <si>
    <t>https://www.youtube.com/user/nagarrovideos</t>
  </si>
  <si>
    <t>page builders: hubspot | analytics: matomo analytics | widgets: twitter | javascript libraries: lit-html | cdn: unpkg | programming languages: typescript | javascript libraries: webp | lead generation: hubspot lead flows | web servers: empathy platform | lead generation: hubspot forms | miscellaneous: foresee results | live chat: hubspot chat | javascript libraries: slick | javascript frameworks: zone.js | widgets: css | javascript frameworks: react | a/b testing: hubspot | ui frameworks: animate.css | cdn: cdnjs | lead generation: hubspot | cms: hubspot cms hub | font scripts: google font api | miscellaneous: lottiefiles | marketing automation: hubspot call to actions | security: hsts | analytics: piwik | miscellaneous: http/3 | video players: youtube | font scripts: youtube iframe embed | javascript libraries: jquery - 1.11.2 | cms: site.com | widgets: facebook | analytics: hubspot analytics | javascript frameworks: angular | miscellaneous: open graph | reverse proxies: envoy | analytics: hubspot | network devices: html | miscellaneous: jquery easing | javascript libraries: goober | seo tool: facebook friendly | analytics: matomo | marketing automation: hubspot forms | javascript frameworks: slick | network devices: html5 | website builders: hubspot cos | miscellaneous: facebook | tag managers: google tag manager | blogging platforms: hubspot | miscellaneous: linkedin | javascript libraries: jquery | retargeting: facebook | crm: hubspot | widgets: javascript | seo tool: twitter friendly | widgets: linkedin | javascript libraries: lit-element | marketing automation: hubspot | javascript libraries: preact | lead generation: hubspot call to actions | cdn: cloudflare | cms: hubspot cos | web frameworks: html5 | security: cloudflare bot management | miscellaneous: instagram | marketing automation: hubspot lead flows | javascript frameworks: jquery | analytics: google analytics | cookie compliance: hubspot cookie policy banner</t>
  </si>
  <si>
    <t>2019-11-24T03:47:08.000Z</t>
  </si>
  <si>
    <t>NAGARRO ENTERPRISE SERVICES PRIVATE LIMITED</t>
  </si>
  <si>
    <t>3038e1e5-f85b-11ed-b4e8-e74dfe271a42</t>
  </si>
  <si>
    <t>Nagarro Enterprise Services</t>
  </si>
  <si>
    <t>Nagarro Hiring Team</t>
  </si>
  <si>
    <t>Delhi</t>
  </si>
  <si>
    <t>New Delhi</t>
  </si>
  <si>
    <t>West</t>
  </si>
  <si>
    <t>IN, India, Delhi, North East Delhi, 110032, Nalae Wali Gali, 10, 28.6865527, 77.2922157</t>
  </si>
  <si>
    <t>Nagarro Hiring Team is a company categorized under information services. It is based in North East Delhi, India.</t>
  </si>
  <si>
    <t>Employment Placement Agency Services | Information Services</t>
  </si>
  <si>
    <t>Software Development</t>
  </si>
  <si>
    <t>2023-05-22T04:41:48.581Z</t>
  </si>
  <si>
    <t>NEC CORPORATION</t>
  </si>
  <si>
    <t>c43c3a03-93e4-11eb-8e19-198fb02d6f96</t>
  </si>
  <si>
    <t>NEC</t>
  </si>
  <si>
    <t>NEC Corporation | Nippon Electronic Corporation | Nippon Electric Corporation | Nippon Denki Kabushiki Kaisha | NEC Electronics Corporation</t>
  </si>
  <si>
    <t>NEC Corporation of Malaysia | NEC Latin America | NEC | NEC Interchannel</t>
  </si>
  <si>
    <t>Minato City</t>
  </si>
  <si>
    <t>108-8001</t>
  </si>
  <si>
    <t>Shiba</t>
  </si>
  <si>
    <t>JP, Japan, Tokyo, Tokyo, 162-0825, Kagurazaka-dori, 1, 35.703075, 139.736873 | GB, United Kingdom, England, Ruislip, HA4 6QE, West End Road, , 51.5547694, -0.4046267 | VN, Vietnam, Há»“ ChÃ­ Minh City, Há»“ ChÃ­ Minh City, 72011, Cá»™ng HoÃ ,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</si>
  <si>
    <t>Japanese technology corporation</t>
  </si>
  <si>
    <t>ICT; telecommunications equipment; IT solutions; public safety; digital government</t>
  </si>
  <si>
    <t>Tokyo-headquartered global IT and electronics solutions provider.</t>
  </si>
  <si>
    <t>NEC Corporation is a Japanese multinational technology company that delivers information technology and network solutions, including communications systems, IT infrastructure, public safety and digital government solutions, to customers around the world.</t>
  </si>
  <si>
    <t>5G networks; communications systems; IT infrastructure; cloud services; public sector solutions</t>
  </si>
  <si>
    <t>ICT Equipment &amp; Solutions</t>
  </si>
  <si>
    <t>Information technology, networking and communications systems</t>
  </si>
  <si>
    <t>Retail - Electronics (Install / Repair Off Premises) | Retail - Electronics (Consumer / Office, No Off Premises Install/Repair) | Information Technology Consultants | Communication Equipment Installation - Commercial | Communication Equipment Installation - Residential</t>
  </si>
  <si>
    <t>571801 | 571401 | 641411 | 153402 | 153401</t>
  </si>
  <si>
    <t>03-3454-1111</t>
  </si>
  <si>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</si>
  <si>
    <t>recruitment@nec.vn</t>
  </si>
  <si>
    <t>contactcenter@la.nec.com | contactcenter@nec.com.br | vendas@la.nec.com | contactanos@la.nec.com | inquiry@nec.com.ph | vendas@nec.com.br | privacy@emea.nec.com | abc@nec.com</t>
  </si>
  <si>
    <t>nec-tmodus-general@emea.nec.com | necdpo@nec.com.sg</t>
  </si>
  <si>
    <t>https://jpn.nec.com/</t>
  </si>
  <si>
    <t>https://www.facebook.com/necjapan/</t>
  </si>
  <si>
    <t>https://twitter.com/NEC_corp</t>
  </si>
  <si>
    <t>https://www.instagram.com/nec_corp/</t>
  </si>
  <si>
    <t>https://www.linkedin.com/company/nec</t>
  </si>
  <si>
    <t>https://www.youtube.com/NEConlineTV</t>
  </si>
  <si>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</si>
  <si>
    <t>2019-11-24T01:31:04.000Z</t>
  </si>
  <si>
    <t>NEC CORPORATION OF MALAYSIA SDN. BHD.</t>
  </si>
  <si>
    <t>24db63d1-8aa4-11ec-9150-8d453a1e7910</t>
  </si>
  <si>
    <t>NEC Corporation of Malaysia Sdn Bhd</t>
  </si>
  <si>
    <t>NEC Corporation Of Malaysia Sdn. Bhd.</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</si>
  <si>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</si>
  <si>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</si>
  <si>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</si>
  <si>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</si>
  <si>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</si>
  <si>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</si>
  <si>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</si>
  <si>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</si>
  <si>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03-2299 6322</t>
  </si>
  <si>
    <t>+18477939600 | +6044211860</t>
  </si>
  <si>
    <t>http://my.nec.com/</t>
  </si>
  <si>
    <t>http://www.linkedin.com/company/nec-corporation-of-malaysia</t>
  </si>
  <si>
    <t>2022-02-07T06:37:34.000Z</t>
  </si>
  <si>
    <t>NEC Scandinavia Aktiebolag</t>
  </si>
  <si>
    <t>00fd0d71-93e5-11eb-9937-4fab995bf8ff</t>
  </si>
  <si>
    <t>NEC Scandinavia AB</t>
  </si>
  <si>
    <t>Swedish Match AB. | Svenska TÃ¤ndsticks AB.</t>
  </si>
  <si>
    <t>Swedish Match | Svenska TÃ¤ndsticksaktiebolaget | Swedish Match Aktiebolag | STAB</t>
  </si>
  <si>
    <t>SE, Sweden, Stockholm County, Stockholm, , , , ,  | DK, Denmark, Capital Region of Denmark, Copenhagen, 1360, Frederiksborggade, 4, 55.6828747, 12.573675299999998 | TR, Turkey, Istanbul, BeÅŸiktaÅŸ, 34340, AydÄ±n Sokak, no 4/9, 41.073491, 29.017779700000002 | SE, Sweden, VÃ¤stra GÃ¶taland County, Tidaholm, 522 30, VÃ¤stra DrottningvÃ¤gen, 11, 58.1768497, 13.9554609 | US, United States, Kentucky, Owensboro, 42302, Industrial Drive, 1121, 37.784752714285716, -87.15602408163265 | NO, Norway, Oslo, Oslo, 0250, Bryggegata, 9, 59.910636, 10.725937 | CH, Switzerland, Zug, Baar, 6340, Grabenstrasse, 25, 47.1867318, 8.5181463 | BR, Brazil, Rio de Janeiro, Rio de Janeiro, 22631-003, Avenida das AmÃ©ricas, , -23.0136752, -43.4626734 | US, United States, Virginia, Richmond, 23219, East Cary Street, 1021, 37.5362284, -77.4357071 | DK, Denmark, Capital Region of Denmark, Copenhagen, 1357, Ã˜restads Boulevard, 108, 55.627383, 12.577879</t>
  </si>
  <si>
    <t>Swedish Match, Copenhagen Office is a company operating in the food manufacturing supply sector. It is located in Copenhagen, Denmark.</t>
  </si>
  <si>
    <t>Tobacco Retail Services | Matchstick Production | Swedish Snus Producer | Chewing Tobacco Supplier | Nicotine Pouches Production | Tobacco Harm Reduction | Oral Nicotine Products | Tobacco Products Manufacturer | Lighters and Accessories</t>
  </si>
  <si>
    <t>Swedish Match develops, manufactures, and sells quality products with market leading brands in the product segments Smokefree, Cigars, and Lights.</t>
  </si>
  <si>
    <t>Swedish Match AB is a Swedish multinational tobacco company headquartered in Stockholm. The company manufactures snus, nicotine pouches, moist snuff, tobacco- and nicotine-free pouch products, chewing tobacco, chew bags, tobacco bits, cigars, matches, lighters, and other fire products with operations in Sweden, Denmark, the United States, the Dominican Republic, Brazil, the Netherlands, and the Philippines. The company's origins can be traced back to 1868, and Ivar Kreuger. Swedish Match has played an important part in Sweden's industrial development. In May 2022, Philip Morris launched a takeover bid for Swedish Match. Despite some shareholder resistance, by late November 2022 Philip Morris had acquired over 90% ownership, allowing it to begin the compulsory purchase of remaining shares and de-list Swedish Match from the stock market.</t>
  </si>
  <si>
    <t>Research and Development | Tobacco Products Manufacturing | Business Branding</t>
  </si>
  <si>
    <t>All Other Miscellaneous Crop Farming</t>
  </si>
  <si>
    <t>Cigar &amp; Tobacco Stores</t>
  </si>
  <si>
    <t>Tobacco</t>
  </si>
  <si>
    <t>FB-TB</t>
  </si>
  <si>
    <t>FB.5</t>
  </si>
  <si>
    <t>Tobacco and Tobacco Products (merchant wholesalers except those selling tobacco and tobacco products via retail method)</t>
  </si>
  <si>
    <t>Newspaper / Magazine Publishing / Printing | Retail - Convenience / Variety / Tobacco Store | Glass / Ceramics / Porcelain Products Manufacturing (No Glassware) | Retail - China / Crockery / Glassware / Giftware | Wholesale - Tobacco Products</t>
  </si>
  <si>
    <t>Wholesale of food, beverages and tobacco</t>
  </si>
  <si>
    <t>46.31 | 46.32 | 46.39 | 46.35 | 46.33 | 46.34 | 46.38 | 46.36 | 46.37</t>
  </si>
  <si>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</si>
  <si>
    <t>271001 | 599101 | 328101 | 525901 | 508001</t>
  </si>
  <si>
    <t>010-214 86 00</t>
  </si>
  <si>
    <t>+31592376888 | +46101393500 | +552125221980 | +13347937289 | +4684405940 | +31592342139 | +46101393001 | +4587706031 | +4722727240 | +18047875100 | +63495440770 | +4566157117 | +18095754313 | +4650216500 | +552122279600 | +12706857353 | +63495400136 | +46101393003 | +46498200990 | +18095754300 | +902122753375 | +46101393000 | +46101393002 | +13347127826 | +4565930767 | +4587706030 | +18042257000 | +4570231021 | +12706857200</t>
  </si>
  <si>
    <t>info@swedishmatch.com.tr</t>
  </si>
  <si>
    <t>contactus@swedishmatch.com | store.stureplan@swedishmatch.com | info.smindustries@swedishmatch.com | store.nordby@swedishmatch.com | store.avenyn@swedishmatch.com | info@swedishmatch.com.tr | store.are@swedishmatch.com | store.lund@swedishmatch.com | store.morast@swedishmatch.com</t>
  </si>
  <si>
    <t>imagebank@swedishmatch.com | silkeborg@swedishmatch.com | tryggve.ljung@swedishmatch.com</t>
  </si>
  <si>
    <t>http://www.swedishmatch.com/</t>
  </si>
  <si>
    <t>https://www.facebook.com/snus.swedishmatch/</t>
  </si>
  <si>
    <t>https://twitter.com/Swedish_Match</t>
  </si>
  <si>
    <t>https://www.linkedin.com/company/swedish-match</t>
  </si>
  <si>
    <t>cookie compliance: cookie control | javascript frameworks: requirejs | web servers: .net framework | ssl/tls certificate authorities: aws certificate manager | ui frameworks: pure css | analytics: hotjar | ui frameworks: bootstrap | paas: azure | web servers: empathy platform | javascript frameworks: alpine.js | web frameworks: bootstrap | security: recaptcha | video players: videojs | web servers: azure app service | widgets: css | web frameworks: microsoft asp.net | paas: amazon web services | web frameworks: microsoft asp.net - 4.0.30319 | cdn: cdnjs | javascript frameworks: jquery mousewheel | security: hsts | miscellaneous: http/3 | javascript libraries: jquery - 1.11.2 | web servers: iis - 8.5 | web frameworks: blazor | widgets: browser-update.org | javascript libraries: select2 | cdn: google hosted libraries | miscellaneous: open graph | web frameworks: pure css | video players: jw player | network devices: html | miscellaneous: jquery easing | cdn: jsdelivr | font scripts: font awesome | javascript libraries: jquery ui | web servers: schannel | web servers: apache | operating systems: windows server | seo tool: facebook friendly | javascript frameworks: requirejs - 2.1.18 | network devices: html5 | web servers: apache http server | javascript frameworks: fancybox | javascript libraries: browser-update.org | javascript frameworks: jquery ui | javascript libraries: fancybox | web servers: iis | tag managers: google tag manager | cookie compliance: cookiebot | javascript libraries: jquery | widgets: javascript | javascript libraries: jquery.scrollto | cookie compliance: cookiebot - 1 | seo tool: twitter friendly | cdn: cloudflare | programming languages: php | javascript frameworks: jquery | analytics: google analytics</t>
  </si>
  <si>
    <t>2019-11-24T10:41:44.000Z</t>
  </si>
  <si>
    <t>NEMTILMELD.DK ApS</t>
  </si>
  <si>
    <t>0cf1a919-93e5-11eb-86dd-ffbd1b53140e</t>
  </si>
  <si>
    <t>NemTilmeld</t>
  </si>
  <si>
    <t>DK, Denmark, North Denmark Region, NÃ¸rresundby, 9400, StrÃ¸mmen, 6, 57.086217000000005, 9.958221 | DK, Denmark, Central Denmark Region, Aarhus, 8000, Fredens Torv, 8, 56.154226, 10.209574 | DK, Denmark, Capital Region of Denmark, Copenhagen, 1300, Borgergade, 28, 55.685156, 12.586633 | DK, Denmark, Region of Southern Denmark, Vejen, 6600, KongevÃ¦nget, 21, 55.458127, 9.100739 | DK, Denmark, North Denmark Region, Aalborg, 9000, Under Lien, 15, 57.039527, 9.870769 | DK, Denmark, North Denmark Region, Thisted Municipality, 7770, Aalumvej, , 56.7859375, 8.2335953 | DK, Denmark, Region of Southern Denmark, Assens Municipality, 5560, KirsebÃ¦rhaven, 85, 55.37322, 10.061519 | DK, Denmark, Region of Southern Denmark, Kolding Municipality, 6580, GrÃ¸nforten, 2, 55.405931, 9.414755 | DK, Denmark, Region Zealand, NÃ¦stved, 4700, Riddergade, 7 1, 55.2294522, 11.7600416</t>
  </si>
  <si>
    <t>Et nemt tilmeldingssystem for organisationer der løbende holder arrangementer, som automatiserer tilmeldingen og betalingen, og sikrer overblikket over organisationens arrangementer.</t>
  </si>
  <si>
    <t>event registration; ticketing; SaaS; hosting; online platform</t>
  </si>
  <si>
    <t>Nørresundby-based provider of online event registration and ticketing services.</t>
  </si>
  <si>
    <t>NEMTILMELD.DK ApS develops, operates and markets NemTilmeld, an online system that handles registration, payments and communication for events ranging from small meetings to large conferences, supported by IT infrastructure, hosting and related services.</t>
  </si>
  <si>
    <t>event management platform; online payments; registration system; SaaS; IT hosting</t>
  </si>
  <si>
    <t>Event Registration &amp; Ticketing Platforms</t>
  </si>
  <si>
    <t>Online event registration and IT hosting services</t>
  </si>
  <si>
    <t>Software Developers (Pre-Packaged) | Software Developers (Custom) | Management Consultants | Professional Associations | Technology Customer Support Services (For others)</t>
  </si>
  <si>
    <t>891801 | 891802 | 641401 | 862001 | 740809</t>
  </si>
  <si>
    <t>70 40 40 70</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</si>
  <si>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</si>
  <si>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</si>
  <si>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</si>
  <si>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</si>
  <si>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http://www.nemtilmeld.dk/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</si>
  <si>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</si>
  <si>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</si>
  <si>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</si>
  <si>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</si>
  <si>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Nepa AB</t>
  </si>
  <si>
    <t>b1c3fc50-93e4-11eb-a736-0f5b20ecb2f1</t>
  </si>
  <si>
    <t>Nepa Sweden AB</t>
  </si>
  <si>
    <t>Nepa Sweden AB. | Nepa AB.</t>
  </si>
  <si>
    <t>SE, Sweden, Stockholm County, Stockholm, 118 53, Maria Skolgata, 83, 59.3148577, 18.0541303</t>
  </si>
  <si>
    <t>Swedish consumer research and analytics company providing marketing intelligence and customer insight solutions.</t>
  </si>
  <si>
    <t>consumer research; marketing analytics; customer insights; brand tracking; market research</t>
  </si>
  <si>
    <t>Stockholm-based provider of data-driven consumer research and marketing intelligence.</t>
  </si>
  <si>
    <t>Nepa AB is a Sweden-based company that combines market research with analytics to deliver marketing intelligence, brand tracking and customer experience insights. The company helps clients make data-driven decisions through its Consumer Science Platform and tailored research solutions.</t>
  </si>
  <si>
    <t>customer experience; brand tracking; campaign evaluation; marketing mix modelling; survey panels</t>
  </si>
  <si>
    <t>Market Research &amp; Analytics</t>
  </si>
  <si>
    <t>Consumer research, customer insights and marketing analytics</t>
  </si>
  <si>
    <t>08-400 268 00</t>
  </si>
  <si>
    <t>+18603457323 | +46840026800</t>
  </si>
  <si>
    <t>hello@nepa.com</t>
  </si>
  <si>
    <t>security@nepa.com | hello@nepa.com | ir@nepa.com | privacy@nepa.com | dpo@nepa.com | hr@nepa.com</t>
  </si>
  <si>
    <t>https://nepa.com/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</si>
  <si>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</si>
  <si>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</si>
  <si>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</si>
  <si>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</si>
  <si>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2019-11-24T00:31:14.000Z</t>
  </si>
  <si>
    <t>NERAS DIREKTE AS</t>
  </si>
  <si>
    <t>a19f2484-93e4-11eb-b4a6-27899be4e45d</t>
  </si>
  <si>
    <t>Eneas Energy AS</t>
  </si>
  <si>
    <t>Neras Direkte AS | Neras Direkte</t>
  </si>
  <si>
    <t>Ole Steens gate</t>
  </si>
  <si>
    <t>Norwegian outbound sales and business services company focusing on concept development, sales processes and telemarketing services.</t>
  </si>
  <si>
    <t>outbound sales; telemarketing; business services; sales processes; lead generation</t>
  </si>
  <si>
    <t>Norwegian outbound sales centre providing sales and telemarketing services.</t>
  </si>
  <si>
    <t>Neras Direkte AS is a Norwegian company that operates outbound sales centres and delivers sales-related services, including concept development, strategy, telemarketing and lead generation for clients in various industries.</t>
  </si>
  <si>
    <t>telemarketing; appointment setting; outbound campaigns; sales consulting; customer acquisition</t>
  </si>
  <si>
    <t>Sales &amp; Telemarketing Services</t>
  </si>
  <si>
    <t>Outbound sales and telemarketing services</t>
  </si>
  <si>
    <t>Business Services, Not Elsewhere Classified</t>
  </si>
  <si>
    <t>32 24 26 80</t>
  </si>
  <si>
    <t>+4774604262 | +4774604662 | +4795195940</t>
  </si>
  <si>
    <t>post@nerasdirekte.no</t>
  </si>
  <si>
    <t>https://nerasdirekte.no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</si>
  <si>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</si>
  <si>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</si>
  <si>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2020-02-25T15:21:46.000Z</t>
  </si>
  <si>
    <t>Nestor Cables Oy</t>
  </si>
  <si>
    <t>83ad4797-93e4-11eb-97db-273ba5953680</t>
  </si>
  <si>
    <t>Nestor Cables Ltd</t>
  </si>
  <si>
    <t>Nestor Cables</t>
  </si>
  <si>
    <t>Mittarikuja</t>
  </si>
  <si>
    <t>FI, Finland, North Ostrobothnia, Oulu, 90620, Mittarikuja, 5, 65.0538649, 25.595487099999996 | EE, Estonia, Harju maakond, Keila, 76606, Paldiski mnt, 31, 59.3161606, 24.403534533959686</t>
  </si>
  <si>
    <t>Nestor Cables tarjoaa testatut valokuitukaapelit ja tarvikkeet taajamiin, kyliin ja kiinteistöihin – suomalaisella laadulla ja asiantuntemuksella.</t>
  </si>
  <si>
    <t>Telecommunications Services | Ready-made Solutions for Various Applications | Manufacturing | Fiber Optic Cables Manufacturer | Cca Fire Class C Cables | Data Networks Manufacturer | Cable Manufacturing</t>
  </si>
  <si>
    <t>Nestor Cables on kotimainen valokaapeleiden ja kuparikaapeleiden sekÃ¤ muiden valokuituverkon tarvikkeiden valmistaja.</t>
  </si>
  <si>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</si>
  <si>
    <t>Cables &amp; Wires</t>
  </si>
  <si>
    <t>Drawing and Insulating of Nonferrous Wire (fiber optic cable-insulating only)</t>
  </si>
  <si>
    <t>020 7912770</t>
  </si>
  <si>
    <t>info@nestorcables.fi</t>
  </si>
  <si>
    <t>http://www.nestorcables.fi/</t>
  </si>
  <si>
    <t>https://www.facebook.com/NestorCablesOy</t>
  </si>
  <si>
    <t>https://www.instagram.com/nestorcables/</t>
  </si>
  <si>
    <t>https://www.linkedin.com/company/nestor-cables-ltd-</t>
  </si>
  <si>
    <t>https://www.youtube.com/channel/UCSMtFuG7KQRe4BmjqGJtNSQ</t>
  </si>
  <si>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</si>
  <si>
    <t>2020-02-25T15:59:41.000Z</t>
  </si>
  <si>
    <t>NET ONE ASIA PTE. LTD.</t>
  </si>
  <si>
    <t>36898c82-93e5-11eb-97db-273ba5953680</t>
  </si>
  <si>
    <t>SystexAsia Pte Ltd</t>
  </si>
  <si>
    <t>Net One Asia Pte Ltd. | Net One Asia Pty Ltd.</t>
  </si>
  <si>
    <t>Net One Asia</t>
  </si>
  <si>
    <t>Irving Place</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</si>
  <si>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</si>
  <si>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professionals provide you with everything you need and strive to deliver support service with the highest ...</t>
  </si>
  <si>
    <t>IT consultancy; network integration; cloud solutions; managed services; hybrid infrastructure</t>
  </si>
  <si>
    <t>Singapore IT consulting firm specialising in network and cloud solutions.</t>
  </si>
  <si>
    <t>NET ONE ASIA PTE. LTD. is an information technology consultancy and solutions provider that designs, implements and manages network, cloud and data centre infrastructures for enterprises across Asia, offering professional and managed services.</t>
  </si>
  <si>
    <t>enterprise networking; cloud migration; data centre solutions; managed services; ICT consultancy</t>
  </si>
  <si>
    <t>IT Consulting &amp; Infrastructure Services</t>
  </si>
  <si>
    <t>Network, cloud and data centre consulting and integration</t>
  </si>
  <si>
    <t>Information Technology Consultants | Management Consultants | Cloud Computing | Operations Consultants | Data Processing Centres / Server Farms</t>
  </si>
  <si>
    <t>641411 | 641401 | 740808 | 641403 | 740701</t>
  </si>
  <si>
    <t>6392 5773</t>
  </si>
  <si>
    <t>+60380228600 | +61420895889 | +622130053643 | +6563925773</t>
  </si>
  <si>
    <t>sales.sg@netoneasia.com</t>
  </si>
  <si>
    <t>sales.sg@systexasia.com</t>
  </si>
  <si>
    <t>my@netoneasia.com</t>
  </si>
  <si>
    <t>https://www.systexasia.com/</t>
  </si>
  <si>
    <t xml:space="preserve">https://www.facebook.com/systexasia/ </t>
  </si>
  <si>
    <t>https://twitter.com/TeamAsiasoft</t>
  </si>
  <si>
    <t>https://www.instagram.com/NetOneAsia/</t>
  </si>
  <si>
    <t>https://www.linkedin.com/company/netoneasia</t>
  </si>
  <si>
    <t>https://www.youtube.com/@systexAsia</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</si>
  <si>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</si>
  <si>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</si>
  <si>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NETIC A/S</t>
  </si>
  <si>
    <t>3e619af8-93e5-11eb-8859-29e7c34dee35</t>
  </si>
  <si>
    <t>Netic A/S</t>
  </si>
  <si>
    <t>Netic A/S.</t>
  </si>
  <si>
    <t>Netic</t>
  </si>
  <si>
    <t>Alfred Nobels Vej</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</si>
  <si>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AnnÃ¦ Plads, 11, 55.682067, 12.590427</t>
  </si>
  <si>
    <t>Netic er eksperter i applikationsdrift, Cloud Operations og hosting. Vi varetager drift og hosting af de systemer, der sikrer, at danskernes hverdag hænger sammen.</t>
  </si>
  <si>
    <t>IT operations; hosting; managed services; cloud infrastructure; Danish public sector</t>
  </si>
  <si>
    <t>Aalborg-based provider of secure IT operations and hosting services.</t>
  </si>
  <si>
    <t>Netic A/S is a Danish IT company that delivers secure IT operations, hosting and managed services for critical applications and infrastructure, serving both public sector institutions and private enterprises.</t>
  </si>
  <si>
    <t>managed hosting; data centre services; cloud operations; DevOps; critical systems</t>
  </si>
  <si>
    <t>Managed Hosting &amp; IT Operations</t>
  </si>
  <si>
    <t>Managed IT operations and hosting services</t>
  </si>
  <si>
    <t>Management Consultants | Communication Equipment Installation - Residential | Data Processing Centres / Server Farms | Software Developers (Pre-Packaged) | Software Developers (Custom)</t>
  </si>
  <si>
    <t>641401 | 153401 | 740701 | 891801 | 891802</t>
  </si>
  <si>
    <t>77 77 08 88</t>
  </si>
  <si>
    <t>+4577770808 | +4577770888 | +4577770999 | +4523012023 | +4526762642</t>
  </si>
  <si>
    <t>sales@netic.dk</t>
  </si>
  <si>
    <t>salg@netic.dk</t>
  </si>
  <si>
    <t>faktura@netic.dk | mni@netic.dk | ch@netic.dk | joz@netic.dk | salg@netic.dk | bogholderi@netic.dk | pv@netic.dk | hws@netic.dk | rkj@netic.dk</t>
  </si>
  <si>
    <t>http://netic.dk/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</si>
  <si>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</si>
  <si>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</si>
  <si>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</si>
  <si>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</si>
  <si>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NETS DANMARK A/S</t>
  </si>
  <si>
    <t>Danish payments company providing card payment processing, digital payment solutions and related financial infrastructure services.</t>
  </si>
  <si>
    <t>payments; card processing; digital payments; merchant services; payment infrastructure</t>
  </si>
  <si>
    <t>Ballerup-based provider of card payment and digital payment solutions.</t>
  </si>
  <si>
    <t>Nets Danmark A/S is a Danish payments provider that operates card payment infrastructure, digital payment solutions and related services for banks, merchants and public institutions, including card issuing, acquiring and terminal services.</t>
  </si>
  <si>
    <t>Dankort; card acquiring; payment terminals; online payments; payment services provider</t>
  </si>
  <si>
    <t>Payment Processing &amp; Digital Payments</t>
  </si>
  <si>
    <t>Card payment processing and digital payment services</t>
  </si>
  <si>
    <t>+4588521982 | +37128811008 | +358969641 | +4544684468 | +4722898989 | +3726711477 | +4721554401 | +4529482646 | +358102871676 | +4791508989 | +3726711444 | +3726711420 | +46852503778</t>
  </si>
  <si>
    <t>1238cd68-9cd4-11ef-b56b-31d2bc338e4f</t>
  </si>
  <si>
    <t>New Skies Satellites BV</t>
  </si>
  <si>
    <t>2517 KR</t>
  </si>
  <si>
    <t>Rooseveltplantsoen</t>
  </si>
  <si>
    <t>NL, Netherlands, South Holland, The Hague, , , , 52.0799838, 4.3113461 | NL, Netherlands, South Holland, The Hague, 2517 KR, Rooseveltplantsoen, 4, 52.0955687, 4.284975</t>
  </si>
  <si>
    <t>Satellite Services</t>
  </si>
  <si>
    <t>Satellite Communications</t>
  </si>
  <si>
    <t>070 322 5974</t>
  </si>
  <si>
    <t>http://www.linkedin.com/company/new-skies-satellites-b.v.</t>
  </si>
  <si>
    <t>2022-04-05T08:46:47.000Z</t>
  </si>
  <si>
    <t>NEWS PUBLICATIONS (PRIVATE) LIMITED</t>
  </si>
  <si>
    <t>98bdcc4e-0ece-11ec-8f6e-c368f4fbdb63</t>
  </si>
  <si>
    <t>Medical News (Pvt) Ltd</t>
  </si>
  <si>
    <t>Juicy Publications Private Limited. Ltd.</t>
  </si>
  <si>
    <t>OK! Pakistan</t>
  </si>
  <si>
    <t>Clifton, Karachi</t>
  </si>
  <si>
    <t>I.I. Chundrigar Road</t>
  </si>
  <si>
    <t>PK, Pakistan, Sindh, Karachi Division, 75600, Khayaban-e-Shahbaz, 10-c, 24.7939882, 67.0477952</t>
  </si>
  <si>
    <t>OK! Pakistan, legally known as OK! Pakistan and Juicy Publications Private Limited, is a prominent celebrity magazine based in Karachi, Sindh. The publication covers a wide range of topics including celebrity news, fashion, beauty, lifestyle, and events. It is recognized as one of the world's most influential celebrity magazines, providing the latest and best in its field.</t>
  </si>
  <si>
    <t>Interviews with Local Celebrities | Red Carpet Coverage | Wedding Coverage | Literature Coverage | Culture &amp; Lifestyle | Celebrity News | Fashion Features | Media Platform | TV Shows | Health and Fitness Coverage | International Business Interviews | Society Diary | Health and Beauty Coverage | Event Coverage | Music Coverage | Jewelry Coverage | Man and Womanâ€™s Editions | Media and Publishing | Launches and Exhibitions Coverage | Fashion Coverage</t>
  </si>
  <si>
    <t>OK !Pakistan is the world's most powerful celebrity magazine, bringing you the latest and very best of celebrity news, fashion, beauty, lifestyle and events</t>
  </si>
  <si>
    <t>With over a decade of experience behind her and a diverse and extensive portfolio of countless local and international productions under her belt, Sanam speaks.</t>
  </si>
  <si>
    <t>Beauty &amp; Lifestyle | Lifestyle &amp; Culture | Health And Fitness | Beauty Essentials | Celebrity Beauty | Fashion Finds | Hair Care | Pakistani Actress | Fine Jewelry</t>
  </si>
  <si>
    <t>(021) 35872290</t>
  </si>
  <si>
    <t>+922135372515 | +923082844288</t>
  </si>
  <si>
    <t>web@okmagazine.com.pk</t>
  </si>
  <si>
    <t>http://www.medicalnewspk.com/</t>
  </si>
  <si>
    <t>https://www.facebook.com/okmagazine.pk/</t>
  </si>
  <si>
    <t>https://twitter.com/OK_Pakistan</t>
  </si>
  <si>
    <t>https://www.instagram.com/okpakistan/</t>
  </si>
  <si>
    <t>https://itunes.apple.com/lu/app/ok-pakistan/id889017578?mt=8</t>
  </si>
  <si>
    <t>https://www.youtube.com/channel/UCS0QbuGgDEywGr1ak0cR65A</t>
  </si>
  <si>
    <t>2021-09-06T02:44:56.000Z</t>
  </si>
  <si>
    <t>NEXCOM A/S</t>
  </si>
  <si>
    <t>4e2b08a3-a477-11ed-8bb2-9375f2c4b1be</t>
  </si>
  <si>
    <t>Nexcom A/S</t>
  </si>
  <si>
    <t>Nexcom A/S.</t>
  </si>
  <si>
    <t>Toldbodgade</t>
  </si>
  <si>
    <t>59B</t>
  </si>
  <si>
    <t>DK, Denmark, Capital Region of Denmark, Copenhagen, 1253, Toldbodgade, 59B, 55.685259, 12.5957799</t>
  </si>
  <si>
    <t>Danish software company developing AI-powered customer experience and contact centre optimisation platforms.</t>
  </si>
  <si>
    <t>AI customer experience; contact centre; automation; workflow; analytics</t>
  </si>
  <si>
    <t>Copenhagen-based provider of AI-driven customer service and workflow automation software.</t>
  </si>
  <si>
    <t>Nexcom A/S is a Denmark-based software company that designs and delivers AI-powered platforms for optimising customer service, including digital process optimisation, workflow automation and interaction analytics for B2C companies and contact centres.</t>
  </si>
  <si>
    <t>contact centre analytics; quality management; interaction AI; digital workflows; CX optimisation</t>
  </si>
  <si>
    <t>Customer Experience &amp; Contact Centre Software</t>
  </si>
  <si>
    <t>AI-based customer service and workflow optimisation software</t>
  </si>
  <si>
    <t>45 76 48 20</t>
  </si>
  <si>
    <t>http://www.nexcom.dk/</t>
  </si>
  <si>
    <t>https://www.linkedin.com/company/nexcom-a-s</t>
  </si>
  <si>
    <t>2023-02-04T10:32:33.977Z</t>
  </si>
  <si>
    <t>NOITSO A/S</t>
  </si>
  <si>
    <t>c63a5402-93e4-11eb-b997-8dd98d09cf25</t>
  </si>
  <si>
    <t>Noitso A/S</t>
  </si>
  <si>
    <t>Livsforsikring A/S.</t>
  </si>
  <si>
    <t>Forenede Gruppeliv</t>
  </si>
  <si>
    <t>Krumtappen</t>
  </si>
  <si>
    <t>DK, Denmark, Capital Region of Denmark, Copenhagen, 2500, Krumtappen, 4, 55.659305, 12.517599</t>
  </si>
  <si>
    <t>Forenede Gruppeliv, legally known as Livsforsikring A/S., is a Danish company based in Copenhagen, Capital Region of Denmark. The company specializes in providing group life insurance policies. Forenede Gruppeliv acts as an insurance intermediary, facilitating and entering into group life insurance agreements on behalf of its owner companies, which are all life insurance companies. The company's owner companies are responsible for the insurance coverage and are jointly liable for the group life insurance policies.</t>
  </si>
  <si>
    <t>Disability Insurance Provider for Dance Enthusiasts | Life Insurance Companies | Insurance Agencies | Industry-specific Brokerages | Report A Death | Group Life Insurance for Collective Agreements | Bonus Orientation | Complete Health Statement | Insurance Mediation Services | Injury and Illness Reporting | Personal Data Protection | Insurance Brokerage Services | Involuntary Loss of Employment Coverage | Insurance Coverage Terminations and Limits | Critical Illnesses Coverage | Insurance Summaries | Critical Illness Insurance | Taxes &amp; Duties | Appeal Options</t>
  </si>
  <si>
    <t>Danmarks stÃ¸rste leverandÃ¸r af gruppelivsforsikringer.</t>
  </si>
  <si>
    <t>Forenede Gruppeliv (FG) er Danmarks stÃ¸rste leverandÃ¸r af gruppelivsforsikring med salg af enkle og billige forsikringer til en stor del af danskerne. Vi tilbyder dÃ¦kninger ved dÃ¸d, invaliditet og visse kritiske sygdomme. FG har bÃ¥de staten, kommunerne, de faglige organisationer, de private virksomheder og mange andre blandt sine kunder, og FG's forsikringer giver danskerne et vigtigt sikkerhedsnet. FG reprÃ¦senterer selskaberne: Danica Pension, Livsforsikringsaktieselskab, Norli Liv og Pension Livsforsikring A/S, Sampension Livsforsikring A/S samt Velliv, Pension og Livsforsikring A/S, og disse selskaber hÃ¦fter solidarisk for FG's gruppelivsaftaler.</t>
  </si>
  <si>
    <t>Critical Illness | Life &amp; Pensions | Insurance</t>
  </si>
  <si>
    <t>70 27 58 22</t>
  </si>
  <si>
    <t>+4539167810 | +4564015028 | +4539167832 | +4539167812 | +4539167818 | +4539167800 | +4539167849 | +4539167885</t>
  </si>
  <si>
    <t>fg@fg.dk</t>
  </si>
  <si>
    <t>dpo@fg.dk</t>
  </si>
  <si>
    <t>fg@fg.dk | jcm@fg.dk | jhl@fg.dk</t>
  </si>
  <si>
    <t>http://www.noitso.dk/</t>
  </si>
  <si>
    <t>https://www.linkedin.com/company/forenede-gruppeliv</t>
  </si>
  <si>
    <t>ui frameworks: bootstrap | font scripts: google font api | miscellaneous: open graph | cdn: microsoft ajax content delivery network | javascript libraries: jquery</t>
  </si>
  <si>
    <t>2019-11-24T12:45:13.000Z</t>
  </si>
  <si>
    <t>Nokia Innovations Oy</t>
  </si>
  <si>
    <t>3d547a04-72bb-11ec-b5ce-b3bda5adefa4</t>
  </si>
  <si>
    <t>Nokia Foundation</t>
  </si>
  <si>
    <t>Espoo</t>
  </si>
  <si>
    <t>Karakaari</t>
  </si>
  <si>
    <t>FI, Finland, Uusimaa, Espoo, 02610, Karakaari, 7, 60.2217779, 24.7561097</t>
  </si>
  <si>
    <t>Finnish Nokia group company involved in software and digital innovation initiatives, including solutions such as Nokia Digital Automation Cloud.</t>
  </si>
  <si>
    <t>software; digital innovation; private wireless; automation; Nokia DAC</t>
  </si>
  <si>
    <t>Espoo-based Nokia affiliate focusing on software and digital innovation.</t>
  </si>
  <si>
    <t>Nokia Innovations Oy is a Finnish Nokia group company based in Espoo that supports Nokia’s software and digital innovation portfolio, including solutions such as Nokia Digital Automation Cloud and other advanced networking and automation offerings.</t>
  </si>
  <si>
    <t>private wireless; industrial automation; edge computing; Nokia software; innovation projects</t>
  </si>
  <si>
    <t>Network &amp; Automation Solutions</t>
  </si>
  <si>
    <t>Software and digital solutions within Nokia group</t>
  </si>
  <si>
    <t>010 4488000</t>
  </si>
  <si>
    <t>nokia.foundation@nokia.com</t>
  </si>
  <si>
    <t>https://www.nokia.com/</t>
  </si>
  <si>
    <t>https://facebook.com/NokiaFoundation/</t>
  </si>
  <si>
    <t>https://twitter.com/FoundationNokia</t>
  </si>
  <si>
    <t>http://www.linkedin.com/company/nokia-foundation</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</si>
  <si>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</si>
  <si>
    <t>2022-01-06T22:38:46.000Z</t>
  </si>
  <si>
    <t>NOKIA SERVICES AND NETWORKS MALAYSIA SDN. BHD.</t>
  </si>
  <si>
    <t>00cd4e38-2d28-11ed-9f21-1fc0831b3e5e</t>
  </si>
  <si>
    <t>Nokia Services and Networks Malaysia Sdn Bhd</t>
  </si>
  <si>
    <t>Hala for educational services and consultations</t>
  </si>
  <si>
    <t>MY, Malaysia, Kuala Lumpur, , , , , 3.1516964, 101.6942371</t>
  </si>
  <si>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</si>
  <si>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</si>
  <si>
    <t>ØªÙˆÙØ± Ù‡Ù„Ø§ Ù„Ù„Ø®Ø¯Ù…Ø§Øª ÙˆØ§Ù„Ø§Ø³ØªØ´Ø§Ø±Ø§Øª Ø§Ù„ØªØ¹Ù„ÙŠÙ…ÙŠØ© Ø®Ø¯Ù…Ø© ØªØµØ¯ÙŠÙ‚ Ø§Ù„Ø´Ù‡Ø§Ø¯Ø§Øª Ù…Ù† ÙˆØ²Ø§Ø±Ø© Ø§Ù„ØªØ¹Ù„ÙŠÙ… Ø§Ù„Ø¹Ø§Ù„ÙŠ ÙˆÙƒØ°Ù„Ùƒ Ù…Ù† Ø§Ù„ÙˆØ²Ø§Ø±Ø© Ø§Ù„Ø®Ø§Ø±Ø¬ÙŠØ© ÙˆØ§Ù„Ø³ÙØ§Ø±Ø§Øª ÙˆØ§Ù„Ù…Ù„Ø­Ù‚ÙŠØ©.</t>
  </si>
  <si>
    <t>Ù‡Ù„Ø§ Ù„Ù„Ø®Ø¯Ù…Ø§Øª Ø§Ù„ØªØ¹Ù„ÙŠÙ…ÙŠØ© Ù‡ÙŠ Ø´Ø±ÙƒØ© Ù†Ø´Ø£Øª ÙˆØªØ£Ø³Ø³Øª Ø¹Ù„Ù‰ ÙŠØ¯ Ø£Ø´Ø®Ø§Øµ Ø°ÙˆÙŠ Ø®Ø¨Ø±Ø© Ø¹Ø§Ù„ÙŠØ© ÙˆÙ…Ø¹Ø±ÙØ© ÙˆØ§Ø³Ø¹Ø© ÙÙŠ Ù…Ø¬Ø§Ù„ Ø§Ù„Ø®Ø¯Ù…Ø§Øª ÙˆØ§Ù„Ø§Ø³ØªØ´Ø§Ø±Ø§Øª Ø§Ù„ØªØ¹Ù„ÙŠÙ…ÙŠØ© Ù„Ù‡Ø¯Ù ØªÙˆÙÙŠØ± Ø¬Ù…ÙŠØ¹ Ø§Ù„Ø®Ø¯Ù…Ø§Øª Ø§Ù„ØªØ¹Ù„ÙŠÙ…ÙŠØ© Ù„Ù„Ø·Ù„Ø§Ø¨ ÙˆØ§Ù„Ø·Ø§Ù„Ø¨Ø§Øª. ØªÙˆØ§ØµÙ„ Ù…Ø¹Ù†Ø§. Ù…Ù†Ø° 2015 ÙÙŠ Ù…Ø¬Ø§Ù„ ØªØ³Ø¬ÙŠÙ„ Ø§Ù„Ø·Ù„Ø§Ø¨ ÙˆØ§Ù„Ø§Ø³ØªØ´Ø§Ø±Ø§Øª Ø§Ù„ØªØ¹Ù„ÙŠÙ…ÙŠØ©. ÙŠÙ…ÙƒÙ†ÙƒÙ… Ø§Ù„Ø§Ø¹ØªÙ…Ø§Ø¯ Ø¹Ù„ÙŠÙ†Ø§ ÙÙŠ Ø§Ø®ØªÙŠØ§Ø± ØªØ®ØµØµÙƒÙ… ÙˆÙ„Ù„Ø­ØµÙˆÙ„ Ø¹Ù„Ù‰ Ù‚Ø¨ÙˆÙ„ ÙÙŠ Ø¬Ø§Ù…Ø¹Ø§Øª ÙˆÙ…Ø¹Ø§Ù‡Ø¯ Ø§Ù„Ù„ØºØ© ÙÙŠ Ù…Ø§Ù„ÙŠØ²ÙŠØ§ Ø¨Ø§Ù‚Ù„ Ø§Ù„ØªÙƒØ§Ù„ÙŠÙ. Ø§Ø³ØªØ´Ø§Ø±Ø§Øª ØªØ¹Ù„ÙŠÙ…ÙŠØ© ï»§ï»˜ïºªÙ… ï»Ÿï»œï»¢ Ø§ïº³ïº˜ïº¸ïºŽØ±Ø§Øª ØªØ¹Ù„ÙŠÙ…ÙŠØ© Ù…Ø¬Ø§Ù†ÙŠØ© ï»£ï»¦ ïº§ï»¼Ù„ ØªÙ‚Ø¯ÙŠÙ… Ø§Ù„Ù†ØµØ§Ø¦Ø­ ÙˆØ§Ù„Ø§Ø³ØªØ´Ø§Ø±Ø§Øª ØŒ ï»£ï»¬ï»¤ïºŽ ï»›ïºŽï»§ïº– Ø§ï»·ïº³ïºŒï» ïº” ÙˆØ§ï»»ïº³ïº˜ï»”ïº´ïºŽØ±Ø§Øª Ù†Ø­Ù† Ø¬Ø§Ù‡Ø²ÙˆÙ† Ø¯Ø§Ø¦Ù…Ø§Ù‹ Ù„Ø®Ø¯Ù…ØªÙƒÙ…. Ø¥Ø³ØªØ®Ø±Ø§Ø¬ Ø§Ù„ØªØ£Ø´ÙŠØ±Ø© ØªÙ‚Ø¯ÙŠÙ… Ø§Ù„ÙˆØ«Ø§Ø¦Ù‚ Ø§Ù„Ù…Ø·Ù„ÙˆØ¨Ø© Ù„Ù„Ø­ØµÙˆÙ„ Ø¹Ù„Ù‰ Ø§Ù„ÙÙŠØ²Ø© Ø§Ù„Ø¯Ø±Ø§Ø³ÙŠØ© Ù„ÙƒÙ„ Ø§Ù„Ù…ØªÙ‚Ø¯Ù…ÙŠÙ† Ù„Ù„Ø¯Ø±Ø§Ø³Ø© ÙÙŠ Ù…Ø§Ù„ÙŠØ²ÙŠØ§ ÙˆØ°Ù„Ùƒ ïº‘ïºŽï»Ÿïº˜ï»ŒïºŽÙˆÙ† ï»£ï»Š Ø§ï»Ÿïº ïºŽï»£ï»Œïº” Ø£Ùˆ Ø§Ù„Ù…Ø¹Ù‡Ø¯ ÙˆÙ…ØªØ§Ø¨Ø¹ØªÙ‡Ø§ Ø­ØªÙ‰ Ø§Ù„Ø­ØµÙˆÙ„ Ø¹Ù„ÙŠÙ‡Ø§. ØªÙˆÙØ± Ù‡Ù„Ø§ Ù„Ù„Ø®Ø¯Ù…Ø§Øª ÙˆØ§Ù„Ø§Ø³ØªØ´Ø§Ø±Ø§Øª Ø§Ù„ØªØ¹Ù„ÙŠÙ…ÙŠØ© Ø®Ø¯Ù…Ø© ØªØµØ¯ÙŠÙ‚ Ø§Ù„Ø´Ù‡Ø§Ø¯Ø§Øª Ù…Ù† ÙˆØ²Ø§Ø±Ø© Ø§Ù„ØªØ¹Ù„ÙŠÙ… Ø§Ù„Ø¹Ø§Ù„ÙŠ ÙˆÙƒØ°Ù„Ùƒ Ù…Ù† Ø§Ù„ÙˆØ²Ø§Ø±Ø© Ø§Ù„Ø®Ø§Ø±Ø¬ÙŠØ© ÙˆØ§Ù„Ø³ÙØ§Ø±Ø§Øª ÙˆØ§Ù„Ù…Ù„Ø­Ù‚ÙŠØ©. Ù…Ù† Ù†Ø­Ù† Ø¨Ø®Ø¨Ø±Ø© ØªØªØ¬Ø§ÙˆØ² 7 Ø³Ù†ÙˆØ§Øª Ù‡Ù„Ø§ Ù„Ù„Ø®Ø¯Ù…Ø§Øª ÙˆØ§Ù„Ø§Ø³ØªØ´Ø§Ø±Ø§Øª Ø§Ù„ØªØ¹Ù„ÙŠÙ…ÙŠØ©ØŒ Ù…Ø§Ù„ÙŠØ²ÙŠØ§ Ù‡Ù„Ø§ Ù„Ù„Ø®Ø¯Ù…Ø§Øª Ø§Ù„ØªØ¹Ù„ÙŠÙ…ÙŠØ© Ù‡ÙŠ Ø´Ø±ÙƒØ© Ù†Ø´Ø£Øª ÙˆØªØ£Ø³Ø³Øª Ø¹Ù„Ù‰ ÙŠØ¯ Ø£Ø´Ø®Ø§Øµ Ø°ÙˆÙŠ Ø®Ø¨Ø±Ø© Ø¹Ø§Ù„ÙŠØ© ÙˆÙ…Ø¹Ø±ÙØ© ÙˆØ§Ø³Ø¹Ø© ÙÙŠ Ù…Ø¬Ø§Ù„ Ø§Ù„Ø®Ø¯Ù…Ø§Øª ÙˆØ§Ù„Ø§Ø³ØªØ´Ø§Ø±Ø§Øª Ø§Ù„ØªØ¹Ù„ÙŠÙ…ÙŠØ© Ù„Ù‡Ø¯Ù ØªÙˆÙÙŠØ± Ø¬Ù…ÙŠØ¹ Ø§Ù„Ø®Ø¯Ù…Ø§Øª Ø§Ù„ØªØ¹Ù„ÙŠÙ…ÙŠØ© Ù„Ù„Ø·Ù„Ø§Ø¨ ÙˆØ§Ù„Ø·Ø§Ù„Ø¨Ø§Øª. ïº—ï»Œïºª Ù‡Ù„Ø§ ï»Ÿï» ïº¨ïºªï»£ïºŽØª Ø§ï»Ÿïº˜ï»Œï» ï¯¿ï»¤ï¯¿ïº” ï»£ï»¦ Ø§ï»Ÿï»®ï»›ï»¼Ø¡ Ø§ï»Ÿï»¤ï»Œïº˜ï»¤ïºªï¯¾ï»¦ ÙˆØ§ï»Ÿï»¤ï»Œïº˜ïº®Ù Ø¨Ù‡Ø§ ï»ŸïºªÙ‰ Ø§ï»Ÿï»¤ïº†ïº³ïº´ïºŽØª Ø§ï»Ÿïº˜ï»Œï» ï¯¿ï»¤ï¯¿ïº” ïº‘ï»¤ïº¨ïº˜ï» ï»’ Ø§ïº§ïº˜ïº¼ïºŽïº»ïºŽïº—ï»¬ïºŽ ï»£ï»¦ Ø¬Ø§Ù…Ø¹Ø§Øª ÙˆÙ…Ø¹Ø§Ù‡Ø¯ Ø°Ø§Øª Ø§ï»Ÿïº´ï»¤ï»Œïº” Ø§ï»Ÿï»ŒïºŽï»Ÿï¯¿ïº”.</t>
  </si>
  <si>
    <t>Bilberry Extract | Raspberry &amp; Lemon</t>
  </si>
  <si>
    <t>Educational Consultants</t>
  </si>
  <si>
    <t>8299 | 8748</t>
  </si>
  <si>
    <t>Schools and Educational Services NEC (educational support services) | Business Consulting Services, NEC (educational test development and evaluation services, educational testing services, and educational consultants)</t>
  </si>
  <si>
    <t>Educational support services</t>
  </si>
  <si>
    <t>Educational support activities</t>
  </si>
  <si>
    <t>03-2028 0018</t>
  </si>
  <si>
    <t>+601156743904 | +60183966265</t>
  </si>
  <si>
    <t>info@hala-edu.com</t>
  </si>
  <si>
    <t>https://networks.nokia.com/</t>
  </si>
  <si>
    <t>ar</t>
  </si>
  <si>
    <t>https://www.facebook.com/halaeducation/</t>
  </si>
  <si>
    <t>https://www.instagram.com/halaedu/</t>
  </si>
  <si>
    <t>https://www.youtube.com/channel/UCpXx_KNLF7fqmJv1r8J-nzA</t>
  </si>
  <si>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</si>
  <si>
    <t>2022-09-02T20:16:27.000Z</t>
  </si>
  <si>
    <t>NOKIA SOLUTIONS AND NETWORKS NORGE AS</t>
  </si>
  <si>
    <t>0304c451-93e5-11eb-8474-3bbe2d07207d</t>
  </si>
  <si>
    <t>Nokia Norge</t>
  </si>
  <si>
    <t>Polypure</t>
  </si>
  <si>
    <t>Martin Linges vei</t>
  </si>
  <si>
    <t>NO, Norway, Viken, BÃ¦rum, 1364, Martin Linges vei, 25, 59.894922099999995, 10.629178099999999 | NO, Norway, Oslo, Oslo, 0349, GaustadallÃ©en, 21, 59.942286, 10.716744</t>
  </si>
  <si>
    <t>Polypure is a research-intensive production company based in BÃ¦rum, Norway, specializing in the development and manufacturing of uniform polyethylene glycol (PEG) derivatives. Founded in 1999, the company supplies PEG derivatives primarily to the pharmaceutical market, supporting early research stages, clinical trials, and the development of drugs already on the market since 2002. Polypure focuses on delivering high-quality, pure products with a wide range of applications in biotech, nanotech, and pharmaceutical industries. The company is known for its expertise in providing customized products and services for clients seeking specialized solutions in multi-kilo quantities.</t>
  </si>
  <si>
    <t>Chemical Manufacturing | Research and Development | Research and Production | Chemistry | P EG Azides &amp; Amines | Amino PEG Acids | Advanced Polyethylene Glycol Chemicals | PEG Diols | Manufacturing | Plastic Resin Manufacturing | Other Reagents | Pg Thiols and Disulfides | High Purity Materials | Chemical Lab | Polyethylene Glycol Derivatives | Single Oligomer PEG Derivatives</t>
  </si>
  <si>
    <t>Polypure is a research-intensive production company specialized in R&amp;D and manufacturing of uniform polyethylene glycol derivatives with a wide range of</t>
  </si>
  <si>
    <t>Polypure AS is a world leader in advanced Polyethylene Glycol (PEG) chemicals. We specialize in single oligomer PEG derivatives for the biotech, nanotech and pharmaceutical industries. Independently held and headquartered in Oslo, Norway, Polypure continues to operate under its founding principles from 1999. The core team has an impressive track record of innovation and product development, which is the basis of Polypure's class leading products. By pursuing customer driven product development coupled to a strategically lean size, we have earned a reputation as a nimble and effective collaborator. Polypure has the expertise to provide customized products and services for clients seeking specialized solutions in multi-kilo quantities. Beginning in 1999, Erik has built up Polypure's technical and business capabilities turning the firm into a leader of high quality monodisperse PEG products suitable for demanding applications. The international team at Polypure includes innovatives senior and young scientists, and project leaders from the chemistry, analytical and biotech fields.</t>
  </si>
  <si>
    <t>Engineering Services | Chemical Manufacturing | Custom Or Production | Product Engineering | Commercial Developments | Chemicals | Tracks &amp; Recordings | Project Development | Products &amp; Catalogues</t>
  </si>
  <si>
    <t>Chemical Products</t>
  </si>
  <si>
    <t>Raw Materials</t>
  </si>
  <si>
    <t>2869 | 2899</t>
  </si>
  <si>
    <t>Industrial Organic Chemicals, NEC (except aliphatics, carbon bisulfide, ethyl alcohol, cyclopropane, diethylcyclohexane, napthalene sulfonic acid, synthetic hydraulic fluids, and fluorocarbon gases) | Chemicals and Chemical Preparations, NEC (fatty acids)</t>
  </si>
  <si>
    <t>Water Softening or Treatment Equipment Sales / Installation / Service (No Water Treatment Facilities) | Wholesale - Chemicals (Not Otherwise Classified) | Chemical Manufacturing (Not Flammable/Carcinogenic/Environmentally Harmful) | Gas Station - Full Serve (No Repairs) | Gas Station - Self Serve (No Repairs)</t>
  </si>
  <si>
    <t>2011 | 2029 | 2100</t>
  </si>
  <si>
    <t>Manufacture of basic chemicals | Manufacture of other chemical products n.e.c. | Manufacture of pharmaceuticals, medicinal chemical and botanical products</t>
  </si>
  <si>
    <t>20.53 | 20.52 | 20.59 | 20.51 | 20.14 | 20.11 | 20.12 | 20.13 | 21.2 | 21.1</t>
  </si>
  <si>
    <t>Manufacture of essential oils | Manufacture of glues | Manufacture of other chemical products n.e.c. | Manufacture of explosives | Manufacture of other organic basic chemicals | Manufacture of industrial gases | Manufacture of dyes and pigments | Manufacture of other inorganic basic chemicals | Manufacture of pharmaceutical preparations | Manufacture of basic pharmaceutical products</t>
  </si>
  <si>
    <t>172001 | 504701 | 287501 | 552101 | 552501</t>
  </si>
  <si>
    <t>67 18 84 00</t>
  </si>
  <si>
    <t>info@polypure.no</t>
  </si>
  <si>
    <t>http://www.nokia.com/</t>
  </si>
  <si>
    <t>https://www.facebook.com/Forskningsparken/</t>
  </si>
  <si>
    <t>http://www.linkedin.com/company/polypure-as</t>
  </si>
  <si>
    <t>web servers: ibm websphere application server | wordpress plugins: rankmath seo | seo: rankmath seo | miscellaneous: rss | ui frameworks: bootstrap | web servers: empathy platform | web frameworks: bootstrap | wordpress themes: divi | operating systems: debian | widgets: css | font scripts: google font api | reverse proxies: nginx | wordpress plugins: divi | analytics: site kit | javascript libraries: modernizr | databases: mysql | issue trackers: really simple discovery | miscellaneous: touchswipe | cms: site.com | cdn: google hosted libraries | miscellaneous: open graph | network devices: html | miscellaneous: jquery easing | ecommerce: drupal commerce | web servers: schannel | web servers: apache | javascript frameworks: modernizr | cms: drupal | network devices: html5 | web servers: apache http server | cms: wordpress | blogs: wordpress | mobile frameworks: jquery mobile | tag managers: google tag manager | wordpress plugins: site kit | web frameworks: jquery waypoints | javascript libraries: jquery | widgets: javascript | javascript libraries: datatables | web servers: nginx | page builders: divi | programming languages: php | javascript libraries: jquery migrate | javascript frameworks: jquery | analytics: google analytics</t>
  </si>
  <si>
    <t>2020-08-21T09:05:20.000Z</t>
  </si>
  <si>
    <t>Nokia Solutions and Networks Oy</t>
  </si>
  <si>
    <t>d3b679f6-93e4-11eb-b89f-536884b3e7dd</t>
  </si>
  <si>
    <t>Nokia Solutions and Networks</t>
  </si>
  <si>
    <t>FI, Finland, Uusimaa, Espoo, 02610, Karaportti, 3, 60.22488025, 24.757611536521225</t>
  </si>
  <si>
    <t>multinational data networking and telecommunications equipment company</t>
  </si>
  <si>
    <t>Nokia Solutions and Networks is a multinational data networking and telecommunications equipment com</t>
  </si>
  <si>
    <t>Network Infrastructure</t>
  </si>
  <si>
    <t>Communications</t>
  </si>
  <si>
    <t>https://www.facebook.com/nokiasolutionsandnetworks/</t>
  </si>
  <si>
    <t>2024-10-27T07:20:12.509Z</t>
  </si>
  <si>
    <t>NORDEA BANK ABP, FILIAL I NORGE</t>
  </si>
  <si>
    <t>7404600f-02ea-11ed-9330-439ae68059a7</t>
  </si>
  <si>
    <t>Nordea</t>
  </si>
  <si>
    <t>Nordea Bank Abp.</t>
  </si>
  <si>
    <t>Nordea | Nordea Direct | Nordea Bank</t>
  </si>
  <si>
    <t>NO, Norway, Oslo, Oslo, 0368, Essendrops gate, 7, 59.929315, 10.711103</t>
  </si>
  <si>
    <t>Norwegian branch of Nordea Bank Abp offering a full range of retail and corporate banking services.</t>
  </si>
  <si>
    <t>retail banking; corporate banking; lending; savings; payments</t>
  </si>
  <si>
    <t>Oslo-based Norwegian branch of Nordea Bank providing banking services to individuals and businesses.</t>
  </si>
  <si>
    <t>Nordea Bank Abp, filial i Norge is the Norwegian branch of Nordea Bank Abp, providing retail, corporate and institutional banking services in Norway, including lending, deposits, payments, cards and investment products.</t>
  </si>
  <si>
    <t>current accounts; mortgages; corporate finance; cash management; digital banking</t>
  </si>
  <si>
    <t>Banking Services</t>
  </si>
  <si>
    <t>Retail and corporate banking</t>
  </si>
  <si>
    <t>Commercial Banks, Not Elsewhere Classified</t>
  </si>
  <si>
    <t>23 20 60 01</t>
  </si>
  <si>
    <t>+4570333333 | +46101565019 | +46738661724 | +358442066094 | +46101571313 | +358953006435 | +358953007058 | +358953008011</t>
  </si>
  <si>
    <t>category.support@nordea.com</t>
  </si>
  <si>
    <t>https://www.nordea.no/</t>
  </si>
  <si>
    <t>https://www.facebook.com/Nordea/</t>
  </si>
  <si>
    <t>https://twitter.com/Nordea</t>
  </si>
  <si>
    <t>https://www.linkedin.com/company/nordea</t>
  </si>
  <si>
    <t>2022-02-12T10:02:33.000Z</t>
  </si>
  <si>
    <t>NORDIC COMPUTER A/S</t>
  </si>
  <si>
    <t>affc63f0-0394-11ed-9b1b-6d2c9309a5b2</t>
  </si>
  <si>
    <t>Nordic Computer A/S</t>
  </si>
  <si>
    <t>Nordic Computer A/S.</t>
  </si>
  <si>
    <t>Nordic Computer</t>
  </si>
  <si>
    <t>DK, Denmark, North Denmark Region, NÃ¸rresundby, 9400, StrÃ¸mmen, 2, 57.0847893, 9.960989999999999 | FR, France, Provence-Alpes-CÃ´te d'Azur, Nice, 06000, Avenue Thiers, 21, 43.7032256, 7.2602644 | PL, Poland, Masovian Voivodeship, Warsaw, 00-728, Bobrowiecka, 1B, 52.1970396, 21.0464938 | DK, Denmark, Capital Region of Denmark, BrÃ¸ndby, 2605, Ringager, 4a, 55.644988, 12.396826 | HR, Croatia, City of Zagreb, City of Zagreb, 10000, NaÅ¡iÄka ulica, 4, 45.793987, 15.9231176</t>
  </si>
  <si>
    <t>Extend the life cycle of your IT equipment. Nordic Computer is a sustainable IT service company that provides IT maintenance and sells refurbished hardware.</t>
  </si>
  <si>
    <t>refurbished hardware; datacentre; maintenance; multi-vendor service; IT lifecycle</t>
  </si>
  <si>
    <t>Nørresundby-based specialist in refurbished datacentre hardware and multi-vendor maintenance services.</t>
  </si>
  <si>
    <t>Nordic Computer A/S supplies refurbished servers, storage and networking equipment and provides multi-vendor hardware maintenance services, helping organisations extend the life of datacentre infrastructure and reduce IT costs.</t>
  </si>
  <si>
    <t>refurbished servers; third-party maintenance; hardware lifecycle; spare parts; multi-vendor support</t>
  </si>
  <si>
    <t>Computer and Office Machine Repair and Maintenance</t>
  </si>
  <si>
    <t>Datacentre Hardware &amp; Maintenance</t>
  </si>
  <si>
    <t>Refurbished datacentre hardware and third-party maintenance</t>
  </si>
  <si>
    <t>70 20 19 79</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</si>
  <si>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</si>
  <si>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</si>
  <si>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</si>
  <si>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http://www.nordiccomputer.com/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</si>
  <si>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</si>
  <si>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</si>
  <si>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</si>
  <si>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</si>
  <si>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</si>
  <si>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</si>
  <si>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NORDIX DATA AS</t>
  </si>
  <si>
    <t>8449aea3-93e4-11eb-86dd-ffbd1b53140e</t>
  </si>
  <si>
    <t>Nordix Data AS</t>
  </si>
  <si>
    <t>Nordix Data AS | Nordix Data | Nordix Fiber</t>
  </si>
  <si>
    <t>Troms</t>
  </si>
  <si>
    <t>Tromsø</t>
  </si>
  <si>
    <t>Sykehusvegen</t>
  </si>
  <si>
    <t>NO, Norway, Troms og Finnmark, TromsÃ¸, 9019, Sykehusvegen, 23, 69.6814827, 18.9875917</t>
  </si>
  <si>
    <t>Norwegian telecommunications company providing broadband, internet and fibre-based TV services in Northern Norway.</t>
  </si>
  <si>
    <t>broadband; fibre network; internet services; TV over fibre; telecommunications</t>
  </si>
  <si>
    <t>Tromsø-based broadband and internet service provider.</t>
  </si>
  <si>
    <t>Nordix Data AS is a Norwegian telecom company that has operated broadband and internet services, including fibre-based TV and data connectivity, primarily in Northern Norway, building and operating fibre networks serving private, business and municipal customers.</t>
  </si>
  <si>
    <t>fibre broadband; internet access; TV services; network infrastructure; regional ISP</t>
  </si>
  <si>
    <t>Broadband &amp; Internet Service Providers</t>
  </si>
  <si>
    <t>Regional broadband and fibre network services</t>
  </si>
  <si>
    <t>77 66 26 00</t>
  </si>
  <si>
    <t>utbygging@nordix.no</t>
  </si>
  <si>
    <t>http://www.nordix.no/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</si>
  <si>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</si>
  <si>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</si>
  <si>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</si>
  <si>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DMA Research A/S</t>
  </si>
  <si>
    <t>01f1a6b1-69f9-11ec-82d2-ab032a4081d6</t>
  </si>
  <si>
    <t>Dansk Miljøanalyse ApS</t>
  </si>
  <si>
    <t>PrivacyWallet</t>
  </si>
  <si>
    <t>Vedbæk</t>
  </si>
  <si>
    <t>Skelstedet</t>
  </si>
  <si>
    <t>DK, Denmark, Capital Region of Denmark, Copenhagen, 1150, KÃ¸bmagergade, 22 2, 55.680603500000004, 12.578013164469764</t>
  </si>
  <si>
    <t>PrivacyWallet is a company based in Copenhagen, Denmark, specializing in personal data management. The company offers an Intelligent Personal Information Management app that allows users to control and manage their personal data. PrivacyWallet provides features such as data access, deletion, portability, and insight into data breaches. The app operates in a "zero knowledge" environment, ensuring that data is accessible only to the user. PrivacyWallet is free and aims to empower individuals to take control of their personal data.</t>
  </si>
  <si>
    <t>Data Management Services | Intelligent Personal Information Management App | Website Traffic Analysis | Data Control Services | Social Media Features | Data Cleanup Services</t>
  </si>
  <si>
    <t>The intention is to display ads that are relevant and engaging for the individual user and thereby more valuable for publishers and third party advertisers.</t>
  </si>
  <si>
    <t>The intention is to display ads that are relevant and engaging for the individual user and thereby more valuable for publishers and third party advertisers. It's free, download PrivacyWallet today. PrivacyWallet lists the companies that might store your data and sorts them by sector, giving you a level of insight that was previously impossible. PrivacyWallet is free.</t>
  </si>
  <si>
    <t>Technology Customer Support Services (For others) | Software Implementation Integration | Burglar / Fire Alarm Installation (No Monitoring) | Software Developers (Pre-Packaged) | Software Developers (Custom)</t>
  </si>
  <si>
    <t>740809 | 740810 | 173103 | 891801 | 891802</t>
  </si>
  <si>
    <t>45 66 20 95</t>
  </si>
  <si>
    <t>support@safeonline.dk</t>
  </si>
  <si>
    <t>http://dma.nu/</t>
  </si>
  <si>
    <t>https://www.facebook.com/PrivacyWallet/</t>
  </si>
  <si>
    <t>https://www.instagram.com/privacywallet/</t>
  </si>
  <si>
    <t>https://apps.apple.com/gb/app/connectid-personal/id1444339427</t>
  </si>
  <si>
    <t>https://play.google.com/store/apps/details?id=com.safeprofile.app</t>
  </si>
  <si>
    <t>miscellaneous: http/3 | databases: mysql | web servers: apache http server | cms: wordpress | blogs: wordpress | programming languages: php</t>
  </si>
  <si>
    <t>2021-12-30T21:35:40.000Z</t>
  </si>
  <si>
    <t>NORWEGIAN AIR SHUTTLE AS (PS)</t>
  </si>
  <si>
    <t>d3abb197-0550-11ec-a49b-69a31ce8af0d</t>
  </si>
  <si>
    <t>Norwegian Air Shuttle ASA</t>
  </si>
  <si>
    <t>Norwegian Air Shuttle</t>
  </si>
  <si>
    <t>Oksenøyveien</t>
  </si>
  <si>
    <t>NO, Norway, Viken, BÃ¦rum, 1336, OksenÃ¸yveien, 3, 59.906236, 10.627741</t>
  </si>
  <si>
    <t>Norwegian Air Shuttle, based in BÃ¦rum, Viken, Norway, is a low-cost airline operating under the brand name "Norwegian Air." The company was founded on January 22, 1993, in partnership with Braathens ASA, initially serving domestic flights with Fokker 50 aircraft. In 1994, Norwegian Air began commercial operations with its first flight from Bergen to Ã˜lstun. The airline expanded its fleet and route network over the years, acquiring Boeing and Airbus aircraft and establishing bases in various international airports. By mid-December 2022, Norwegian Air operated a fleet of 115 Boeing and 1 Airbus aircraft, serving over 132 destinations across Europe, North America, and Asia. The airline offers only economy class service, with plans to introduce premium economy options on select Dreamliner flights.</t>
  </si>
  <si>
    <t>Boeing Aircraft | Low-cost Airline Services | Compare Hotels | Free Wifi Services | Cheap Ticket Finding | Flight Reviews | Wifi on Board | Long-haul Flights | Flight Schedules | Bank Cards in Russia | Transportation Services | World Destinations | Airbus A320 | Baggage Allowance</t>
  </si>
  <si>
    <t>Norwegian Air Shuttle â€“ Ð°Ð²Ð¸Ð°ÐºÐ¾Ð¼Ð¿Ð°Ð½Ð¸Ñ ÐÐ¾Ñ€Ð²ÐµÐ³Ð¸Ð¸. Ð¡Ð¿ÐµÑ†Ð¸Ð°Ð»Ð¸Ð·Ð°Ñ†Ð¸Ñ - ÑÐ¾Ð²ÐµÑ€ÑˆÐµÐ½Ð¸Ðµ Ð²Ð½ÑƒÑ‚Ñ€ÐµÐ½Ð½Ð¸Ñ… Ñ€ÐµÐ¹ÑÐ¾Ð², Ð°Ð²Ð¸Ð°Ð¿ÐµÑ€ÐµÐ²Ð¾Ð·ÐºÐ° Ð¿Ð°ÑÑÐ°Ð¶Ð¸Ñ€Ð¾Ð² Ð² ÑÑ‚Ñ€Ð°Ð½Ñ‹ Ð•Ð²Ñ€Ð¾Ð¿Ñ‹ Ð¸ Ð¡ÐµÐ²ÐµÑ€Ð½Ð¾Ð¹ ÐÑ„Ñ€Ð¸ÐºÐ¸.</t>
  </si>
  <si>
    <t>Norwegian Air Shuttle â€“ ÑÑ‚Ð¾ Ð½Ð¾Ñ€Ð²ÐµÐ¶ÑÐºÐ¸Ð¹ Ð»Ð¾ÑƒÐºÐ¾ÑÑ‚ÐµÑ€, Ð¾Ð±ÑÐ»ÑƒÐ¶Ð¸Ð²Ð°ÑŽÑ‰Ð¸Ð¹ Ð±Ð¾Ð»ÐµÐµ 130 Ð»Ð¾ÐºÐ°Ð»ÑŒÐ½Ñ‹Ñ… Ð¸ Ð¸Ð½Ñ‚ÐµÑ€Ð½Ð°Ñ†Ð¸Ð¾Ð½Ð°Ð»ÑŒÐ½Ñ‹Ñ… Ð¿ÑƒÐ½ÐºÑ‚Ð¾Ð² Ð½Ð°Ð·Ð½Ð°Ñ‡ÐµÐ½Ð¸Ñ. Norwegian Air Shuttle Ð±Ñ‹ÑÑ‚Ñ€Ð¾ Ð¿Ñ€Ð¸Ð¾Ð±Ñ€ÐµÐ»Ð° Ð¿Ð¾Ð¿ÑƒÐ»ÑÑ€Ð½Ð¾ÑÑ‚ÑŒ Ð±Ð»Ð°Ð³Ð¾Ð´Ð°Ñ€Ñ Ð´Ð¾ÑÑ‚ÑƒÐ¿Ð½Ñ‹Ð¼ Ñ†ÐµÐ½Ð°Ð¼ Ð¸ Ð²Ð¾Ð·Ð¼Ð¾Ð¶Ð½Ð¾ÑÑ‚Ð¸ Ð¿ÑƒÑ‚ÐµÑˆÐµÑÑ‚Ð²Ð¾Ð²Ð°Ñ‚ÑŒ Ð¿Ð¾ Ð•Ð²Ñ€Ð¾Ð¿Ðµ. Norwegian Ð²ÑÐµÐ³Ð´Ð° ÑÑ‚Ñ€ÐµÐ¼Ð¸Ð»Ð°ÑÑŒ Ð²Ð½ÐµÐ´Ñ€ÑÑ‚ÑŒ ÑÐ¾Ð²Ñ€ÐµÐ¼ÐµÐ½Ð½Ñ‹Ðµ Ñ‚ÐµÑ…Ð½Ð¾Ð»Ð¾Ð³Ð¸Ð¸ Ð¸ Ð² 2011 Ð³Ð¾Ð´Ñƒ ÑÑ‚Ð°Ð»Ð° Ð¿ÐµÑ€Ð²Ñ‹Ð¼ Ð¿ÐµÑ€ÐµÐ²Ð¾Ð·Ñ‡Ð¸ÐºÐ¾Ð¼ Ð² Ð•Ð²Ñ€Ð¾Ð¿Ðµ, Ð¿Ñ€ÐµÐ´Ð»Ð¾Ð¶Ð¸Ð²ÑˆÐ¸Ð¼ ÑÐ²Ð¾Ð¸Ð¼ Ð¿Ð°ÑÑÐ°Ð¶Ð¸Ñ€Ð°Ð¼ Wi-Fi Ð½Ð° Ð±Ð¾Ñ€Ñ‚Ñƒ. Ð’ 2021 Ð³Ð¾Ð´Ñƒ Ð°Ð²Ð¸Ð°Ð»Ð¸Ð½Ð¸Ñ Ð·Ð°Ð²ÐµÑ€ÑˆÐ¸Ð»Ð° Ð¿Ñ€Ð¾Ñ†ÐµÑÑ Ñ€ÐµÑÑ‚Ñ€ÑƒÐºÑ‚ÑƒÑ€Ð¸Ð·Ð°Ñ†Ð¸Ð¸ Ð¸ ÑÐ¾ÑÑ€ÐµÐ´Ð¾Ñ‚Ð¾Ñ‡Ð¸Ð»Ð°ÑÑŒ Ð½Ð° Ð²Ð¾Ð·Ð²Ñ€Ð°Ñ‰ÐµÐ½Ð¸Ð¸ Ðº ÑÑ‚Ð°Ð±Ð¸Ð»ÑŒÐ½Ð¾Ð¼Ñƒ Ñ„Ð¸Ð½Ð°Ð½ÑÐ¾Ð²Ð¾Ð¼Ñƒ Ð¿Ð¾Ð»Ð¾Ð¶ÐµÐ½Ð¸ÑŽ. Norwegian Air Shuttle Ð¾Ð±ÑÐ»ÑƒÐ¶Ð¸Ð²Ð°ÐµÑ‚ ÑˆÐ¸Ñ€Ð¾ÐºÐ¸Ð¹ ÑÐ¿ÐµÐºÑ‚Ñ€ Ð½Ð°Ð¿Ñ€Ð°Ð²Ð»ÐµÐ½Ð¸Ð¹, Ð³Ð»Ð°Ð²Ð½Ñ‹Ð¼ Ð¾Ð±Ñ€Ð°Ð·Ð¾Ð¼ ÑÐ¾ÑÑ€ÐµÐ´Ð¾Ñ‚Ð¾Ñ‡Ð¸Ð²ÑˆÐ¸ÑÑŒ Ð½Ð° Ð•Ð²Ñ€Ð¾Ð¿Ðµ Ð¸ Ð¡ÐµÐ²ÐµÑ€Ð½Ð¾Ð¹ ÐÑ„Ñ€Ð¸ÐºÐµ. Norwegian Reward â€“ ÑÑ‚Ð¾ Ð¿Ñ€Ð¾Ð³Ñ€Ð°Ð¼Ð¼Ð° Ð»Ð¾ÑÐ»ÑŒÐ½Ð¾ÑÑ‚Ð¸ Ð°Ð²Ð¸Ð°ÐºÐ¾Ð¼Ð¿Ð°Ð½Ð¸Ð¸ Norwegian Air Shuttle, ÑÐ¾Ð·Ð´Ð°Ð½Ð½Ð°Ñ Ð´Ð»Ñ Ñ‚Ð¾Ð³Ð¾, Ñ‡Ñ‚Ð¾Ð±Ñ‹ Ð¿Ð¾Ð¾Ñ‰Ñ€ÑÑ‚ÑŒ Ð¿Ð¾ÑÑ‚Ð¾ÑÐ½Ð½Ñ‹Ñ… Ð¿Ð°ÑÑÐ°Ð¶Ð¸Ñ€Ð¾Ð². ÐŸÑ€Ð¾Ð³Ñ€Ð°Ð¼Ð¼Ð° Ð¾Ñ‚Ð»Ð¸Ñ‡Ð°ÐµÑ‚ÑÑ Ð³Ð¸Ð±ÐºÐ¾ÑÑ‚ÑŒÑŽ: Ð±Ð°Ð»Ð»Ñ‹ Ð¼Ð¾Ð¶Ð½Ð¾ Ð½Ð°ÐºÐ°Ð¿Ð»Ð¸Ð²Ð°Ñ‚ÑŒ Ð½Ðµ Ñ‚Ð¾Ð»ÑŒÐºÐ¾ Ð½Ð° Ñ€ÐµÐ¹ÑÐ°Ñ… Ð¾Ð¿ÐµÑ€Ð°Ñ‚Ð¾Ñ€Ð°, Ð½Ð¾ Ð¸ Ð·Ð° Ð¿Ð¾ÐºÑƒÐ¿ÐºÐ¸ Ñƒ Ð¿Ð°Ñ€Ñ‚Ð½ÐµÑ€Ð¾Ð² Ð¿Ñ€Ð¾Ð³Ñ€Ð°Ð¼Ð¼Ñ‹, Ð±Ñ€Ð¾Ð½Ð¸Ñ€Ð¾Ð²Ð°Ð½Ð¸Ðµ Ð¾Ñ‚ÐµÐ»ÐµÐ¹ Ð¸ Ð°Ñ€ÐµÐ½Ð´Ñƒ Ð°Ð²Ñ‚Ð¾Ð¼Ð¾Ð±Ð¸Ð»ÐµÐ¹. Â«Norwegian RewardÂ» Ð¿Ñ€ÐµÐ´Ð»Ð°Ð³Ð°ÐµÑ‚ ÑÐ²Ð¾Ð¸Ð¼ ÑƒÑ‡Ð°ÑÑ‚Ð½Ð¸ÐºÐ°Ð¼ Ð¾ÑÐ¾Ð±Ñ‹Ðµ Ð¿Ñ€Ð¸Ð²Ð¸Ð»ÐµÐ³Ð¸Ð¸, Ñ‚Ð°ÐºÐ¸Ðµ ÐºÐ°Ðº ÑÐºÐ¸Ð´ÐºÐ¸ Ð½Ð° Ñ€ÐµÐ¹ÑÑ‹ Ð¸ Ð±ÐµÑÐ¿Ð»Ð°Ñ‚Ð½Ñ‹Ðµ Ð¼ÐµÑÑ‚Ð°.</t>
  </si>
  <si>
    <t>Flight Schedules | Compare Hotels | Carry On Baggage | Cheap Ticket | Passenger Numbers | Domestic Airlines | Search Ticket | Passenger Aircraft | International Flights | Economy Class</t>
  </si>
  <si>
    <t>Travel Agencies | Aircraft Maintenance / Repair / Storage (incl Hangars) | Ticket Agencies | Trucks - Hauling for Others (incl Incidental Short-Term Warehousing) | Motorcoaches / Charter Bus Operations</t>
  </si>
  <si>
    <t>729801 | 458001 | 797001 | 411701 | 411902</t>
  </si>
  <si>
    <t>67 59 30 00</t>
  </si>
  <si>
    <t>post@norwegian.no</t>
  </si>
  <si>
    <t>http://www.norwegian.no/en/</t>
  </si>
  <si>
    <t>ru</t>
  </si>
  <si>
    <t>https://www.facebook.com/flynorwegiannow/</t>
  </si>
  <si>
    <t>https://www.instagram.com/flynorwegian/</t>
  </si>
  <si>
    <t>https://www.youtube.com/user/norwegian</t>
  </si>
  <si>
    <t>font scripts: google font api | databases: mysql | performance: cloudflare rocket loader | analytics: snowplow analytics | miscellaneous: open graph | iaas: snowplow analytics | javascript libraries: jquery - 3.6.0 | cms: wordpress | blogs: wordpress | ecommerce: cart functionality | wordpress plugins: wp-pagenavi | programming languages: php</t>
  </si>
  <si>
    <t>2021-08-23T09:00:23.000Z</t>
  </si>
  <si>
    <t>NOVATARIS A/S</t>
  </si>
  <si>
    <t>1da9722c-93e5-11eb-86dd-ffbd1b53140e</t>
  </si>
  <si>
    <t>Novartis Healthcare</t>
  </si>
  <si>
    <t>Novataris A/S.</t>
  </si>
  <si>
    <t>Novataris</t>
  </si>
  <si>
    <t>DK, Denmark, Capital Region of Denmark, Copenhagen, 1051, Nyhavn, 43, 55.68004249999999, 12.5909868</t>
  </si>
  <si>
    <t>Novartis is a global healthcare company based in Switzerland that provides solutions to address the evolving needs of patients worldwide.</t>
  </si>
  <si>
    <t>IT consultancy; custom software; agile development; integration; digital transformation</t>
  </si>
  <si>
    <t>Copenhagen-based IT consultancy delivering bespoke software and digital solutions.</t>
  </si>
  <si>
    <t>Novataris A/S is a Danish IT consultancy that designs and develops custom software solutions and integrations using agile methods, helping organisations modernise legacy systems, digitise business processes and implement cloud-native architectures.</t>
  </si>
  <si>
    <t>system integration; bespoke applications; Azure; architecture; digital transformation projects</t>
  </si>
  <si>
    <t>IT Consulting &amp; Custom Software</t>
  </si>
  <si>
    <t>Custom software development and IT consultancy</t>
  </si>
  <si>
    <t>39 16 84 00</t>
  </si>
  <si>
    <t>+4570278000 | +4531435851 | +4536066431 | +4531435852 | +4531435870 | +4553641444</t>
  </si>
  <si>
    <t>mn@novataris.com</t>
  </si>
  <si>
    <t>job@novataris.com | info@novataris.com</t>
  </si>
  <si>
    <t>jdh@novataris.com | db@novataris.com | tp@novataris.com | mn@novataris.com</t>
  </si>
  <si>
    <t>http://www.novartis.dk/</t>
  </si>
  <si>
    <t>https://www.facebook.com/NovartisDanmark</t>
  </si>
  <si>
    <t>https://www.linkedin.com/company/novartis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</si>
  <si>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</si>
  <si>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</si>
  <si>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Ntt (Thailand) Ltd</t>
  </si>
  <si>
    <t>8ca257c0-2500-11ec-8a8c-a3b3ae9839e4</t>
  </si>
  <si>
    <t>NTT DATA Business Solutions Thailand</t>
  </si>
  <si>
    <t>Thanon Ratchadaphisek</t>
  </si>
  <si>
    <t>TH, Thailand, Bangkok, Bang Rak, 10500, Si Lom Road, 323, 13.726783499999998, 100.53147450000002 | TH, Thailand, Bangkok, Bang Rak, 10500, Si Lom Road, 323, 13.7267552, 100.53155922109588</t>
  </si>
  <si>
    <t>Our technology, innovation and comprehensive portfolio of global services enable your business transformation. Learn more about NTT DATA.</t>
  </si>
  <si>
    <t>SAP Solutions | E-business Solutions for Medium-sized Organizations | Computer Consultancy | Computer Support Services</t>
  </si>
  <si>
    <t>Our Mission:To provide superior SAP related solutions to our customers, grow ourpractice by building partnerships with our customers, and work jointlywith them to improve their business environmentsOur Vision:To be the premier provider for mySAP and related e-businesssolutions for medium and large-sized organizations in Asia.</t>
  </si>
  <si>
    <t>Our Mission:To provide superior SAP related solutions to our customers, grow ourpractice by building partnerships with our customers, and work jointlywith them to improve their business environments
Our Vision:To be the premier provider for my
SAP and related e-businesssolutions for medium and large-sized organizations in Asia.</t>
  </si>
  <si>
    <t>IT Consulting Services | Information Technology Services</t>
  </si>
  <si>
    <t>Computer programming</t>
  </si>
  <si>
    <t>02 236 7227</t>
  </si>
  <si>
    <t>+60322848311 | +6622370553</t>
  </si>
  <si>
    <t>https://hello.global.ntt/en-us/</t>
  </si>
  <si>
    <t>https://www.facebook.com/globalntt/</t>
  </si>
  <si>
    <t>https://twitter.com/nttdata_inc</t>
  </si>
  <si>
    <t>https://www.instagram.com/nttdatainc</t>
  </si>
  <si>
    <t>http://www.linkedin.com/company/nttdata-th</t>
  </si>
  <si>
    <t>https://www.youtube.com/@nttdata_inc</t>
  </si>
  <si>
    <t>2021-12-08T21:59:02.000Z</t>
  </si>
  <si>
    <t>NTT ASIA PACIFIC HOLDINGS PTE. LIMITED</t>
  </si>
  <si>
    <t>078539cb-de8d-11ed-97d5-194eea31e06d</t>
  </si>
  <si>
    <t>NTT Advanced Technology Singapore</t>
  </si>
  <si>
    <t>Kallang Avenue</t>
  </si>
  <si>
    <t>SG, Singapore, Central, Singapore, 339509, Kallang Avenue, 8, 1.3106362, 103.8650155</t>
  </si>
  <si>
    <t>Super Water Repellent | Humidity Control Sheet | Gan Epitaxial Wafers | Optical Connector Cleaner | Data Analytics and AI Solutions | Intelligent Optical Switch | ICT Solutions Provider | Networking Monitoring | Robotic Process Automation | Optical Adhesives</t>
  </si>
  <si>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</si>
  <si>
    <t>RPA Tools | Networking Monitoring | Process Automation | Data &amp; Analytics | Ai &amp; Robotics</t>
  </si>
  <si>
    <t>Corporate, Subsidiary, and Regional Managing Offices</t>
  </si>
  <si>
    <t>Regional Management</t>
  </si>
  <si>
    <t>Management Consulting</t>
  </si>
  <si>
    <t>Activities of head offices</t>
  </si>
  <si>
    <t>Head office activities</t>
  </si>
  <si>
    <t>6991 2020</t>
  </si>
  <si>
    <t>https://services.global.ntt/</t>
  </si>
  <si>
    <t>http://www.linkedin.com/company/nttat-singapore</t>
  </si>
  <si>
    <t>2023-04-19T08:33:41.772Z</t>
  </si>
  <si>
    <t>NTT DATA Business Solutions Korlatolt Felelossegu Tarsasag</t>
  </si>
  <si>
    <t>18dd6593-bff8-11ec-8b28-cb03f644c6b1</t>
  </si>
  <si>
    <t>NTT DATA Business Solutions Kft.</t>
  </si>
  <si>
    <t>NTT DATA Business Solutions Limited Liability Company</t>
  </si>
  <si>
    <t>MOL MOVE</t>
  </si>
  <si>
    <t>Budapest</t>
  </si>
  <si>
    <t>Neumann János utca</t>
  </si>
  <si>
    <t>HU, Hungary, Budapest, Budapest, 1117, Neumann JÃ¡nos utca, 1, 47.47016605, 19.05871051723645</t>
  </si>
  <si>
    <t>Global SAP consulting competence and leading full-service SAP software solutions provider in over 30 countries.</t>
  </si>
  <si>
    <t>Gastronomy Products | Premium EVO Fuels | JIM Energy Drink | Crunchy Chips | Car Wash Services | Free Public Toilet | Mobile Refuelers | Hot Dogs | Green Level Membership | Personalized Offers | Hot Chocolates | Free Coffee | Sandwich Options | Mobile App for Car Refueling | Cleaning &amp; Disinfecting | Fresh Foods</t>
  </si>
  <si>
    <t>Tankolj fel a vÃ¡laszthatÃ³ kedvezmÃ©nyekÃ©rt</t>
  </si>
  <si>
    <t>Fedezd fel ellenÃ¡llhatatlan gasztro termÃ©keinket Ã©s exkluzÃ­v szolgÃ¡ltatÃ¡sainkat. Csatlakozz a MOL Move programhoz, Ã©s kezdd tagsÃ¡god a Green szinten. Ugorj be hozzÃ¡nk egy ajÃ¡ndÃ©k kÃ¡vÃ©ra , egy JIM energiaitalra vagy egy roppanÃ³s Crunch &amp; Go chipsre , Ã©s hasznÃ¡ld ki 10 Ft/l egyszeri kedvezmÃ©ny kuponodat EVO Ã¼zemanyag tankolÃ¡sÃ¡ra magyar forgalmi rendszÃ¡mÃº autÃ³ba. SzemÃ©lyre szabott ajÃ¡nlatok Ã©s friss gasztro termÃ©kek. Izgalmas kuponokkal, kedvezmÃ©nyekkel Ã©s szemÃ©lyre szabott ajÃ¡nlatokkal vÃ¡runk. Olyan dolgokkal gyÅ±jthetsz pontot, amelyek egyÃ©bkÃ©nt is a hÃ©tkÃ¶znapjaid rÃ©szei - mi pedig cserÃ©be megjutalmazunk. TalÃ¡ld meg a MOL tÃ¶ltÅ‘Ã¡llomÃ¡sokat. HasznÃ¡ld a digitÃ¡lis hÅ±sÃ©gkÃ¡rtyÃ¡d. VÃ¡lassz kedvedre valÃ³ kedvezmÃ©nyt. TÃ¶ltsd le a MOL Move applikÃ¡ciÃ³t Ã©s regisztrÃ¡lj vagy lÃ©pj be az appba. Minden, 15 000 Ft-ot meghaladÃ³ vÃ¡sÃ¡rlÃ¡soddal matricÃ¡t szerezhetsz, egy vÃ¡sÃ¡rlÃ¡ssal akÃ¡r tÃ¶bbet is. AkÃ¡r mÃ¡r kÃ©t matricÃ¡t is kuponra vÃ¡lthatsz, de tÃ¶bb matricÃ¡val nagyobb kedvezmÃ©nyek vÃ¡rnak. JÃ¡tssz velÃ¼nk a nyeremÃ©nyjÃ¡tÃ©kainkban.</t>
  </si>
  <si>
    <t>Fuel Discounts | Hot Dogs</t>
  </si>
  <si>
    <t>Gas Stations</t>
  </si>
  <si>
    <t>Road Transportation</t>
  </si>
  <si>
    <t>TR-RO</t>
  </si>
  <si>
    <t>Gasoline Service Station (gasoline station without convenience store)</t>
  </si>
  <si>
    <t>Retail sale of automotive fuel in specialized stores</t>
  </si>
  <si>
    <t>Retail sale of automotive fuel in specialised stores</t>
  </si>
  <si>
    <t>(06 1) 452 3800</t>
  </si>
  <si>
    <t>hello@molmove.hu</t>
  </si>
  <si>
    <t>https://nttdata-solutions.com/</t>
  </si>
  <si>
    <t>hu</t>
  </si>
  <si>
    <t>https://www.facebook.com/mol.magyarorszag/</t>
  </si>
  <si>
    <t>https://www.instagram.com/ndbs_usa/</t>
  </si>
  <si>
    <t>https://www.linkedin.com/company/ntt-data-business-solutions</t>
  </si>
  <si>
    <t>https://apps.apple.com/hu/app/mol-move/id1572612950</t>
  </si>
  <si>
    <t>https://play.google.com/store/apps/details?id=hu.mol.move</t>
  </si>
  <si>
    <t>https://www.youtube.com/c/nttdatabusinesssolutionsus/featured</t>
  </si>
  <si>
    <t>2022-04-19T15:48:03.000Z</t>
  </si>
  <si>
    <t>ITELLIGENCE A/S</t>
  </si>
  <si>
    <t>043f0af0-a7d0-11ed-8169-bfb473e2b988</t>
  </si>
  <si>
    <t>NTT DATA Business Solutions a/s</t>
  </si>
  <si>
    <t>Itelligencedeblog | itelligence itelligence AG | itelligence AG</t>
  </si>
  <si>
    <t>Horsens</t>
  </si>
  <si>
    <t>Erhvervsbyvej</t>
  </si>
  <si>
    <t>SAP consulting; ERP; application management; cloud hosting; NTT DATA</t>
  </si>
  <si>
    <t>Danish SAP-focused IT consultancy providing implementation and managed services.</t>
  </si>
  <si>
    <t>itelligence A/S, now operating under the NTT DATA Business Solutions brand, is a Danish IT services company specialising in SAP implementations, application management, hosting and cloud services for organisations across multiple industries.</t>
  </si>
  <si>
    <t>SAP S/4HANA; ERP projects; AMS; hosting; cloud migration; managed SAP services</t>
  </si>
  <si>
    <t>SAP &amp; Enterprise IT Services</t>
  </si>
  <si>
    <t>SAP consulting, application management and hosting services</t>
  </si>
  <si>
    <t>70 22 21 66</t>
  </si>
  <si>
    <t>support@itelligence.de</t>
  </si>
  <si>
    <t>https://www.facebook.com/itelligence.de/</t>
  </si>
  <si>
    <t>https://twitter.com/itelligence_de</t>
  </si>
  <si>
    <t>2023-02-07T08:11:52.000Z</t>
  </si>
  <si>
    <t>Ntt Malaysia Solutions Sdn. Bhd.</t>
  </si>
  <si>
    <t>949c9b55-93e4-11eb-8474-3bbe2d07207d</t>
  </si>
  <si>
    <t>NTT MSC Sdn Bhd</t>
  </si>
  <si>
    <t>MALAYSIA MICROELECTRONIC SOLUTIONS SDN BHD.</t>
  </si>
  <si>
    <t>Malaysia Microelectronic Solutions | Malaysia Microelectronic</t>
  </si>
  <si>
    <t>First Avenue</t>
  </si>
  <si>
    <t>MY, Malaysia, Selangor, Petaling Jaya, 47410, Persiaran Damansara Indah, 1, 3.139184, 101.59557110909401 | MY, Malaysia, Selangor, Petaling Jaya, 46350, Jalan Dato Abu Bakar 16/1, , 3.1241044, 101.6469978</t>
  </si>
  <si>
    <t>NTT drives innovation globally with human-centered technology, creating a connected future for people and communities.</t>
  </si>
  <si>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</si>
  <si>
    <t>We have extended our offerings to include services such as Electrical/Electronic Engineering Consultation, Printed Circuit Board (PCB) Diagnostics &amp; Repairs, Transportation Solutions and Devices &amp; Application Solutions.</t>
  </si>
  <si>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</si>
  <si>
    <t>Printed Circuit Boards | Voltage Regulator | System Integration | Repair &amp; Calibration | Pcb Repair | Risk Management | Industrial Electronics Repair | Protection Relays | Integrated Circuit | IT Consulting Services</t>
  </si>
  <si>
    <t>Semiconductors and Related Devices</t>
  </si>
  <si>
    <t>03-7710 8288</t>
  </si>
  <si>
    <t>+60379312257 | +60379312258</t>
  </si>
  <si>
    <t>sales_info@my-ms.com</t>
  </si>
  <si>
    <t>enquiry@my-ms.com | sales@my-ms.com | sales_info@my-ms.com</t>
  </si>
  <si>
    <t>https://www.global.ntt/</t>
  </si>
  <si>
    <t>https://facebook.com/MalaysiaMicroelectronicSolutionsSdnBhd</t>
  </si>
  <si>
    <t>https://twitter.com/mymicr_esolutn</t>
  </si>
  <si>
    <t>https://www.linkedin.com/company/ntt/</t>
  </si>
  <si>
    <t>https://www.youtube.com/watch?v=_GFE0LzAlOo</t>
  </si>
  <si>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</si>
  <si>
    <t>2020-06-24T16:37:23.000Z</t>
  </si>
  <si>
    <t>Ntt Msc Sdn. Bhd.</t>
  </si>
  <si>
    <t>e1f8af16-93e4-11eb-91fb-73d498260b10</t>
  </si>
  <si>
    <t>NTT HEATING SDN BHD. | NTT Heating Sabah Sdn Bhd.</t>
  </si>
  <si>
    <t>NTT Heating</t>
  </si>
  <si>
    <t>MY, Malaysia, Selangor, Petaling Jaya, 47301, Jalan PJU 1A/1C, 31, 3.1210724, 101.5885862</t>
  </si>
  <si>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</si>
  <si>
    <t>NTT Heating Sdn Bhd is the leading specialist for Industrial Heating Elements and Control Accesories in the Malaysian Market.</t>
  </si>
  <si>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</si>
  <si>
    <t>Industrial Air Solutions</t>
  </si>
  <si>
    <t>Industrial Goods</t>
  </si>
  <si>
    <t>3569 | 3634 | 3433</t>
  </si>
  <si>
    <t>General Industrial Machinery and Equipment, NEC (electric swimming pool heaters) | Electric Housewares and Fans (wall and baseboard heating units for permanent installation) | Heating Equipment, Except Electric and Warm Air Furnaces</t>
  </si>
  <si>
    <t>2512 | 2815</t>
  </si>
  <si>
    <t>Manufacture of tanks, reservoirs and containers of metal | Manufacture of ovens, furnaces and furnace burners</t>
  </si>
  <si>
    <t>25.21 | 25.29 | 28.21</t>
  </si>
  <si>
    <t>Manufacture of central heating radiators and boilers | Manufacture of other tanks, reservoirs and containers of metal | Manufacture of ovens, furnaces and furnace burners</t>
  </si>
  <si>
    <t>+60123131050 | +60173131090 | +60378455069 | +60192210541 | +60378455117</t>
  </si>
  <si>
    <t>sales@ntt.com.my</t>
  </si>
  <si>
    <t>sales.sabah@ntt.com.my | sales@ntt.com.my</t>
  </si>
  <si>
    <t>https://www.facebook.com/NTTHeating/</t>
  </si>
  <si>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</si>
  <si>
    <t>2020-06-08T13:12:01.000Z</t>
  </si>
  <si>
    <t>OCH A/S</t>
  </si>
  <si>
    <t>730ffb2d-0b27-11ec-b2ab-d99f5193142c</t>
  </si>
  <si>
    <t>Och DK A/S</t>
  </si>
  <si>
    <t>OCH A/S.</t>
  </si>
  <si>
    <t>OCH</t>
  </si>
  <si>
    <t>Holmbladsgade</t>
  </si>
  <si>
    <t>Danish IT company providing IT operations, hosting and managed services for small and medium-sized businesses.</t>
  </si>
  <si>
    <t>IT operations; hosting; managed services; cloud; support</t>
  </si>
  <si>
    <t>Denmark-based IT operations and managed services provider.</t>
  </si>
  <si>
    <t>OCH A/S is a Danish IT services company offering IT operations, hosting and managed services, including server operations, cloud solutions and end user support for small and medium-sized organisations.</t>
  </si>
  <si>
    <t>managed hosting; outsourcing; server operations; cloud services; helpdesk</t>
  </si>
  <si>
    <t>Managed Hosting &amp; IT Services</t>
  </si>
  <si>
    <t>IT operations and hosting services</t>
  </si>
  <si>
    <t>Photographers' Studios (Incl Away from Premises) | Communications Equipment Manufacturing (Outside) | Communication Equipment Installation - Commercial | Call Centres - No Dispatch | Communication Equipment Installation - Residential</t>
  </si>
  <si>
    <t>729201 | 349401 | 153402 | 740806 | 153401</t>
  </si>
  <si>
    <t>98 13 78 50</t>
  </si>
  <si>
    <t>+4528275509 | +4539999931 | +4560101066</t>
  </si>
  <si>
    <t>finance@och.dk</t>
  </si>
  <si>
    <t>administration@och.dk | finance@och.dk</t>
  </si>
  <si>
    <t>brian.zack@och.dk</t>
  </si>
  <si>
    <t>http://och.dk/da</t>
  </si>
  <si>
    <t>network devices: html | widgets: css</t>
  </si>
  <si>
    <t>2021-09-01T11:47:01.000Z</t>
  </si>
  <si>
    <t>OK A.M.B.A.</t>
  </si>
  <si>
    <t>d9669f7b-93e4-11eb-91fb-73d498260b10</t>
  </si>
  <si>
    <t>OK a.m.b.a.</t>
  </si>
  <si>
    <t>OK a.m.b.a</t>
  </si>
  <si>
    <t>Viby J</t>
  </si>
  <si>
    <t>Åhave Parkvej</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</si>
  <si>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NykÃ¸bing Falster, 4800, Vesterskovvej, 27, 54.76668930053711, 11.881498336791992 | DK, Denmark, Central Denmark Region, Skive, 7800, , , 56.55754214839115, 9.021581175808356 | DK, Denmark, Region of Southern Denmark, Vejle Municipality, 6040, MajsvÃ¦nget, 2, 55.58982467651367, 9.427091598510742 | DK, Denmark, Region Zealand, Kalundborg, 4400, Sydhavnsvej, 1, 55.67635726928711, 11.104952812194824 | DK, Denmark, Region Zealand, Roskilde, 4000, HyrdehÃ¸j Bygade, 30, 55.632869720458984, 12.046194076538086 | DK, Denmark, North Denmark Region, Frederikshavn Municipality, 9900, Grundtvigsvej, 82, 57.48207092285156, 10.475994110107422 | DK, Denmark, Central Denmark Region, Aarhus, 8260, Ã…have Parkvej, 11, 56.132644, 10.157896</t>
  </si>
  <si>
    <t>retail, energy and insurance cooperative in Denmark</t>
  </si>
  <si>
    <t>fuel stations; heating oil; electricity; energy services; cooperative</t>
  </si>
  <si>
    <t>Danish cooperative energy supplier providing fuel, heating and electricity.</t>
  </si>
  <si>
    <t>OK er dit danske energiselskab. Vi har mere end 670 lokale tankstationer over hele landet. Vi sælger også fyringsolie, el, naturgas, varmepumper m.m.</t>
  </si>
  <si>
    <t>service stations; fuel cards; heating oil; electricity supply; energy solutions</t>
  </si>
  <si>
    <t>Energy &amp; Fuel Distribution</t>
  </si>
  <si>
    <t>Fuel retailing and energy supply</t>
  </si>
  <si>
    <t>Energy / Retail</t>
  </si>
  <si>
    <t>Gasoline Service Stations</t>
  </si>
  <si>
    <t>Gas Station - Self Serve (No Repairs) | Gas Station - Full Serve (No Repairs) | Plumbing - Residential | Electrical Contractors - Residential | Electrical Contractors - Commercial (No Industrial)</t>
  </si>
  <si>
    <t>552501 | 552101 | 171101 | 173101 | 173102</t>
  </si>
  <si>
    <t>70 10 20 33</t>
  </si>
  <si>
    <t>https://www.ok.dk/</t>
  </si>
  <si>
    <t>https://www.facebook.com/OKenergi/</t>
  </si>
  <si>
    <t>https://www.instagram.com/ok_energi/</t>
  </si>
  <si>
    <t>https://www.linkedin.com/company/ok-a-m-b-a/</t>
  </si>
  <si>
    <t>https://www.youtube.com/@OKenergi</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</si>
  <si>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</si>
  <si>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2019-11-24T02:18:26.000Z</t>
  </si>
  <si>
    <t>Omd (M) Sdn. Bhd.</t>
  </si>
  <si>
    <t>a54919b7-93e4-11eb-b4a6-27899be4e45d</t>
  </si>
  <si>
    <t>Optimum Media Direction (M) Sdn Bhd</t>
  </si>
  <si>
    <t>OMD World Imaging M Sdn. Bhd.</t>
  </si>
  <si>
    <t>OMD World Imaging</t>
  </si>
  <si>
    <t>Jalan SS21/37</t>
  </si>
  <si>
    <t>MY, Malaysia, Kuala Lumpur, Kuala Lumpur, 55100, , , 3.155291911267606, 101.71282900352114</t>
  </si>
  <si>
    <t>Medical Imaging Equipment Supplier | Imaging Solutions Provider</t>
  </si>
  <si>
    <t>OMD World Imaging is a medical supply manufacturer based in Kuala Lumpur, Malaysia.</t>
  </si>
  <si>
    <t>3845 | 3844</t>
  </si>
  <si>
    <t>Electromedical and Electrotherapeutic Apparatus (CT and CAT Scanners) | X-Ray Apparatus and Tubes and Related Irradiation Apparatus</t>
  </si>
  <si>
    <t>Manufacture of irradiation, electromedical and electrotherapeutic equipment</t>
  </si>
  <si>
    <t>03-7660 9999</t>
  </si>
  <si>
    <t>enquiry@omdworldimaging.com</t>
  </si>
  <si>
    <t>http://www.omd.com/malaysia/global-media-agency</t>
  </si>
  <si>
    <t>https://www.facebook.com/omdworldimaging/</t>
  </si>
  <si>
    <t>https://www.instagram.com/omdworldimaging/</t>
  </si>
  <si>
    <t>web servers: ibm websphere application server | reverse proxies: nginx | databases: mysql | web servers: schannel | cms: wordpress | blogs: wordpress | web servers: nginx | programming languages: php</t>
  </si>
  <si>
    <t>2020-12-07T20:53:08.000Z</t>
  </si>
  <si>
    <t>OMD AS</t>
  </si>
  <si>
    <t>c7578028-8aa5-11ec-8962-8b4db591a2d2</t>
  </si>
  <si>
    <t>Omnicom Media Group AS</t>
  </si>
  <si>
    <t>OMD Norway</t>
  </si>
  <si>
    <t>Frøyas gate</t>
  </si>
  <si>
    <t>NO, Norway, Oslo, Oslo, 0273, FrÃ¸yas gate, 15, 59.9168758, 10.6935439</t>
  </si>
  <si>
    <t>OMD Norge is a full-service media agency and a subsidiary of Omnicom Group, the world's largest holding company in communication. They are dedicated to providing insights, ideas, and results to help their clients achieve business growth.</t>
  </si>
  <si>
    <t>Media Agency Services | Business Growth Services | Largest Holding Company in Communications</t>
  </si>
  <si>
    <t>OMD Norge er opptatt av Ã¥ levere innsikt, ideer og resultater som skaper forretningsvekst for vÃ¥re kunder.</t>
  </si>
  <si>
    <t>OMD Norge er opptatt av Ã¥ levere innsikt, ideer og resultater som skaper forretningsvekst for vÃ¥re kunder. OMD Norge er et fullservice mediebyrÃ¥ og en del av Omnicom Group, som er verdens stÃ¸rste holdingsselskap innen kommunikasjon.</t>
  </si>
  <si>
    <t>Advertising Services</t>
  </si>
  <si>
    <t>Operations Consultants | Management Consultants | Marketing Consultants | Information Technology Consultants | Advertising Agencies</t>
  </si>
  <si>
    <t>641403 | 641401 | 641405 | 641411 | 731201</t>
  </si>
  <si>
    <t>22 04 83 00</t>
  </si>
  <si>
    <t>http://www.linkedin.com/company/omdnorway</t>
  </si>
  <si>
    <t>2022-02-18T23:40:32.000Z</t>
  </si>
  <si>
    <t>Media Direction A/S</t>
  </si>
  <si>
    <t>ac63db81-72e7-11ec-8200-bfd1296681fb</t>
  </si>
  <si>
    <t>Omnicom Media Group A / S</t>
  </si>
  <si>
    <t>New Media Direction ApS.</t>
  </si>
  <si>
    <t>New Media Direction</t>
  </si>
  <si>
    <t>DK, Denmark, Capital Region of Denmark, Copenhagen, 1358, NÃ¸rre Voldgade, 27, 55.684344, 12.572752</t>
  </si>
  <si>
    <t>Danish media agency providing media planning, buying and campaign optimisation across channels.</t>
  </si>
  <si>
    <t>media agency; media planning; buying; advertising; campaign optimisation</t>
  </si>
  <si>
    <t>Copenhagen-based media agency offering planning and buying services.</t>
  </si>
  <si>
    <t>Media Direction A/S is a Danish media agency that advises advertisers on media strategy and handles planning, buying and optimisation of campaigns across TV, digital, print, outdoor and other channels.</t>
  </si>
  <si>
    <t>media strategy; TV and digital buying; performance optimisation; cross-channel campaigns</t>
  </si>
  <si>
    <t>Media &amp; Advertising Agencies</t>
  </si>
  <si>
    <t>Media planning and buying services</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</si>
  <si>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</si>
  <si>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</si>
  <si>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38 14 57 00</t>
  </si>
  <si>
    <t>+4529793379 | +4540590311</t>
  </si>
  <si>
    <t>rbh@newmediadirection.dk</t>
  </si>
  <si>
    <t>info@newmediadirection.dk</t>
  </si>
  <si>
    <t>http://www.omnicommediagroup.dk/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</si>
  <si>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</si>
  <si>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</si>
  <si>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OMEGA EXIM LIMITED</t>
  </si>
  <si>
    <t>1e65962d-93e5-11eb-b5f6-816dd10ac7b0</t>
  </si>
  <si>
    <t>Omega Exim Limited</t>
  </si>
  <si>
    <t>Panthapath</t>
  </si>
  <si>
    <t>BD, Bangladesh, Dhaka Division, Dhaka, 1215, Free School Street, 44 f/6, 23.753161900000002, 90.38410220000002 | BD, Bangladesh, Dhaka Division, Dhaka Metropolitan, , , , ,</t>
  </si>
  <si>
    <t>Bangladesh-based trading company engaged in export and import of various goods and materials.</t>
  </si>
  <si>
    <t>trading; export; import; commodities; distribution</t>
  </si>
  <si>
    <t>Dhaka-based export-import and trading company.</t>
  </si>
  <si>
    <t>Omega Exim Limited is a Bangladeshi trading company focusing on export and import activities, sourcing and distributing a variety of goods and materials to domestic and international partners.</t>
  </si>
  <si>
    <t>international trade; sourcing; distribution; commodities; logistics</t>
  </si>
  <si>
    <t>Trading &amp; Wholesale</t>
  </si>
  <si>
    <t>Export-import and wholesale trading</t>
  </si>
  <si>
    <t>Groceries and Related Products, Not Elsewhere Classified</t>
  </si>
  <si>
    <t>Non-specialized wholesale trade</t>
  </si>
  <si>
    <t>Non-specialised wholesale trade</t>
  </si>
  <si>
    <t>02-9141618</t>
  </si>
  <si>
    <t>+880241025191 | +88029141618</t>
  </si>
  <si>
    <t>salesteam@omegaeximltd.com</t>
  </si>
  <si>
    <t>http://www.omegaeximltd.com/</t>
  </si>
  <si>
    <t>https://www.facebook.com/OMEGAEXIM.ITSOLUTIONS.PROVIDER</t>
  </si>
  <si>
    <t>http://twitter.com</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</si>
  <si>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</si>
  <si>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</si>
  <si>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</si>
  <si>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OMNICOM MEDIA GROUP AS</t>
  </si>
  <si>
    <t>56287c74-2509-11ec-bde8-71cf682bd51e</t>
  </si>
  <si>
    <t>NO, Norway, Oslo, Oslo, 0273, FrÃ¸yas gate, 15, 59.916849400000004, 10.693805</t>
  </si>
  <si>
    <t>Norwegian media agency group within Omnicom, providing media strategy, planning and buying services.</t>
  </si>
  <si>
    <t>media agency; media planning; buying; communications; marketing</t>
  </si>
  <si>
    <t>Oslo-based media agency group under Omnicom.</t>
  </si>
  <si>
    <t>Omnicom Media Group AS is the Norwegian media agency network of Omnicom Group. It offers media strategy, planning, buying and communication advisory services for national and international advertisers.</t>
  </si>
  <si>
    <t>media strategy; channel planning; digital media; TV buying; marketing communications</t>
  </si>
  <si>
    <t>Marketing Consultants | Advertising Agencies | Operations Consultants | Management Consultants | Information Technology Consultants</t>
  </si>
  <si>
    <t>641405 | 731201 | 641403 | 641401 | 641411</t>
  </si>
  <si>
    <t>2021-10-01T22:29:57.000Z</t>
  </si>
  <si>
    <t>OMNICOM MEDIA GROUP ASIA PACIFIC PTE. LTD.</t>
  </si>
  <si>
    <t>c1a538ea-8a9a-11ec-a4f2-5511448670fd</t>
  </si>
  <si>
    <t>Omnicom Media Group Asia Pacific Pte Ltd</t>
  </si>
  <si>
    <t>Omnicom Media Group Asia Pacific</t>
  </si>
  <si>
    <t>Media Circle</t>
  </si>
  <si>
    <t>SG, Singapore, Southwest, , 138565, Media Circle, 29, 1.2936925000000001, 103.79287166743778</t>
  </si>
  <si>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</si>
  <si>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</si>
  <si>
    <t>As a leading global media network, with data at the core, Omnicom Media Group creates end-to-end solutions for clients, anywhere, swiftly and efficiently.</t>
  </si>
  <si>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</si>
  <si>
    <t>Marketplace | Consumer Behavior | Specialty Media | Media Services | Marketing And Advertising | Advertising Services</t>
  </si>
  <si>
    <t>Marketing</t>
  </si>
  <si>
    <t>6018 4255</t>
  </si>
  <si>
    <t>https://omg.com/singapore/</t>
  </si>
  <si>
    <t>https://www.facebook.com/OmnicomMediaGroupWW/</t>
  </si>
  <si>
    <t>https://twitter.com/omnicommediagrp</t>
  </si>
  <si>
    <t>https://www.instagram.com/omnicommediagroup/</t>
  </si>
  <si>
    <t>http://www.linkedin.com/company/omnicom-media-group-asia-pacific</t>
  </si>
  <si>
    <t>2022-02-12T20:39:20.000Z</t>
  </si>
  <si>
    <t>ON THE SPOT A/S</t>
  </si>
  <si>
    <t>50a6dd3e-c175-11ec-8c4a-c37e31e9be9e</t>
  </si>
  <si>
    <t>ON THE SPOT</t>
  </si>
  <si>
    <t>Strandlodsvej</t>
  </si>
  <si>
    <t>DK, Denmark, Capital Region of Denmark, Copenhagen, 2300, Strandlodsvej, 6A, 55.6675894, 12.619720700000002</t>
  </si>
  <si>
    <t>Danish company supplying digital signage and in-store communication solutions for retailers and brands.</t>
  </si>
  <si>
    <t>digital signage; in-store communication; retail media; screens; content management</t>
  </si>
  <si>
    <t>Retail-focused provider of digital signage and in-store communication systems.</t>
  </si>
  <si>
    <t>On The Spot A/S delivers digital signage solutions, screens and content management platforms for retailers and brand owners, enabling targeted in-store communication and retail media across store networks.</t>
  </si>
  <si>
    <t>instore TV; digital displays; CMS; retail communication; visual merchandising</t>
  </si>
  <si>
    <t>Retail Media &amp; Digital Signage</t>
  </si>
  <si>
    <t>Digital signage and in-store media solutions</t>
  </si>
  <si>
    <t>Information &amp; Communication / Professional Services</t>
  </si>
  <si>
    <t>Outdoor Advertising Services</t>
  </si>
  <si>
    <t>70 25 58 00</t>
  </si>
  <si>
    <t>+4570255800 | +4797950550</t>
  </si>
  <si>
    <t>sales@onthespot.net</t>
  </si>
  <si>
    <t>http://www.onthespot.net/</t>
  </si>
  <si>
    <t>https://www.instagram.com/onthespot_lighting/</t>
  </si>
  <si>
    <t>https://www.linkedin.com/company/on-the-spot-a-s/</t>
  </si>
  <si>
    <t>2021-08-20T01:29:29.000Z</t>
  </si>
  <si>
    <t>ONETRUST TECHNOLOGY LIMITED</t>
  </si>
  <si>
    <t>c8762b48-0c2a-11ec-807a-21b3a01de236</t>
  </si>
  <si>
    <t>OneTrust</t>
  </si>
  <si>
    <t>OneTrust ES</t>
  </si>
  <si>
    <t>EC3N 3DQ</t>
  </si>
  <si>
    <t>Lloyd's Avenue</t>
  </si>
  <si>
    <t>GB, United Kingdom, England, London, EC1M 4NJ, St. John Street, 82, 51.521893299999995, -0.10158460000000001</t>
  </si>
  <si>
    <t>OneTrust helps companies manage privacy, consent, and AI governance while automating compliance and reducing risk to build trust and drive innovation.</t>
  </si>
  <si>
    <t>privacy management; compliance; data governance; security; risk management</t>
  </si>
  <si>
    <t>London-based OneTrust entity delivering privacy and compliance software.</t>
  </si>
  <si>
    <t>OneTrust Technology Limited is a UK company within OneTrust, a global provider of software platforms for privacy, security, data governance and compliance. Its solutions help organisations manage GDPR, consent, third-party risk and broader trust programmes.</t>
  </si>
  <si>
    <t>GDPR compliance; consent management; privacy programs; GRC; data mapping</t>
  </si>
  <si>
    <t>Privacy, Security &amp; Compliance Software</t>
  </si>
  <si>
    <t>Privacy, security and governance software solutions</t>
  </si>
  <si>
    <t>0800 011 9778</t>
  </si>
  <si>
    <t>https://www.onetrust.com/</t>
  </si>
  <si>
    <t>analytics: adobe analytics | javascript libraries: core-js | miscellaneous: rss | ui frameworks: bootstrap | customer data platform: adobe experience platform identity service | tag managers: adobe experience platform launch | seo: yoast seo | security: cloudflare turnstile | security: hsts | databases: mysql | miscellaneous: open graph | seo: yoast seo premium | cookie compliance: onetrust | analytics: linkedin insight tag | cms: wordpress | blogs: wordpress | tag managers: google tag manager | javascript libraries: jquery | email: mailchimp | cdn: cloudflare | wordpress plugins: yoast seo | programming languages: php | marketing automation: mailchimp | javascript libraries: jquery migrate</t>
  </si>
  <si>
    <t>2021-09-02T18:35:20.000Z</t>
  </si>
  <si>
    <t>Oracle Corporation (Thailand) Co Ltd</t>
  </si>
  <si>
    <t>Oracle (Thailand)</t>
  </si>
  <si>
    <t>Wireless Road</t>
  </si>
  <si>
    <t>B.M.G. Corporation LTD. is a vertically integrated company based in Bang Rak, Bangkok, specializing in the manufacturing and distribution of fine gemstone and gemstone jewelry. Managed by a second generation of gemstone dealers, the company has over 45 years of experience in the industry. produces a wide range of jewelry, including diamonds and exotic gemstones such as Aquamarine, Morganite, Amethyst, Citrine, Tourmaline, and Tanzanite. The company also manufactures semi-mounts for gemstones and offers custom-made components for designers. With offices in India, the USA, Hong Kong, China, Tanzania, Nigeria, and Zambia, B.M.G. serves fine retailers worldwide, emphasizing high-quality craftsmanship and ethical business practices.</t>
  </si>
  <si>
    <t>02 696 4798</t>
  </si>
  <si>
    <t>https://www.oracle.com/th/index.html</t>
  </si>
  <si>
    <t>https://www.facebook.com/Oracle/</t>
  </si>
  <si>
    <t>https://x.com/oracle</t>
  </si>
  <si>
    <t>https://www.linkedin.com/company/oracle/</t>
  </si>
  <si>
    <t>https://www.youtube.com/oracle/</t>
  </si>
  <si>
    <t>Oracle Corporation Malaysia Sdn. Bhd.</t>
  </si>
  <si>
    <t>cd9b9c12-1b00-11ec-aa6a-03cd9b476476</t>
  </si>
  <si>
    <t>Oracle Corporation Sdn. Bhd.</t>
  </si>
  <si>
    <t>Wilayah Persekutuan</t>
  </si>
  <si>
    <t>MY, Malaysia, Kuala Lumpur, Kuala Lumpur, 59200, Medan Syed Putra Selatan, , 3.1198581000000005, 101.6764974</t>
  </si>
  <si>
    <t>Oracle Corporation Sdn. Bhd. is a software company based in Kuala Lumpur, Malaysia.</t>
  </si>
  <si>
    <t>Custom Programming Services | Software Development and Implementation of Software</t>
  </si>
  <si>
    <t>Oracle Corporation Sdn. Bhd. is a tech company based in Kuala Lumpur, Malaysia.</t>
  </si>
  <si>
    <t>03-2299 3600</t>
  </si>
  <si>
    <t>https://www.oracle.com/</t>
  </si>
  <si>
    <t>2021-12-09T02:45:31.000Z</t>
  </si>
  <si>
    <t>ORACLE DANMARK APS</t>
  </si>
  <si>
    <t>e9a40dcd-13d4-11ec-beb1-7f47ddf7321d</t>
  </si>
  <si>
    <t>Oracle Danmark</t>
  </si>
  <si>
    <t>Oracle DBA DK | Oracle-DBA</t>
  </si>
  <si>
    <t>Tuborg Havnevej</t>
  </si>
  <si>
    <t>Danish subsidiary of Oracle providing database, cloud and enterprise software solutions and services.</t>
  </si>
  <si>
    <t>database; cloud; ERP; enterprise software; consulting</t>
  </si>
  <si>
    <t>Denmark-based Oracle subsidiary delivering database and cloud solutions.</t>
  </si>
  <si>
    <t>Oracle Danmark ApS is the Danish subsidiary of Oracle Corporation. It sells and supports Oracle database technology, middleware, applications and cloud services, and provides consulting and support to Danish enterprises and public sector organisations.</t>
  </si>
  <si>
    <t>Oracle Database; Oracle Cloud; ERP; analytics; consulting services</t>
  </si>
  <si>
    <t>Enterprise Software &amp; Cloud</t>
  </si>
  <si>
    <t>Database and enterprise software solutions</t>
  </si>
  <si>
    <t>Software Developers (Pre-Packaged) | Software Developers (Custom) | Information Technology Consultants | Management Consultants | Operations Consultants</t>
  </si>
  <si>
    <t>891801 | 891802 | 641411 | 641401 | 641403</t>
  </si>
  <si>
    <t>44 80 80 80</t>
  </si>
  <si>
    <t>https://www.oracle.com/dk/index.html</t>
  </si>
  <si>
    <t>miscellaneous: http/3 | security: hsts | web servers: litespeed</t>
  </si>
  <si>
    <t>2021-09-12T13:20:02.000Z</t>
  </si>
  <si>
    <t>ORACLE NORGE AS</t>
  </si>
  <si>
    <t>147df165-1b04-11ec-9b02-8dfd4ec6ef01</t>
  </si>
  <si>
    <t>Oracle Norge AS</t>
  </si>
  <si>
    <t>Vollsveien</t>
  </si>
  <si>
    <t>NO, Norway, Viken, BÃ¦rum, 1366, Vollsveien, 2B, 59.91105879999999, 10.633664300000001 | NO, Norway, TrÃ¸ndelag, Trondheim, 7037, Sluppenvegen, 17B, 63.398754200000006, 10.3961882</t>
  </si>
  <si>
    <t>Norwegian Oracle subsidiary providing database, cloud and enterprise software and related services.</t>
  </si>
  <si>
    <t>database; cloud; enterprise applications; consulting; support</t>
  </si>
  <si>
    <t>Norwegian Oracle subsidiary serving enterprises and public sector.</t>
  </si>
  <si>
    <t>Oracle Norge AS is the Norwegian subsidiary of Oracle Corporation, offering Oracle database and middleware technology, SaaS and IaaS cloud services, and enterprise applications, along with consulting and support services for Norwegian customers.</t>
  </si>
  <si>
    <t>Oracle Cloud; SaaS; database technology; analytics; digital transformation</t>
  </si>
  <si>
    <t>73 84 21 11</t>
  </si>
  <si>
    <t>+4767526704 | +4773842111</t>
  </si>
  <si>
    <t>http://www.oracle.com/</t>
  </si>
  <si>
    <t>2021-08-21T01:01:18.000Z</t>
  </si>
  <si>
    <t>ORACLE SVENSKA AB</t>
  </si>
  <si>
    <t>48dba329-0db8-11ec-87a6-f975ffb1d692</t>
  </si>
  <si>
    <t>Oracle</t>
  </si>
  <si>
    <t>Oracle Database | Oracledataba</t>
  </si>
  <si>
    <t>169 67</t>
  </si>
  <si>
    <t>Råsundavägen</t>
  </si>
  <si>
    <t>Swedish Oracle subsidiary providing database, cloud and enterprise applications to Swedish organisations.</t>
  </si>
  <si>
    <t>Stockholm-based Oracle subsidiary delivering enterprise software and cloud.</t>
  </si>
  <si>
    <t>Oracle Svenska AB is Oracle’s Swedish subsidiary headquartered in Stockholm. It offers Oracle database, middleware, SaaS and IaaS cloud services and enterprise applications, together with consulting, training and support for Swedish businesses and the public sector.</t>
  </si>
  <si>
    <t>Oracle Cloud; database; ERP; analytics; SaaS</t>
  </si>
  <si>
    <t>Information Technology Consultants | Renovation - Residential (Singles / Semis / Townhouses) | Management Consultants | Software Developers (Pre-Packaged) | Software Developers (Custom)</t>
  </si>
  <si>
    <t>641411 | 181102 | 641401 | 891801 | 891802</t>
  </si>
  <si>
    <t>08-587 780 22</t>
  </si>
  <si>
    <t>https://www.oracle.com/se/index.html</t>
  </si>
  <si>
    <t>2021-09-04T17:26:43.000Z</t>
  </si>
  <si>
    <t>Orbis Oy</t>
  </si>
  <si>
    <t>42158f69-05ed-11ec-9dda-a50a7af07a97</t>
  </si>
  <si>
    <t>MitTest Oy.</t>
  </si>
  <si>
    <t>MitTest</t>
  </si>
  <si>
    <t>Vantaa</t>
  </si>
  <si>
    <t>Vanha Kaarelantie</t>
  </si>
  <si>
    <t>FI, Finland, Uusimaa, Vantaa, 01610, Vanha Kaarelantie, 9, 60.2556704, 24.8718677</t>
  </si>
  <si>
    <t>Orbis luo tiedonsiirron tulevaisuutta älykaupunkien, kiinteistöjen, datakeskusten, valmistavan- sekä puolustusteollisuuden tarpeisiin.</t>
  </si>
  <si>
    <t>IT Services | 541511 - Custom Computer Programming Services | Website Traffic Analysis | Maintenance and Calibration Services | User Experience Enhancement | Electronic Device Calibation and Maintenance | Website Functionality Enhancement | Software Development</t>
  </si>
  <si>
    <t>Vastuullista kalibrointi- ja huoltopalvelua. MitTest Oy on henkilÃ¶kunnan omistama, riippumaton elektronisten laitteiden kalibrointi- ja huoltopalvelujen osaaja.</t>
  </si>
  <si>
    <t>MieltymysevÃ¤steiden avulla sivusto tallentaa tietoja, jotka muuttavat sivuston kÃ¤yttÃ¤ytymistÃ¤ ja ulkonÃ¤kÃ¶Ã¤, kuten kielivalintoja tai kÃ¤yttÃ¤jÃ¤n sijainteja. SÃ¤ilytyksen enimmÃ¤iskesto : 1 pÃ¤ivÃ¤ Tyyppi : HTTP-evÃ¤ste __utmc RekisterÃ¶i aikaleiman, jossa on tarkka aika, jolloin kÃ¤yttÃ¤jÃ¤ kÃ¤ytti verkkosivustoa. Tallentaa tietoa, millÃ¤ selaimella ja laitteella verkkosivuillamme vieraillaan. Ã„lÃ¤ myy tai jaa henkilÃ¶tietojani. Vastuullista kalibrointi- ja huoltopalvelua. MitTest Oy on henkilÃ¶kunnan omistama, riippumaton elektronisten laitteiden kalibrointi- ja huoltopalvelujen osaaja. Kalibroimme ja huollamme esimerkiksi. YhteistyÃ¶kumppanien avustuksella kalibroimme ja huollamme myÃ¶s. RadiMation on EMC testauksiin optimoitu mittausohjelmisto, joka on kehitetty yhteistyÃ¶ssÃ¤ merkittÃ¤vien EMC testilaboratorioiden kanssa. Ohjelmisto soveltuu kaikkien valmistajien mittauslaitteille sekÃ¤ eri alojen standardeihin. RadiMation mittausohjelmistolla automatisoit EMC testaukset helposti ja luotettavasti.</t>
  </si>
  <si>
    <t>Equipment Calibration | Rf Signal Generators</t>
  </si>
  <si>
    <t>Electronics Repair &amp; Maintenance</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</si>
  <si>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</si>
  <si>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</si>
  <si>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</si>
  <si>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</si>
  <si>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</si>
  <si>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</si>
  <si>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020 478830</t>
  </si>
  <si>
    <t>+358103203050 | +358400724065</t>
  </si>
  <si>
    <t>https://www.orbis.fi/</t>
  </si>
  <si>
    <t>cookie compliance: cookie control | seo: all in one seo pack | miscellaneous: rss | web servers: empathy platform | widgets: css | javascript libraries: hammer.js | wordpress plugins: all in one seo pack | databases: mysql | issue trackers: really simple discovery | cms: site.com | miscellaneous: open graph | network devices: html | miscellaneous: jquery easing | network devices: html5 | web servers: apache http server | cms: wordpress | blogs: wordpress | tag managers: google tag manager | cookie compliance: cookiebot | javascript libraries: jquery | widgets: javascript | programming languages: php | javascript libraries: jquery migrate | analytics: google analytics</t>
  </si>
  <si>
    <t>2021-08-25T10:45:03.000Z</t>
  </si>
  <si>
    <t>OROGENIC ApS</t>
  </si>
  <si>
    <t>da01a6ec-93e4-11eb-b4a6-27899be4e45d</t>
  </si>
  <si>
    <t>Orogenic ApS</t>
  </si>
  <si>
    <t>Orogenic ApS.</t>
  </si>
  <si>
    <t>Orogenic | Orogenic AS</t>
  </si>
  <si>
    <t>Edisonvej</t>
  </si>
  <si>
    <t>DK, Denmark, Region of Southern Denmark, Vejle, 7100, Edisonvej, 1, 55.733188, 9.568536 | NO, Norway, Viken, Skjetten, 2013, Hvamsvingen, 4, 59.9772562, 11.0057412</t>
  </si>
  <si>
    <t>Orogenic</t>
  </si>
  <si>
    <t>IT consultancy; software development; integration; digital solutions; cloud</t>
  </si>
  <si>
    <t>Denmark-based IT consultancy focused on custom digital solutions.</t>
  </si>
  <si>
    <t>OROGENIC ApS is a Danish IT consultancy that helps organisations design and implement digital solutions, including custom software development, system integrations and cloud-based services.</t>
  </si>
  <si>
    <t>custom applications; API integration; architecture; cloud services; advisory</t>
  </si>
  <si>
    <t>Custom software and IT consulting services</t>
  </si>
  <si>
    <t>72 18 38 83</t>
  </si>
  <si>
    <t>+4535807071 | +4531676898 | +4572183883 | +4722900505 | +4790622282 | +4540914705 | +4799099854 | +4592151121 | +4790559151</t>
  </si>
  <si>
    <t>sales@orogenic.dk</t>
  </si>
  <si>
    <t>info@orogenic.dk | sales@orogenic.dk</t>
  </si>
  <si>
    <t>http://www.orogenic.dk/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</si>
  <si>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</si>
  <si>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</si>
  <si>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</si>
  <si>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ORRICK, HERRINGTON &amp; SUTCLIFFE (UK) LLP</t>
  </si>
  <si>
    <t>023aff72-1a0d-11ef-9384-4731bdd44328</t>
  </si>
  <si>
    <t>Orrick, Herrington &amp; Sutcliffe (UK) LLP</t>
  </si>
  <si>
    <t>Herrington Gate | HerringtonGate.Design</t>
  </si>
  <si>
    <t>EC2V 6DN</t>
  </si>
  <si>
    <t>Cheapside</t>
  </si>
  <si>
    <t>GB, United Kingdom, England, East Boldon, NE36 0SE, Front Street, Toad Hall, 54.944825699999996, -1.4325169000000002</t>
  </si>
  <si>
    <t>Our London team focuses on serving our four sectors: technology &amp; innovation, energy &amp; infrastructure, finance and life sciences &amp; healthtech.</t>
  </si>
  <si>
    <t>Interior Architecture Services | Luxury Home Design | Lighting Services</t>
  </si>
  <si>
    <t>Creative architectural interior design for luxury homes, delivering innovative, stylish interiors tailored for discerning clients.</t>
  </si>
  <si>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</si>
  <si>
    <t>Architecture And Interior Design | Main Portfolio | Luxury Homes</t>
  </si>
  <si>
    <t>020 7862 4600</t>
  </si>
  <si>
    <t>info@herringtongate.design</t>
  </si>
  <si>
    <t>michael@herringtongate.design | milo@herringtongate.design</t>
  </si>
  <si>
    <t>https://www.orrick.com/Locations/United-Kingdom</t>
  </si>
  <si>
    <t>https://www.facebook.com/sharer/sharer.php?u=https%3a%2f%2fwww.orrick.com%2fLocations%2fUnited-Kingdom</t>
  </si>
  <si>
    <t>https://twitter.com/intent/tweet?text=UK&amp;url=https%3a%2f%2fwww.orrick.com%2fLocations%2fUnited-Kingdom</t>
  </si>
  <si>
    <t>https://www.instagram.com/orrickcareers/</t>
  </si>
  <si>
    <t>https://www.linkedin.com/shareArticle?mini=true&amp;url=https%3a%2f%2fwww.orrick.com%2fLocations%2fUnited-Kingdom&amp;title=UK&amp;summary=Our+London+team+focuses+on+serving+our+four+sectors%3a+technology+%26amp%3b+innovation%2c+energy+%26amp%3b+infrastructure%2c+finance+and+life+sciences+%26amp%3b+healthtech.&amp;source=https%3a%2f%2fwww.orrick.com%2fLocations%2fUnited-Kingdom</t>
  </si>
  <si>
    <t>https://www.youtube.com/@orricklawfirm</t>
  </si>
  <si>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</si>
  <si>
    <t>2024-05-23T20:05:09.000Z</t>
  </si>
  <si>
    <t>P1 SECURITY</t>
  </si>
  <si>
    <t>cd85b2eb-93e4-11eb-b5f6-816dd10ac7b0</t>
  </si>
  <si>
    <t>Phoenix Personal Security</t>
  </si>
  <si>
    <t>P1 Security S.A.S.</t>
  </si>
  <si>
    <t>P1 Security</t>
  </si>
  <si>
    <t>Place Vendôme</t>
  </si>
  <si>
    <t>FR, France, Ile-de-France, Paris, 75001, Rue Saint-HonorÃ©, 231, 48.8662226, 2.3292035</t>
  </si>
  <si>
    <t>Votre Sécurité, Notre priorité</t>
  </si>
  <si>
    <t>telecom security; SS7; diameter; signaling security; penetration testing; auditing</t>
  </si>
  <si>
    <t>Paris-based specialist in telecom network and signaling security.</t>
  </si>
  <si>
    <t>P1 Security is a French cybersecurity company focused on security of telecom networks and signaling protocols such as SS7, Diameter and GTP. It provides security audits, penetration testing, monitoring solutions and training for operators and equipment vendors.</t>
  </si>
  <si>
    <t>SS7 firewalls; signaling threat detection; telecom pentest; telecom security audits; training</t>
  </si>
  <si>
    <t>Cybersecurity – Telecom</t>
  </si>
  <si>
    <t>Telecom network and signaling security services and software</t>
  </si>
  <si>
    <t>contact@p1sec.io</t>
  </si>
  <si>
    <t>contact@p1sec.com</t>
  </si>
  <si>
    <t>http://www.ppsecurity.fr/</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</si>
  <si>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</si>
  <si>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</si>
  <si>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</si>
  <si>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</si>
  <si>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Paco Casa Co.,Ltd.</t>
  </si>
  <si>
    <t>6dd0de70-a7a9-11ed-b250-d1c44dcd1aef</t>
  </si>
  <si>
    <t>Paco Casa Co., Ltd.</t>
  </si>
  <si>
    <t>PACO CASA CO. LTD.</t>
  </si>
  <si>
    <t>PACO CASA a | PACO CASA | PACO CASA Warehouse</t>
  </si>
  <si>
    <t>ลาดพร้าว</t>
  </si>
  <si>
    <t>TH, Thailand, Bangkok, Bangkok, 10310, , , 13.770646023, 100.593361982 | TH, Thailand, Bangkok, Bangkok, 10310, , , 13.77185132295957, 100.61443382982101 | TH, Thailand, Bangkok, Bangkok, , , , 13.771851866250854, 100.61443421570466 | TH, Thailand, Bangkok, Wang Thonglang, 10310, Chumchon Phlapphla Soi 2, 345, 13.771905899999998, 100.61435829999999 | TH, Thailand, Pathum Thani Province, Khlong Luang District, , , , 14.130319499999999, 100.6059631</t>
  </si>
  <si>
    <t>Thai garment and fashion manufacturer producing apparel for domestic and export markets.</t>
  </si>
  <si>
    <t>garments; apparel manufacturing; fashion; export; textiles</t>
  </si>
  <si>
    <t>Bangkok-based garment manufacturer.</t>
  </si>
  <si>
    <t>Paco Casa Co., Ltd. is a Thailand-based garment and apparel manufacturer engaged in producing fashion and casual wear for domestic brands and international buyers.</t>
  </si>
  <si>
    <t>clothing production; OEM manufacturing; textiles; fashion; export garments</t>
  </si>
  <si>
    <t>Apparel Manufacturing</t>
  </si>
  <si>
    <t>Garment and apparel production</t>
  </si>
  <si>
    <t>02 158 9068</t>
  </si>
  <si>
    <t>+6621589053 | +6621589068 | +66988556646</t>
  </si>
  <si>
    <t>info@pacocasa.co.th</t>
  </si>
  <si>
    <t>surachet@pacocasath.com</t>
  </si>
  <si>
    <t>http://www.pacocasa.co.th/</t>
  </si>
  <si>
    <t>javascript libraries: lodash | javascript libraries: core-js | miscellaneous: rss | ui frameworks: bootstrap | web servers: empathy platform | ecommerce: woocommerce | javascript frameworks: jquery blockui | widgets: css | javascript libraries: lazysizes | javascript frameworks: jquery mousewheel | form builders: formidable form | javascript libraries: lettering.js | reverse proxies: nginx | databases: mysql | issue trackers: really simple discovery | miscellaneous: touchswipe | cms: site.com | miscellaneous: open graph | reverse proxies: nunjucks | miscellaneous: jquery easing | javascript libraries: dropzone | surveys: formidable form | network devices: html5 | video players: vimeo | wordpress plugins: woocommerce | cms: wordpress | blogs: wordpress | javascript libraries: isotope | javascript libraries: jquery | widgets: javascript | web servers: nginx | programming languages: php | performance: lazysizes | wordpress plugins: formidable form</t>
  </si>
  <si>
    <t>2021-10-01T11:03:15.000Z</t>
  </si>
  <si>
    <t>PAKISTAN INSTITUTE OF NUCLEAR SCIENCE &amp; TECHNOLOGY (PINSTECH)</t>
  </si>
  <si>
    <t>09d8b5fe-ecdb-11ee-96d4-63842c7d9e5f</t>
  </si>
  <si>
    <t>Pakistan Institute of Nuclear Science and Technology (PINSTECH)</t>
  </si>
  <si>
    <t>Pakistan Institute of Nuclear Science &amp; Technology</t>
  </si>
  <si>
    <t>Islamabad Highway</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</si>
  <si>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</si>
  <si>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</si>
  <si>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</si>
  <si>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</si>
  <si>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</si>
  <si>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</si>
  <si>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72.19 | 72.11</t>
  </si>
  <si>
    <t>Other research and experimental development on natural sciences and engineering | Research and experimental development on biotechnology</t>
  </si>
  <si>
    <t>(051) 9248801</t>
  </si>
  <si>
    <t>http://www.linkedin.com/company/pakistan-institute-nuclear-science-technology</t>
  </si>
  <si>
    <t>2024-03-28T08:11:40.282Z</t>
  </si>
  <si>
    <t>PARENT AND FAMILY CONSULTING LIMITED</t>
  </si>
  <si>
    <t>10dd8776-724b-11ec-9e45-ddda6fbc521a</t>
  </si>
  <si>
    <t>Parent Zone</t>
  </si>
  <si>
    <t>Parent Zone Local | Parent Zone</t>
  </si>
  <si>
    <t>N1 9PF</t>
  </si>
  <si>
    <t>White Lion Street</t>
  </si>
  <si>
    <t>GB, United Kingdom, England, London, N1 9PF, White Lion Street, 95, 51.5329057, -0.10737709999999999 | GB, United Kingdom, , , , , , 54.7023545, -3.2765753</t>
  </si>
  <si>
    <t>Parent Zone is a parenting organisation working to make the online world a safer, more positive place for families and children. Explore the ways Parent Zone can help your family, school or organisation understand online safety.</t>
  </si>
  <si>
    <t>Video Courses | Digital Resiliency Training for Parents | Supportive Services for Families | Digital Family Life Support Service | Games and Activities for Children | Live Youtube Internet Safety Parent Events | Mental Health and Wellbeing Support | Wellbeing and Online Safety | Guides to Apps and Online Platforms | Online Challenges</t>
  </si>
  <si>
    <t>Weâ€™re a support service for families in Lewisham, Southwark, Croydon and Lambeth, offering resources, information and advice for everything related to digital family life.</t>
  </si>
  <si>
    <t>But Parent Zone Local is here to help. We're a support service for the families in your area, offering resources, information and advice for everything related to digital family life. Discover a wellbeing advice app for children â€“ boosting family conversations about feelings. For parents of: children aged 7-11. Explore an online world with your child â€“ with challenges, advice and tips. For parents of: children aged 5-16. Find out more about gambling-like activities in online games. Support for parents and teens focussing on financial risks online. Learn a new parenting approach with a digital resilience training course for parents. An online platform for young people, by young people â€“ with articles, opinion and more. Best for: young people aged 14+.</t>
  </si>
  <si>
    <t>Human Resources Consulting Services</t>
  </si>
  <si>
    <t>Other Individual and Family Services</t>
  </si>
  <si>
    <t>Consulting</t>
  </si>
  <si>
    <t>Family Services</t>
  </si>
  <si>
    <t>Social Services</t>
  </si>
  <si>
    <t>Consulting Services</t>
  </si>
  <si>
    <t>Individual and Family Services</t>
  </si>
  <si>
    <t>Other social work activities</t>
  </si>
  <si>
    <t>Other social work</t>
  </si>
  <si>
    <t>020 7686 7225</t>
  </si>
  <si>
    <t>http://www.parentzone.org.uk/</t>
  </si>
  <si>
    <t>https://www.facebook.com/ParentZone1</t>
  </si>
  <si>
    <t>https://www.twitter.com/TheParentsZone</t>
  </si>
  <si>
    <t>https://www.instagram.com/parentzoneuk/</t>
  </si>
  <si>
    <t>https://www.linkedin.com/company/the-parent-zone</t>
  </si>
  <si>
    <t>https://www.youtube.com/@theparentszone/videos</t>
  </si>
  <si>
    <t>javascript libraries: lodash | javascript libraries: jquery ui - 1.13.2 | javascript libraries: jquery - 3.6.3 | miscellaneous: rss | ui frameworks: bootstrap | ui frameworks: bootstrap - 3.4.1 | javascript libraries: lazysizes | cdn: cdnjs | programming languages: php - 8.1.24 | font scripts: google font api | analytics: google analytics - GA4 | reverse proxies: nginx | javascript libraries: modernizr | web frameworks: zurb foundation | cdn: jsdelivr | font scripts: font awesome | javascript libraries: jquery ui | web servers: apache | javascript frameworks: modernizr | seo tool: facebook friendly | cms: drupal | ui frameworks: zurb foundation | javascript libraries: lodash - 1.13.6 | cms: drupal - 9 | tag managers: google tag manager | javascript libraries: jquery | font scripts: font awesome - 5.15.3 | web servers: nginx | cdn: cloudflare | programming languages: php | performance: lazysizes | javascript frameworks: jquery | analytics: google analytics</t>
  </si>
  <si>
    <t>2021-12-14T18:32:39.000Z</t>
  </si>
  <si>
    <t>PELATRO LIMITED</t>
  </si>
  <si>
    <t>25f18078-93e5-11eb-8859-29e7c34dee35</t>
  </si>
  <si>
    <t>Pelatro Plc</t>
  </si>
  <si>
    <t>Aspects of History</t>
  </si>
  <si>
    <t>EC4N 4SA</t>
  </si>
  <si>
    <t>Queen Victoria Street</t>
  </si>
  <si>
    <t>GB, United Kingdom, England, London, SE26 4NG, Mount Gardens, , 51.4346926, -0.0636181</t>
  </si>
  <si>
    <t>Aspects of History is a service establishment specializing in desktop publishing.</t>
  </si>
  <si>
    <t>Publishing Services | Book Reviews | Blog Posts | Historical Fiction Magazine | Platform for Historical Fiction | Author Profile Raising | Prints &amp; Editions | Bookstore | Publishing Company | Service Establishment | Creative Writing Group | Media Coverage | Monthly Magazine | Magazine Publishing | Author Interviews | Online Publishing | Desktop Publishing Services | Short Stories | Podcast Episodes | Publishing Services for Historical Books | Author Platform Arrangement | Author Platform | Kindle Editions</t>
  </si>
  <si>
    <t>Aspects of History is a new magazine and website, launched in December 2020, dedicated to profiling historical writers and their work.</t>
  </si>
  <si>
    <t>Aspects of History is the new magazine and website dedicated to history and historical fiction. Publ</t>
  </si>
  <si>
    <t>Author Interview | Publisher Services | Books Store | Creative Writing | History &amp; Home | Historical Fiction | Featured Authors | Book Giveaway | Penguin Books | E-Books</t>
  </si>
  <si>
    <t>Book Publisher</t>
  </si>
  <si>
    <t>Book Publishers</t>
  </si>
  <si>
    <t>2771 | 2731 | 2741 | 8999 | 2741 | 2711 | 2721 | 2731 | 8999</t>
  </si>
  <si>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</si>
  <si>
    <t>Photographers' Studios (Incl Away from Premises) | Community / Civic / Special Interest Groups (Non-Medical) | Museums / Art Galleries (Public) | Newspaper / Magazine Publishing / Printing | Retail - Fine Art (incl. Restoration)</t>
  </si>
  <si>
    <t>Book publishing</t>
  </si>
  <si>
    <t>729201 | 864401 | 829201 | 271001 | 571101</t>
  </si>
  <si>
    <t>history@aspectsofhistory.com</t>
  </si>
  <si>
    <t>editor@aspectsofhistory.com | history@aspectsofhistory.com</t>
  </si>
  <si>
    <t>publishing@aspectsofhistory.com</t>
  </si>
  <si>
    <t>https://aspectsofhistory.com/</t>
  </si>
  <si>
    <t>https://www.facebook.com/aspectsofhistory/</t>
  </si>
  <si>
    <t>https://twitter.com/aspectshistory</t>
  </si>
  <si>
    <t>https://www.instagram.com/aspectsofhistory/</t>
  </si>
  <si>
    <t>http://www.linkedin.com/company/aspectsofhistory</t>
  </si>
  <si>
    <t>web servers: ibm websphere application server | web servers: litespeed | javascript libraries: core-js | cms: wordpress - 5.7.9 | javascript frameworks: chosen | javascript libraries: owl carousel | ecommerce: woocommerce - 6.3.1 | miscellaneous: rss | affiliate programs: amazon associates | web servers: empathy platform | performance: priority hints | ecommerce: woocommerce | wordpress themes: divi | analytics: google universal analytics | seo: yoast seo | javascript frameworks: jquery blockui | widgets: css | blogs: wordpress - 5.7.9 | cdn: cdnjs | javascript frameworks: jquery mousewheel | wordpress plugins: wordpress popular posts | font scripts: google font api | javascript libraries: jquery - 3.1.13 | wordpress plugins: divi | miscellaneous: http/3 | javascript libraries: core-js - 3.6.4 | databases: mysql | issue trackers: really simple discovery | javascript libraries: jquery ui - 1.12.1 | miscellaneous: touchswipe | cms: site.com | video players: mediaelement.js | wordpress plugins: popup maker | miscellaneous: open graph | widgets: wordpress popular posts | video players: mediaelement.js - 4.2.16 | network devices: html | miscellaneous: jquery easing | javascript libraries: jquery ui | paas: wordpress.com | wordpress plugins: litespeed cache | javascript frameworks: webfont loader | network devices: html5 | miscellaneous: facebook | wordpress plugins: woocommerce | cms: wordpress | web frameworks: chosen | blogs: wordpress | caching: litespeed cache | tag managers: google tag manager | javascript libraries: web font loader | web frameworks: jquery waypoints | javascript libraries: jquery | widgets: javascript | javascript libraries: jquery migrate - 3.3.2 | wordpress plugins: woocommerce - 6.3.1 | wordpress plugins: redux framework - 4.3.3 | cdn: cloudflare | page builders: divi | wordpress plugins: yoast seo | analytics: google analytics - UA | programming languages: php | javascript libraries: jquery migrate | web frameworks: html5 | miscellaneous: instagram | analytics: google analytics</t>
  </si>
  <si>
    <t>2020-07-27T16:08:48.000Z</t>
  </si>
  <si>
    <t>Varsta Software</t>
  </si>
  <si>
    <t>35f81970-cd9f-11ef-9e16-4de35b974c70</t>
  </si>
  <si>
    <t>Varsta Software Oy</t>
  </si>
  <si>
    <t>Varsta s.r.o</t>
  </si>
  <si>
    <t>Pirkanmaa</t>
  </si>
  <si>
    <t>Tampere</t>
  </si>
  <si>
    <t>Åkerlundinkatu</t>
  </si>
  <si>
    <t>CZ, Czechia, South Moravia, Brno, 638 00, Barvy, 924/40, 49.2290746, 16.6337522</t>
  </si>
  <si>
    <t>Varsta, s.r.o. is a construction company based in Brno, Czech Republic, operating since 2004. The company specializes in the construction and reconstruction of civil, residential, and industrial buildings for both public and private investors. collaborates exclusively with experienced subcontractors who meet ISO quality standards and have a proven track record. The company is responsible for the quality of its subcontractors' deliveries, including a guarantee on the work. In 2008, Varsta, s.r.o. implemented the quality management system EN ISO 9001.</t>
  </si>
  <si>
    <t>Design and Contracting of Civil-building Works | Custom Programming Services | ISO Quality System | Construction Contracting Services | Quality Management System</t>
  </si>
  <si>
    <t>StavebnÃ­ spoleÄnost VARSTA pÅ¯sobÃ­ ve stavebnictvÃ­ od roku 2004.</t>
  </si>
  <si>
    <t>StavebnÃ­ spoleÄnost VARSTA pÅ¯sobÃ­ ve stavebnictvÃ­ od roku 2004. Pro veÅ™ejnÃ© i privÃ¡tnÃ­ investrory realizuje zakÃ¡zky pÅ™edevÅ¡Ã­m z oblasti vÃ½stavby a rekonstrukcÃ­ obÄanskÃ½ch, bytovÃ½ch a prÅ¯myslovÃ½ch objektÅ¯.</t>
  </si>
  <si>
    <t>Iso 9001 | Quality Management System</t>
  </si>
  <si>
    <t>Construction Services</t>
  </si>
  <si>
    <t>8741 | 1522 | 1531 | 1541 | 1542 | 1799</t>
  </si>
  <si>
    <t>Management Services (commercial and institutional building construction management) | General Contractors - Residential Buildings Other Than Single-Family (dormitory, barrack, hotel, and motel construction contractors) | Operative Builders (grain elevator, dry cleaning plant, and manufacturing and industrial warehouse operative builders) | General Contractors - Industrial Buildings and Warehouses (general contractors of grain elevators; dry cleaning plants; and manufacturing, industrial, and public warehouses) | General Contractors - Nonresidential Buildings, Other than Industrial Buildings and Warehouses | Special Trade Contractors, NEC (indoor swimming pool construction contractors)</t>
  </si>
  <si>
    <t>4100 | 4290</t>
  </si>
  <si>
    <t>Construction of buildings | Construction of other civil engineering projects</t>
  </si>
  <si>
    <t>41.1 | 41.2 | 42.99 | 42.91</t>
  </si>
  <si>
    <t>Development of building projects | Construction of residential and non-residential buildings | Construction of other civil engineering projects n.e.c. | Construction of water projects</t>
  </si>
  <si>
    <t>varsta@varsta.cz</t>
  </si>
  <si>
    <t>http://www.varsta.cz/kontakt/</t>
  </si>
  <si>
    <t>javascript frameworks: mootools | web servers: empathy platform | widgets: css | cms: typo3 cms | network devices: html | web servers: apache http server | widgets: javascript | programming languages: php | analytics: google analytics</t>
  </si>
  <si>
    <t>2024-05-30T09:03:14.601Z</t>
  </si>
  <si>
    <t>PING IT A/S</t>
  </si>
  <si>
    <t>424a94f5-93e5-11eb-8474-3bbe2d07207d</t>
  </si>
  <si>
    <t>Ping IT A/S</t>
  </si>
  <si>
    <t>Ping IT A/S.</t>
  </si>
  <si>
    <t>Ping IT</t>
  </si>
  <si>
    <t>Svenstrup J</t>
  </si>
  <si>
    <t>Jellingvej</t>
  </si>
  <si>
    <t>DK, Denmark, North Denmark Region, Svenstrup, 9230, Jellingvej, 11, 56.9627153, 9.857007499999998 | DK, Denmark, North Denmark Region, Aalborg, 9000, Vandmanden, 24, 57.003501, 9.867804</t>
  </si>
  <si>
    <t>Danish IT company delivering infrastructure solutions, IT operations and consulting services.</t>
  </si>
  <si>
    <t>IT infrastructure; consulting; operations; networking; cloud</t>
  </si>
  <si>
    <t>Aalborg-based provider of IT infrastructure solutions and services.</t>
  </si>
  <si>
    <t>PING IT A/S is a Danish IT company that designs, implements and operates IT infrastructure, including networking, servers and cloud environments, and provides consulting and support services for businesses.</t>
  </si>
  <si>
    <t>network design; server infrastructure; cloud migration; managed services; IT advisory</t>
  </si>
  <si>
    <t>IT Infrastructure &amp; Services</t>
  </si>
  <si>
    <t>IT infrastructure consulting and operations</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</si>
  <si>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</si>
  <si>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</si>
  <si>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98 15 47 77</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</si>
  <si>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</si>
  <si>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</si>
  <si>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</si>
  <si>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</si>
  <si>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</si>
  <si>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https://www.facebook.com/PingItAs/</t>
  </si>
  <si>
    <t>https://www.linkedin.com/company/ping-it-a-s</t>
  </si>
  <si>
    <t>javascript frameworks: angularjs | javascript frameworks: dojo | javascript frameworks: vue.js | javascript libraries: dojo</t>
  </si>
  <si>
    <t>2019-11-24T01:10:03.000Z</t>
  </si>
  <si>
    <t>Playable ApS</t>
  </si>
  <si>
    <t>fbe50634-036a-11ec-a72b-432edcbee847</t>
  </si>
  <si>
    <t>Playable ApS.</t>
  </si>
  <si>
    <t>Playable</t>
  </si>
  <si>
    <t>Tueager</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</si>
  <si>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</si>
  <si>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Danish creative technology company creating playable ads and interactive creatives for mobile marketing.</t>
  </si>
  <si>
    <t>playable ads; interactive creatives; mobile marketing; ad tech; HTML5</t>
  </si>
  <si>
    <t>Copenhagen-based creator of playable ads and interactive ad formats.</t>
  </si>
  <si>
    <t>Playable ApS is a Danish creative tech company that designs and builds HTML5-based playable ads and interactive creatives for mobile marketing campaigns, helping advertisers increase engagement and performance.</t>
  </si>
  <si>
    <t>mobile advertising; gamified ads; HTML5 creatives; performance marketing; ad production</t>
  </si>
  <si>
    <t>Ad Tech &amp; Creative Studios</t>
  </si>
  <si>
    <t>Playable advertising and interactive creatives</t>
  </si>
  <si>
    <t>89 93 75 58</t>
  </si>
  <si>
    <t>+358400613746 | +4528552433 | +4589937558</t>
  </si>
  <si>
    <t>support@playable.com</t>
  </si>
  <si>
    <t>hello@playable.com | legal@playable.com | support@playable.com</t>
  </si>
  <si>
    <t>https://playable.com/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</si>
  <si>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</si>
  <si>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</si>
  <si>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</si>
  <si>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</si>
  <si>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</si>
  <si>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PLESNER Advokatpartnerselskab</t>
  </si>
  <si>
    <t>7c54f062-93e4-11eb-b5f6-816dd10ac7b0</t>
  </si>
  <si>
    <t>Plesner</t>
  </si>
  <si>
    <t>Plesner | Plesner Advokatpartnerselskab | Plesner law firm | Plesner &amp; GrÃ¸nborg</t>
  </si>
  <si>
    <t>Amerika Plads</t>
  </si>
  <si>
    <t>DK, Denmark, Capital Region of Denmark, Copenhagen, 2100, Amerika Plads, 37, 55.700622, 12.59434</t>
  </si>
  <si>
    <t>Leading Danish law firm providing business law advice across all major practice areas.</t>
  </si>
  <si>
    <t>Plesner Advokatpartnerselskab is one of Denmark’s leading law firms, advising companies, financial institutions and public authorities on all aspects of business law, including M&amp;A, capital markets, competition, dispute resolution, IP/IT, employment and regulatory matters.</t>
  </si>
  <si>
    <t>corporate law; mergers &amp; acquisitions; litigation; capital markets; competition law; commercial contracts</t>
  </si>
  <si>
    <t>Offices of Notaries</t>
  </si>
  <si>
    <t>Lawyers / Barristers / Solicitors | Social / Counselling / Consulting Services | Notaries | Professional Associations | Insurance Agents / Brokers / Adjusters</t>
  </si>
  <si>
    <t>811101 | 808501 | 811201 | 862001 | 641201</t>
  </si>
  <si>
    <t>33 12 11 33</t>
  </si>
  <si>
    <t>+4533120014 | +4533121133</t>
  </si>
  <si>
    <t>plesner@plesner.com</t>
  </si>
  <si>
    <t>compliance@plesner.com</t>
  </si>
  <si>
    <t>http://www.plesner.com/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</si>
  <si>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</si>
  <si>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</si>
  <si>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</si>
  <si>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</si>
  <si>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2019-11-23T22:15:44.000Z</t>
  </si>
  <si>
    <t>PLP INVEST/EJENDOMME A/S</t>
  </si>
  <si>
    <t>602ace8c-0c5e-11ec-b66a-97ea7481e556</t>
  </si>
  <si>
    <t>Plp Invest/Ejendomme A/S</t>
  </si>
  <si>
    <t>PLP Invest Ejendomme A/S.</t>
  </si>
  <si>
    <t>PLP Invest Ejendomme</t>
  </si>
  <si>
    <t>Tagtækkervej</t>
  </si>
  <si>
    <t>DK, Denmark, Region of Southern Denmark, Odense, 5230, TagtÃ¦kkervej, 8, 55.3849516, 10.4230723</t>
  </si>
  <si>
    <t>Vi tilbyder de perfekte rammer for både ambitiøse virksomheder og privatlejere på Fyns mest charmerende lokationer. Kom tæt på byens liv i lejemål med kvalitet, charme og potentiale.</t>
  </si>
  <si>
    <t>real estate investment; property; portfolio management; leasing; development</t>
  </si>
  <si>
    <t>Property investment company managing a portfolio of Danish real estate.</t>
  </si>
  <si>
    <t>PLP Invest/Ejendomme A/S is a Danish investment company engaged in acquisition, ownership and management of real estate properties, generating returns through leasing and long-term value creation.</t>
  </si>
  <si>
    <t>commercial properties; residential properties; leasing; asset management; real estate portfolios</t>
  </si>
  <si>
    <t>Lessors of Residential Buildings and Dwellings</t>
  </si>
  <si>
    <t>Real Estate Investment &amp; Leasing</t>
  </si>
  <si>
    <t>Real estate investment and property management</t>
  </si>
  <si>
    <t>Building Owner - Multiple Occupancy - Mixed-Use Commercial | Building Owner - Single Occupancy - Retail | Building Owner - Multiple Occupancy - Retail (Not Enclosed Mall) | Building Owner - Multiple Occupancy - Office | Building Owner - Single Occupancy - Office</t>
  </si>
  <si>
    <t>Buying and selling of own real estate</t>
  </si>
  <si>
    <t>399101 | 663201 | 529101 | 651101 | 651201</t>
  </si>
  <si>
    <t>32 13 35 36</t>
  </si>
  <si>
    <t>+4532133536 | +4532323448 | +4540594723</t>
  </si>
  <si>
    <t>kontor@plp-ejendomme.dk</t>
  </si>
  <si>
    <t>cp@plp-ejendomme.dk | kontor@plp-ejendomme.dk</t>
  </si>
  <si>
    <t>http://plp-ejendomme.dk/</t>
  </si>
  <si>
    <t>web servers: litespeed | wordpress plugins: wpbakery | javascript libraries: core-js | caching: wp rocket | javascript libraries: jquery migrate - 1.4.1 | miscellaneous: rss | javascript libraries: webp | web servers: empathy platform | performance: priority hints | javascript libraries: swiper | wordpress plugins: elementor | seo: yoast seo | form builders: contact form 7 - 5.1.7 | javascript libraries: snap.svg - 0.4.0 | widgets: css | font scripts: twitter emoji (twemoji) - 12.1.3 | font scripts: google font api | cookie compliance: complianz | miscellaneous: http/3 | javascript libraries: modernizr | databases: mysql | issue trackers: really simple discovery | page builders: wpbakery | cms: site.com | wordpress plugins: contact form 7 - 5.1.7 | miscellaneous: open graph | network devices: html | miscellaneous: jquery easing | font scripts: font awesome | javascript libraries: jquery ui | network devices: html5 | javascript libraries: jquery - 1.12.4 | wordpress plugins: complianz | javascript libraries: imagesloaded | cms: wordpress | blogs: wordpress | javascript libraries: isotope | web frameworks: jquery waypoints | javascript libraries: jquery | widgets: javascript | wordpress plugins: wp rocket | wordpress plugins: yoast seo | programming languages: php | a/b testing: complianz | javascript libraries: jquery migrate | page builders: elementor</t>
  </si>
  <si>
    <t>2021-09-03T01:29:00.000Z</t>
  </si>
  <si>
    <t>PLURALSIGHT, LLC</t>
  </si>
  <si>
    <t>16f3bda9-055e-11ec-912d-93da5cd6dce1</t>
  </si>
  <si>
    <t>Pluralsight</t>
  </si>
  <si>
    <t>Pluralsight LLC.</t>
  </si>
  <si>
    <t>Utah</t>
  </si>
  <si>
    <t>Draper</t>
  </si>
  <si>
    <t>Future Way</t>
  </si>
  <si>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</si>
  <si>
    <t>Pluralsight helps organizations, teams, and individuals build better products with online courses and data-driven insights that fuel skill development and improve processes.</t>
  </si>
  <si>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</si>
  <si>
    <t>Create digital-first financial services experiences, secure and manage data, and hone your competitive edge with tech teams you can bank on.</t>
  </si>
  <si>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</si>
  <si>
    <t>Music Academy | Schola Cantorum | Musical Themes | Choral Music | Music Styles | His Music | Replacements &amp; Parts | Replacement Cartridges</t>
  </si>
  <si>
    <t>7999 | 7993</t>
  </si>
  <si>
    <t>Amusement and Recreation Services, NEC (lottery, bingo, bookie, and other gambling operations) | Coin-Operated Amusement Devices (slot machine operators)</t>
  </si>
  <si>
    <t>Music / Sound Recording Studio | Retail- Musical Instruments (Sales/Repairs) | Dance / Gymnastic / Martial Arts Schools | Musical Instruments / Decorative Items Manufacturing | Performing Arts Production</t>
  </si>
  <si>
    <t>489102 | 599602 | 832201 | 398001 | 792701</t>
  </si>
  <si>
    <t>(801) 784-9007</t>
  </si>
  <si>
    <t>+35312642424 | +35315746464 | +18017849007 | +4790999835 | +61272085082 | +61272089055 | +18017849055 | +18017849009</t>
  </si>
  <si>
    <t>ar@pluralsight.com</t>
  </si>
  <si>
    <t>https://www.pluralsight.com/</t>
  </si>
  <si>
    <t>https://www.facebook.com/pluralsight</t>
  </si>
  <si>
    <t>https://x.com/pluralsight</t>
  </si>
  <si>
    <t>https://www.instagram.com/pluralsight</t>
  </si>
  <si>
    <t>https://www.linkedin.com/company/pluralsight/</t>
  </si>
  <si>
    <t>https://www.youtube.com/@pluralsight</t>
  </si>
  <si>
    <t>2021-08-24T17:21:29.000Z</t>
  </si>
  <si>
    <t>PM ENERGI A/S</t>
  </si>
  <si>
    <t>b529e3a6-93e4-11eb-8859-29e7c34dee35</t>
  </si>
  <si>
    <t>PM ENERGI A/S.</t>
  </si>
  <si>
    <t>Pm energi</t>
  </si>
  <si>
    <t>Brønderslev</t>
  </si>
  <si>
    <t>Østergade</t>
  </si>
  <si>
    <t>DK, Denmark, North Denmark Region, BrÃ¸nderslev, 9700, Ã˜stergade, 134, 57.259879999999995, 9.9653189 | DE, Germany, Schleswig-Holstein, , , , , 54.1853998, 9.8220089</t>
  </si>
  <si>
    <t>Danmarks førende leverandør af nødstrøm: PM ENERGI A/S tilbyder et bredt udvalg af generatorer, nødstrømsanlæg og Riello UPS-anlæg, der sikrer mod strømsvigt.</t>
  </si>
  <si>
    <t>power generation; generators; UPS; energy solutions; service</t>
  </si>
  <si>
    <t>Supplier of power generation equipment and energy solutions.</t>
  </si>
  <si>
    <t>PM Energi A/S is a Danish company that supplies power generation and backup solutions, such as diesel and gas generators, UPS systems and related services, to industrial, marine and commercial customers.</t>
  </si>
  <si>
    <t>backup power; generator sets; emergency power; UPS systems; maintenance services</t>
  </si>
  <si>
    <t>Motor and Generator Manufacturing</t>
  </si>
  <si>
    <t>Power Generation Equipment &amp; Services</t>
  </si>
  <si>
    <t>Supply and servicing of power generation equipment</t>
  </si>
  <si>
    <t>Wholesale Trade / Manufacturing</t>
  </si>
  <si>
    <t>Electrical Apparatus and Equipment, Wiring Supplies, and Construction Materials</t>
  </si>
  <si>
    <t>98 80 18 22</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</si>
  <si>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</si>
  <si>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</si>
  <si>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</si>
  <si>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https://www.pmenergi.dk/</t>
  </si>
  <si>
    <t>https://www.facebook.com/pmenergi/</t>
  </si>
  <si>
    <t>https://www.instagram.com/pmenergi.dk/</t>
  </si>
  <si>
    <t>https://www.linkedin.com/company/pmenergi/mycompany/?viewAsMember=true</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</si>
  <si>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</si>
  <si>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</si>
  <si>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Postnord Danmark (B2452)</t>
  </si>
  <si>
    <t>fac6c825-93e4-11eb-86dd-ffbd1b53140e</t>
  </si>
  <si>
    <t>PostNord</t>
  </si>
  <si>
    <t>PostNord A/S. | PostNord Logistics A/S. | Post Danmark A/S.</t>
  </si>
  <si>
    <t>PostNord | Post Danmark | PostNord Denmark | PostNord Danmark</t>
  </si>
  <si>
    <t>DK, Denmark, Capital Region of Denmark, Copenhagen, 2300, Hedegaardsvej, 88, 55.645932, 12.642148 | DK, Denmark, Capital Region of Denmark, HÃ¸je-Taastrup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AllÃ©, 90, 55.68574142456055, 12.539344787597656 | DK, Denmark, North Denmark Region, HjÃ¸rring, 9800, Frederikshavnsvej, 31B, 57.455970764160156, 10.004015922546387 | DK, Denmark, Central Denmark Region, Aarhus, 8000, BanegÃ¥rdspladsen, 1A, 56.1505012512207, 10.205432891845703 | DK, Denmark, Region Zealand, KÃ¸ge Municipality, 4600, Ullsvej, 1, 55.49623107910156, 12.151664733886719</t>
  </si>
  <si>
    <t>Find din pakke eller priser for pakker og breve. Du kan også læse mere om dine forskellige muligheder for at modtage eller sende post.</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</si>
  <si>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</si>
  <si>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kÃ¸be og bruge vedvarende energi â€“ i vores kÃ¸retÃ¸jer, ejendomme og produktionsfaciliteter, og vi vil vÃ¦re blandt markedets bedste pÃ¥ grÃ¸nne lÃ¸sninger.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</si>
  <si>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PostvÃ¦senet,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</si>
  <si>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</si>
  <si>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Couriers and Express Delivery Services</t>
  </si>
  <si>
    <t>Postal Service</t>
  </si>
  <si>
    <t>Warehousing, Logistics &amp; Support</t>
  </si>
  <si>
    <t>7389 | 4311</t>
  </si>
  <si>
    <t>Business Services, NEC (post office contract stations) | United States Postal Service</t>
  </si>
  <si>
    <t>Postal activities</t>
  </si>
  <si>
    <t>Postal activities under universal service obligation</t>
  </si>
  <si>
    <t>+4520241209 | +4570218075 | +4570101300 | +4526663903 | +4520241127 | +4520241206 | +4520241123 | +4570707605 | +4520241031 | +4570602230 | +4550009999 | +4520220505</t>
  </si>
  <si>
    <t>dkkundeservice@postnord.com</t>
  </si>
  <si>
    <t>https://www.postnord.dk/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</si>
  <si>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</si>
  <si>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</si>
  <si>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</si>
  <si>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</si>
  <si>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</si>
  <si>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</si>
  <si>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</si>
  <si>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2019-11-24T10:47:14.000Z</t>
  </si>
  <si>
    <t>POSTEN BRING AS</t>
  </si>
  <si>
    <t>42c3ecf7-1d65-11ee-9df5-e543427f87fa</t>
  </si>
  <si>
    <t>Bring</t>
  </si>
  <si>
    <t>Posten Bring AS | Posten Bring | Postvesenet | Norway Post</t>
  </si>
  <si>
    <t>Biskop Gunnerus gate</t>
  </si>
  <si>
    <t>14A</t>
  </si>
  <si>
    <t>NO, Norway, Oslo, Oslo, 0185, Biskop Gunnerusâ€™ gate, 14A, 59.91164, 10.754635</t>
  </si>
  <si>
    <t>Norwegian postal service</t>
  </si>
  <si>
    <t>logistics; parcel delivery; postal services; freight; distribution</t>
  </si>
  <si>
    <t>Norwegian provider of postal and logistics services.</t>
  </si>
  <si>
    <t>Pakker, post og gods fra Bring</t>
  </si>
  <si>
    <t>B2C parcels; B2B logistics; mail services; freight transport; supply chain</t>
  </si>
  <si>
    <t>Postal &amp; Logistics Services</t>
  </si>
  <si>
    <t>Postal, parcel and freight logistics</t>
  </si>
  <si>
    <t>Courier Services, Except by Air</t>
  </si>
  <si>
    <t>04045</t>
  </si>
  <si>
    <t>personvernombud@posten.no</t>
  </si>
  <si>
    <t>https://www.bring.no/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</si>
  <si>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</si>
  <si>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</si>
  <si>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</si>
  <si>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</si>
  <si>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</si>
  <si>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2021-08-24T03:49:48.000Z</t>
  </si>
  <si>
    <t>DATA SCANNING A/S</t>
  </si>
  <si>
    <t>12f0c5a6-a6c9-11ef-abf5-81e83ad2555f</t>
  </si>
  <si>
    <t>Data Scanning A/S</t>
  </si>
  <si>
    <t>Globetrotter Huset</t>
  </si>
  <si>
    <t>Hedegaardsvej</t>
  </si>
  <si>
    <t>DK, Denmark, Capital Region of Denmark, Copenhagen, 2300, Hedegaardsvej, 88, 55.6457908, 12.6413355</t>
  </si>
  <si>
    <t>Globetrotter Huset is a flexible office space located in Copenhagen, Denmark. It is situated in the historic former SAS headquarters from the 1980s and offers a unique environment with a focus on flexibility, identity, and functionality. The office is conveniently located near the FemÃ¸ren metro station, providing easy access to the city center and Copenhagen Airport. Additionally, it is close to Amager Strandpark, a popular beach. The property features seven office units, a reception area, meeting rooms, a lounge area, a cafeteria, a cafÃ©, bike parking, and changing rooms. Globetrotter Huset is owned by Wihlborgs A/S, which provides a variety of office rental options, including serviced offices, multi-tenant buildings, and office hotels.</t>
  </si>
  <si>
    <t>Residential Buildings | Office Space Rental Services | Changing Rooms | Lounge Area | Flexible Office Spaces | Rental and Administration of Functional Units | Meeting Rooms | Reception Area | Bicycle Parking Spaces | Business Hotels | Condominium | Real Estate Development | Interior Design Adaptation</t>
  </si>
  <si>
    <t>Vil du hÃ¸re og se mere.</t>
  </si>
  <si>
    <t>I Globetrotter Huset finder du fleksible kontorer til leje, og de funktionelle lejemÃ¥l giver dig friheden til at skabe et arbejdsmiljÃ¸, der effektiviserer og inspirerer dine kollegaer. I Globetrotter Huset fÃ¥r du mulighed for at skabe en stÃ¦rk identitet og tilpasse indretningen efter din virksomheds behov. Globetrotter Huset er derfor den perfekte kontorplads pÃ¥ Amager for dig, som Ã¸nsker at skabe en velfungerende arbejdsplads for dine medarbejdere. Alt nÃ¦r dig, til lands, til vand og i luften. 3 min. gang til metro 6 min. i bil til lufthavnen 10 min. gang til strand 5 min. i bil til motorvej. FÃ¥ din daglige gang tÃ¦t pÃ¥ naturen, byen og lufthavnen. Ejendommen er placeret kun 100 meter fra FemÃ¸ren metrostation, som kan bringe dig videre til Indre By og KÃ¸benhavns Lufthavn pÃ¥ fÃ¥ minutter. Derudover ligger Globetrotter Huset i kort afstand til den populÃ¦re badestrand Amager Strandpark. De syv kontorer, der er til leje, er en del af et stÃ¸rre kontorfÃ¦llesskab med klinikker og andre erhverv, der er fÃ¦lles om reception, mÃ¸delokaler, loungeomrÃ¥de, kantine med frokostordning, cafÃ©, cykelparkering, omklÃ¦dning til fri afbenyttelse.</t>
  </si>
  <si>
    <t>Offices To Let | Community Facilities | Media Advertising</t>
  </si>
  <si>
    <t>Real Estate Rental</t>
  </si>
  <si>
    <t>Real Estate Investment &amp; Rental</t>
  </si>
  <si>
    <t>6798 | 6512</t>
  </si>
  <si>
    <t>Real Estate Investment Trusts | Operators of Nonresidential Buildings (except stadium and arena owners)</t>
  </si>
  <si>
    <t>Real estate activities with own or leased property</t>
  </si>
  <si>
    <t>68.1 | 68.2</t>
  </si>
  <si>
    <t>Buying and selling of own real estate | Rental and operating of own or leased real estate</t>
  </si>
  <si>
    <t>46 55 00 70</t>
  </si>
  <si>
    <t>+4527045752 | +4560109872 | +4561205871</t>
  </si>
  <si>
    <t>info@globetrotterhuset.dk</t>
  </si>
  <si>
    <t>http://www.globetrotterhuset.dk/</t>
  </si>
  <si>
    <t>2024-11-02T19:31:41.000Z</t>
  </si>
  <si>
    <t>PostNord Stralfors AB</t>
  </si>
  <si>
    <t>f3137fa4-93e4-11eb-be5a-4f810ab55f2e</t>
  </si>
  <si>
    <t>PostNord Strålfors</t>
  </si>
  <si>
    <t>Postnord StrÃ¥lfors Svenska AB. | PostNord StrÃ¥lfors AB.</t>
  </si>
  <si>
    <t>StrÃ¥lfors</t>
  </si>
  <si>
    <t>Kronobergs län</t>
  </si>
  <si>
    <t>Ljungby</t>
  </si>
  <si>
    <t>341 33</t>
  </si>
  <si>
    <t>Helsingborgsvägen</t>
  </si>
  <si>
    <t>SE, Sweden, Kronoberg County, Ljungby, 341 32, LÃ¥nggatan, 18, 56.825958299999996, 13.916565900000002 | SE, Sweden, Stockholm County, Solna, 171 73, TerminalvÃ¤gen, 24, 59.3498358, 18.0068895 | SE, Sweden, Stockholm County, Sigtuna kommun, 195 72, StÃ¥lgatan, 9, 59.5718729, 17.8863022 | SE, Sweden, SkÃ¥ne County, Malmo, 211 20, JÃ¶rgen Kocksgatan, 9, 55.6118672, 13.0025927 | SE, Sweden, SkÃ¥ne County, Malmo, 211 24, Borrgatan, 55b, 55.623351799999995, 13.045104799999999 | SE, Sweden, Kronoberg County, Ljungby, 341 33, HelsingborgsvÃ¤gen, 20, 56.82923770000001, 13.919458299999999 | SE, Sweden, VÃ¤stra GÃ¶taland County, AlingsÃ¥s, 441 32, , , 56.9328339, 13.504625799999996</t>
  </si>
  <si>
    <t>PostNord Strålfors utvecklar och erbjuder kommunikationslösningar som ger företag med många kunder och leverantörer helt nya möjligheter till personliga och starkare kundrelationer.</t>
  </si>
  <si>
    <t>Office &amp; Supplies | Omnichannel Platform | Business Development Services | Digital Mailroom | Waste Management Consulting | Recycled Batteries | General Management Consulting | Digital Communication Solutions | Administrative Services | Wheelchair Accessible Parking Lot | Printing Services | Recycle Ink Cartridges | Logistical Services | Payment Management | Postal | Consulting Services | In-store Pickup | Post Office Services | Wheelchair Accessible Entrance</t>
  </si>
  <si>
    <t>PostNord StrÃ¥lfors utvecklar och erbjuder kommunikationslÃ¶sningar som ger fÃ¶retag med mÃ¥nga kunder och leverantÃ¶rer helt nya mÃ¶jligheter till mer personliga och starkare kundrelationer.</t>
  </si>
  <si>
    <t>Vi Ã¤r din digitaliseringspartner. VÃ¤rlden fÃ¶rÃ¤ndras och med den fÃ¶rutsÃ¤ttningarna fÃ¶r god kommunikation. PostNord StrÃ¥lfors har verksamhet i Sverige, Danmark, Norge och Finland med totalt cirka 700 anstÃ¤llda. Med det gemensamma mÃ¥let att vara vÃ¥ra kunders strategiska partner fÃ¶r digitalisering samarbetar vi inom Norden fÃ¶r att kontinuerligt utveckla vÃ¥rt erbjudande och nordiska plattform. PostNord StrÃ¥lfors Ã¤r en del av PostNord-koncernen, den ledande leverantÃ¶ren av kommunikations- och logistiktjÃ¤nster i Norden. Varje Ã¥r hanterar vi 900 miljoner digitala meddelanden och cirka 400 miljoner fysiska brev i de nordiska lÃ¤nderna â€“ i alla kommunikationskanaler. Vi utvecklar och erbjuder kommunikationslÃ¶sningar som ger fÃ¶retag med mÃ¥nga kunder och leverantÃ¶rer nya mÃ¶jligheter att bygga starkare och mer personliga kundrelationer. Med hjÃ¤lp av vÃ¥r plattform levererar vi sÃ¶mlÃ¶s kommunikation, oavsett vilken kanal mottagaren fÃ¶redrar. Vi utvecklar och erbjuder lÃ¶sningar som bygger pÃ¥ flera olika plattformar.</t>
  </si>
  <si>
    <t>Output Management | Consulting And Insight | Integrity Management | Digital Mailroom | Printing Management | Data Enhancement | Lead Services | Online Shopping | Internet Service Providers | Strong Culture Of Safety</t>
  </si>
  <si>
    <t>Shipping Couriers</t>
  </si>
  <si>
    <t>0372-850 00</t>
  </si>
  <si>
    <t>+46322669500 | +46103312525 | +4637285000 | +46768812051 | +46850883000 | +46406613700</t>
  </si>
  <si>
    <t>customer.service@stralfors.se</t>
  </si>
  <si>
    <t>jeanette.wittgren@stralfors.se</t>
  </si>
  <si>
    <t>http://www.stralfors.se/</t>
  </si>
  <si>
    <t>https://www.linkedin.com/company/stralfors/</t>
  </si>
  <si>
    <t>maps: google maps | web servers: empathy platform | performance: priority hints | miscellaneous: webpack | javascript frameworks: nuxt.js | javascript frameworks: vue.js | widgets: css | web frameworks: microsoft asp.net | miscellaneous: pwa | security: hsts | reverse proxies: nginx | javascript libraries: modernizr | cms: site.com | captchas: recaptcha | cookie compliance: onetrust | network devices: html | web servers: schannel | javascript frameworks: modernizr | operating systems: windows server | seo tool: facebook friendly | static site generator: nuxt.js | network devices: html5 | analytics: linkedin insight tag | web servers: iis | tag managers: google tag manager | web frameworks: nuxt.js | widgets: javascript | web servers: nginx | analytics: google analytics</t>
  </si>
  <si>
    <t>2019-11-24T01:37:24.000Z</t>
  </si>
  <si>
    <t>PRICEWATERHOUSECOOPERS STATSAUTORISERET REVISIONSPARTNERSELSKAB</t>
  </si>
  <si>
    <t>c2d2c772-e602-11ed-aaf1-a9bb6aa25f65</t>
  </si>
  <si>
    <t>PwC</t>
  </si>
  <si>
    <t>Pricewaterhousecoopers Statsautoriseret Revisionspartnerselskab</t>
  </si>
  <si>
    <t>Strandvejen</t>
  </si>
  <si>
    <t>DK, Denmark, Region of Southern Denmark, Odense, 5000, Rytterkasernen, 21, 55.400831499999995, 10.394694000000001</t>
  </si>
  <si>
    <t>Har du brug for en statsautoriseret revisor? PwC København - Rådgivning, revision og skat til SMV'er og store virksomheder. Kontakt os her og hør mere.</t>
  </si>
  <si>
    <t>Bookkeeping Services | Financial Management</t>
  </si>
  <si>
    <t>Pricewaterhousecoopers Statsautoriseret Revisionspartnerselskab is an accounting &amp; bookkeeping services company based in Odense, Denmark.</t>
  </si>
  <si>
    <t>39 45 39 45</t>
  </si>
  <si>
    <t>http://www.pwc.dk/da/om-os/lokal-kontorer/koebenhavn.html</t>
  </si>
  <si>
    <t>https://www.facebook.com/PwCDanmark/</t>
  </si>
  <si>
    <t>https://www.instagram.com/pwcdk</t>
  </si>
  <si>
    <t>https://www.linkedin.com/company/pwc-danmark</t>
  </si>
  <si>
    <t>https://www.youtube.com/user/PwCDenmark</t>
  </si>
  <si>
    <t>2023-04-28T20:23:41.110Z</t>
  </si>
  <si>
    <t>PRICEWATERHOUSECOOPERS AS</t>
  </si>
  <si>
    <t>d4239772-8546-11ec-8f98-f9b40efdfe08</t>
  </si>
  <si>
    <t>PwC Oslo</t>
  </si>
  <si>
    <t>PricewaterhouseCoopers Norway</t>
  </si>
  <si>
    <t>NO, Norway, Oslo, Oslo, 0355, Holtegata, 23, 59.922788, 10.721809 | NO, Norway, Oslo, Oslo, 0191, Dronning Eufemias gate, 8, 59.90868377685547, 10.756795883178711</t>
  </si>
  <si>
    <t>PwC i Oslo hjelper deg med rådgivning, revisjon og advokattjenester. Kontakt oss</t>
  </si>
  <si>
    <t>audit; tax; advisory; consulting; assurance; risk</t>
  </si>
  <si>
    <t>Oslo-based PwC firm offering audit, tax and consulting services in Norway.</t>
  </si>
  <si>
    <t>PricewaterhouseCoopers AS is the Norwegian member firm of PwC. It provides audit and assurance, tax and legal services, deals and consulting support to companies, financial institutions and public sector bodies across Norway.</t>
  </si>
  <si>
    <t>financial audit; statutory audit; tax advisory; management consulting; risk assurance; deals advisory</t>
  </si>
  <si>
    <t>Professional Services – Audit &amp; Advisory</t>
  </si>
  <si>
    <t>Audit, tax and advisory services</t>
  </si>
  <si>
    <t>Accounting, Auditing, and Bookkeeping Services</t>
  </si>
  <si>
    <t>02316</t>
  </si>
  <si>
    <t>andersonepost@gmail.com</t>
  </si>
  <si>
    <t>https://www.pwc.no/no/kontorer/oslo.html</t>
  </si>
  <si>
    <t>2022-02-02T15:59:04.000Z</t>
  </si>
  <si>
    <t>PROPAKISTANI SOLUTIONS (PRIVATE) LIMITED</t>
  </si>
  <si>
    <t>d6682c74-93e4-11eb-919a-b3f9a5ad205c</t>
  </si>
  <si>
    <t>ProPakistani.PK</t>
  </si>
  <si>
    <t>ProPakistani | Lens By ProPakistani</t>
  </si>
  <si>
    <t>Markaz</t>
  </si>
  <si>
    <t>PK, Pakistan, , , , , , 30.3308401, 71.247499</t>
  </si>
  <si>
    <t>Pakistani digital media company operating the ProPakistani online portal focused on technology, telecom and business news.</t>
  </si>
  <si>
    <t>digital media; online news; technology; telecom; reviews; blogs</t>
  </si>
  <si>
    <t>Islamabad-based operator of the ProPakistani technology and telecom news portal.</t>
  </si>
  <si>
    <t>ProPakistani Solutions (Private) Limited is a Pakistan-based digital media company that publishes technology, telecom, business and lifestyle content through the ProPakistani online portal, including news, analysis, guides and reviews.</t>
  </si>
  <si>
    <t>tech news; telecom coverage; digital publishing; online advertising; content portal</t>
  </si>
  <si>
    <t>Newspaper Publishers</t>
  </si>
  <si>
    <t>Digital Media &amp; Online Publishing</t>
  </si>
  <si>
    <t>Online news and digital media publishing</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</si>
  <si>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</si>
  <si>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</si>
  <si>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(051) 8733325</t>
  </si>
  <si>
    <t>hello@propakistani.pk</t>
  </si>
  <si>
    <t>http://propakistani.pk/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</si>
  <si>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</si>
  <si>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</si>
  <si>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</si>
  <si>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</si>
  <si>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</si>
  <si>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</si>
  <si>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</si>
  <si>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</si>
  <si>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</si>
  <si>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DRAKA NORSK KABEL AS</t>
  </si>
  <si>
    <t>0867ac5b-0574-11ec-b9b6-c767d312e773</t>
  </si>
  <si>
    <t>Prysmian Group Norge AS</t>
  </si>
  <si>
    <t>Magnussen Spesialsko | J.A. Magnussen Engros AS</t>
  </si>
  <si>
    <t>Kjerraten</t>
  </si>
  <si>
    <t>NO, Norway, Viken, Drammen, 3013, Svend Haugs gate, 13, 59.7353824, 10.2260774</t>
  </si>
  <si>
    <t>Welcome to Prysmian: the world leader in cable manufacturer, energy solutions, telecom cables and systems industry. Find out more!</t>
  </si>
  <si>
    <t>Wide Range of Shoes | High Shoes | Credit Card Payment | Retail Trade | Foot Pain Treatment | In-store Pickup | In Shoes | Wheelchair Accessible Entrance</t>
  </si>
  <si>
    <t>Vi utvikler fottÃ¸yet pÃ¥ ulike fabrikker, og spesielt hos SOLIDUS i Tyskland har vi et tett samarbeid og en serie egne lester egnet for norske fÃ¸tter.</t>
  </si>
  <si>
    <t>Alle vÃ¥re produsenter stÃ¥r ikke bare for hÃ¸y kvalitet, men ogsÃ¥ et bredt utvalg av typer sko, -alt fra sandaler til stÃ¸vletter i alle slags lester og vidder.</t>
  </si>
  <si>
    <t>Fashion Shoes | Bulky Weight | Foot Pain</t>
  </si>
  <si>
    <t>3021 | 3142 | 3143 | 3144 | 3149</t>
  </si>
  <si>
    <t>Rubber and Plastics Footwear | House Slippers | Menâ€™s Footwear, Except Athletic | Womenâ€™s Footwear, Except Athletic | Footwear,  Except Rubber, NEC</t>
  </si>
  <si>
    <t>Retail - Shoes / Boots | Physicians and Surgeons (No Specialist Surgeons) | Chiropractors | Footwear Manufacturing | Physiotherapists / Occupational Therapists</t>
  </si>
  <si>
    <t>Manufacture of footwear</t>
  </si>
  <si>
    <t>569101 | 801101 | 802101 | 319301 | 801801</t>
  </si>
  <si>
    <t>32 24 90 00</t>
  </si>
  <si>
    <t>http://www.prysmiangroup.no/</t>
  </si>
  <si>
    <t>https://www.facebook.com/PrysmianGroup</t>
  </si>
  <si>
    <t>https://twitter.com/PrysmianGroup</t>
  </si>
  <si>
    <t>http://www.linkedin.com/company/prysmian</t>
  </si>
  <si>
    <t>https://www.youtube.com/user/ThePrysmianGroup</t>
  </si>
  <si>
    <t>issue trackers: sentry - 6.18.2 | cdn: google cloud cdn | performance: priority hints | miscellaneous: webpack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</si>
  <si>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2021-08-24T20:07:59.000Z</t>
  </si>
  <si>
    <t>Publicis Groupe Holdings B.V.</t>
  </si>
  <si>
    <t>66b5cd49-8a9a-11ec-8f9a-d304b9a96e8a</t>
  </si>
  <si>
    <t>Publicis Groupe Netherlands</t>
  </si>
  <si>
    <t>Publicis Graphics | Publicis Graphics Lebanon</t>
  </si>
  <si>
    <t>1031 HV</t>
  </si>
  <si>
    <t>Wilgenweg</t>
  </si>
  <si>
    <t>12A</t>
  </si>
  <si>
    <t>NL, Netherlands, Limburg, , , , , 51.2015196, 5.9046302</t>
  </si>
  <si>
    <t>Dutch holding company within Publicis Groupe overseeing investments in advertising, media and communications businesses.</t>
  </si>
  <si>
    <t>holding company; advertising; media; communications; marketing services</t>
  </si>
  <si>
    <t>Netherlands-based holding entity in the Publicis Groupe network.</t>
  </si>
  <si>
    <t>Publicis Groupe Holdings B.V. is a Netherlands-based holding company in the Publicis Groupe structure, managing equity interests in agencies and companies that provide advertising, media buying, digital marketing and communication services.</t>
  </si>
  <si>
    <t>group holding; agency network; media and communications; marketing services portfolio</t>
  </si>
  <si>
    <t>Corporate Holding Companies – Marketing &amp; Media</t>
  </si>
  <si>
    <t>Holding company for advertising and media agencies</t>
  </si>
  <si>
    <t>020 406 1200</t>
  </si>
  <si>
    <t>info@publicis.nl</t>
  </si>
  <si>
    <t>https://www.publicisgroupe.nl/</t>
  </si>
  <si>
    <t>https://www.instagram.com/publicisgroupe_nl/</t>
  </si>
  <si>
    <t>https://www.linkedin.com/company/publicis-groupe-nl/</t>
  </si>
  <si>
    <t>https://www.youtube.com/channel/UCP9WXA4kwouHbUM1W6ONNyA/videos</t>
  </si>
  <si>
    <t>2021-05-30T09:01:42.000Z</t>
  </si>
  <si>
    <t>QCC GLOBAL LIMITED</t>
  </si>
  <si>
    <t>d9f2b2c1-93e4-11eb-a746-fdabd18be9c6</t>
  </si>
  <si>
    <t>QCC Global Ltd - TSCM Services</t>
  </si>
  <si>
    <t>QCC Global Ltd.</t>
  </si>
  <si>
    <t>QCC Global</t>
  </si>
  <si>
    <t>EC4A 3DL</t>
  </si>
  <si>
    <t>Fleet Street</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</si>
  <si>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</si>
  <si>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View Our Services</t>
  </si>
  <si>
    <t>due diligence; risk consulting; investigations; compliance; background checks</t>
  </si>
  <si>
    <t>London-based provider of integrity due diligence and risk consulting services.</t>
  </si>
  <si>
    <t>QCC Global Limited is a UK risk and compliance consultancy that conducts integrity due diligence, investigations, enhanced background checks and political and security risk assessments, often in emerging and high-risk jurisdictions.</t>
  </si>
  <si>
    <t>integrity checks; third-party due diligence; KYC; investigations; country risk analysis</t>
  </si>
  <si>
    <t>Due diligence and investigative risk advisory</t>
  </si>
  <si>
    <t>020 7205 2100</t>
  </si>
  <si>
    <t>+442072052100 | +6531637100</t>
  </si>
  <si>
    <t>contact@qccglobal.com</t>
  </si>
  <si>
    <t>http://www.qccglobal.com/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</si>
  <si>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</si>
  <si>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</si>
  <si>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</si>
  <si>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</si>
  <si>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2019-11-25T17:12:14.000Z</t>
  </si>
  <si>
    <t>QCC INTERSCAN LTD</t>
  </si>
  <si>
    <t>c40af0d1-93e4-11eb-b5f6-816dd10ac7b0</t>
  </si>
  <si>
    <t>QCC Ltd.</t>
  </si>
  <si>
    <t>GB, United Kingdom, England, Swanley, , , , 51.39750895, 0.1802263267907581</t>
  </si>
  <si>
    <t>Flat Packs | Home Improvement Services | Drywall Installation | Handyman Services | Airless Spraying | General Property Maintenance and Repairs | Kitchen Fitting, Installation, and Replacement Services | Bathroom Installation and Refurbishment Services | Wall and Floor Tiling Services | Painting and Decorating Services | Plastering Materials</t>
  </si>
  <si>
    <t>At QCC Property Maintenance we provide professional and affordable services to our clients across London, Kent, Essex and further afield. High quality property maintenance and repair.</t>
  </si>
  <si>
    <t>House Refurbishment Happy Clients Painted Walls House Refurbishment Happy Clients Painted Walls Thank you for your interest in QCC Property Maintenance. We'd like the opportunity to work with you and show you our quality service. At QCC</t>
  </si>
  <si>
    <t>Handyman Services</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</si>
  <si>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</si>
  <si>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</si>
  <si>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Painting / Wallpaper - (No Spray) | Renovation - Residential (Singles / Semis / Townhouses) | Drywall / Plastering / Acoustical | Carpentry, trim and millwork (No Wood Shop) | Painting - Spray (Exterior)</t>
  </si>
  <si>
    <t>175401 | 181102 | 174401 | 175201 | 175501</t>
  </si>
  <si>
    <t>+442039269462 | +447877357868</t>
  </si>
  <si>
    <t>info@qccltd.co.uk</t>
  </si>
  <si>
    <t>https://www.facebook.com/QCC-Ltd-Property-Maintenance-Home-Improvement-105278401369990/</t>
  </si>
  <si>
    <t>ui frameworks: bootstrap | maps: google maps | web frameworks: bootstrap | live chat: whatsapp business chat | photo galleries: slider revolution | font scripts: google font api | blogging platforms: wordpress | widgets: pinterest | miscellaneous: http/3 | javascript libraries: modernizr | databases: mysql | javascript libraries: prettyphoto | miscellaneous: gravatar | miscellaneous: open graph | miscellaneous: revslider | javascript frameworks: jquery migrate | javascript frameworks: modernizr | seo tool: facebook friendly | video players: vimeo | javascript frameworks: prettyphoto | cms: wordpress | blogs: wordpress | javascript libraries: isotope | javascript libraries: jquery | widgets: slider revolution | javascript graphics: chart.js | form builders: contact form 7 | cdn: cloudflare | programming languages: php | javascript libraries: jquery migrate | wordpress plugins: contact form 7 | javascript frameworks: jquery</t>
  </si>
  <si>
    <t>2020-04-23T15:47:45.000Z</t>
  </si>
  <si>
    <t>QLIKTECH DENMARK ApS</t>
  </si>
  <si>
    <t>463be1c1-2500-11ec-abad-a332bf576a25</t>
  </si>
  <si>
    <t>Qliktech</t>
  </si>
  <si>
    <t>DK, Denmark, Capital Region of Denmark, Copenhagen, 2100, DampfÃ¦rgevej, 27-29, 55.6991926, 12.594840600000001</t>
  </si>
  <si>
    <t>QlikView has been replaced with Qlik Cloud Analytics for a cloud-based SaaS deployment and Qlik Sense for an on-premises solution.</t>
  </si>
  <si>
    <t>analytics; BI; data visualisation; data integration; Qlik</t>
  </si>
  <si>
    <t>Copenhagen-based Qlik entity delivering analytics and BI solutions.</t>
  </si>
  <si>
    <t>QlikTech Denmark ApS is the Danish subsidiary of Qlik, offering Qlik’s data analytics, business intelligence and data integration platforms, along with consulting, enablement and support services for Danish customers and partners.</t>
  </si>
  <si>
    <t>self-service analytics; dashboards; data discovery; ELT; data integration</t>
  </si>
  <si>
    <t>Analytics &amp; BI Software</t>
  </si>
  <si>
    <t>Data analytics and business intelligence software</t>
  </si>
  <si>
    <t>33 16 16 30</t>
  </si>
  <si>
    <t>http://www.qlikview.com/dk</t>
  </si>
  <si>
    <t>https://www.facebook.com/qlik</t>
  </si>
  <si>
    <t>https://twitter.com/qlik</t>
  </si>
  <si>
    <t>https://www.linkedin.com/company/qlik</t>
  </si>
  <si>
    <t>2021-09-30T22:35:36.000Z</t>
  </si>
  <si>
    <t>QlikTech International Markets AB</t>
  </si>
  <si>
    <t>77c1c161-a7d6-11ed-8e4d-c39d5a921c0b</t>
  </si>
  <si>
    <t>Qlik</t>
  </si>
  <si>
    <t>QlikTech International AB.</t>
  </si>
  <si>
    <t>QlikView | QlikView Fan Website</t>
  </si>
  <si>
    <t>Skåne län</t>
  </si>
  <si>
    <t>Lund</t>
  </si>
  <si>
    <t>223 63</t>
  </si>
  <si>
    <t>Scheelevägen</t>
  </si>
  <si>
    <t>Qlik, now with Talend, delivers a data fabric and next-level insights with its end-to-end data integration, data quality, &amp; analytics solutions.</t>
  </si>
  <si>
    <t>Artificial Intelligence in Business Analytics | Business Analytics Development | User-friendly App Interface | Global Search and Selection | Data Analysis Services | In-memory Analytics | Visual Discovery Platform</t>
  </si>
  <si>
    <t>Easily analyze data with QlikView app ï¸ Download QlikView for Windows for free Create interactive bar charts and easily visualize data in graphs and tables Find out more on our website from real fans</t>
  </si>
  <si>
    <t>Download QlikView Desktop for Free qlikviewdl.com is not an official representative or the developer of this application, game or product. QlikView is a modern analytics platform that has revolutionized the way organizations use data. With its intuitive visual discovery capabilities, it has put business intelligence in the hands of more users than ever, and now the app is bolstering this with AI-powered insights. It is highly interactive, allowing customers to explore data on any device with powerful global search and selection, smart visualizations, and more. The interface of QlikView download free Windows makes it simple for users to make discoveries and gain insights from information. The associative engine also ensures that customers have the ability to dive deep into their data to uncover hidden insights and correlations. The application provides users with a first-class analytics experience that is highly user-friendly. It has an intuitive drag-and-drop interface that makes it easy for users to create powerful visualizations and explore data.</t>
  </si>
  <si>
    <t>Exploring Data | Bars &amp; Charts | AI/Machine Learning | Artificial Intelligence | Business Intelligence | Analytical Capabilities | Real Time Collaboration | Apps And Integrations | Business Analytics | SQL Server</t>
  </si>
  <si>
    <t>010-209 75 00</t>
  </si>
  <si>
    <t>support@qlikviewdl.com</t>
  </si>
  <si>
    <t>http://www.qlik.com/</t>
  </si>
  <si>
    <t>2023-02-05T20:30:21.000Z</t>
  </si>
  <si>
    <t>QlikTech Nordic AB</t>
  </si>
  <si>
    <t>55862ac9-9d66-11ef-aecb-ed811e9ee609</t>
  </si>
  <si>
    <t>SE, Sweden, SkÃ¥ne County, Lund, , , , 55.7029296, 13.1929449</t>
  </si>
  <si>
    <t>Utgivning av annan programvara</t>
  </si>
  <si>
    <t>Software</t>
  </si>
  <si>
    <t>Software Publishing</t>
  </si>
  <si>
    <t>2024-07-24T16:54:05.794Z</t>
  </si>
  <si>
    <t>QUALTRICS, LLC</t>
  </si>
  <si>
    <t>1dd351d0-efff-11ec-947f-6f6a6d33d69a</t>
  </si>
  <si>
    <t>Qualtrics</t>
  </si>
  <si>
    <t>Provo</t>
  </si>
  <si>
    <t>West River Park Drive</t>
  </si>
  <si>
    <t>US, United States, Washington, Seattle, , , , 47.6038321, -122.330062 | US, United States, Utah, Provo, , , , 40.2337289, -111.6587085 | GB, United Kingdom, England, London, , , , 51.5074456, -0.1277653 | PL, Poland, Lesser Poland Voivodeship, Krakow, , , , 50.0619474, 19.9368564 | AU, Australia, New South Wales, Sydney, , , , -33.8698439, 151.2082848 | IE, Ireland, Leinster, Dublin, , , , 53.3493795, -6.2605593 | MX, Mexico, Mexico City, Mexico City, , , , 19.4326296, -99.1331785 | JP, Japan, Tokyo, Tokyo, , , , 35.6768601, 139.7638947</t>
  </si>
  <si>
    <t>Margin For Errors is a company based in Montreal, Quebec.</t>
  </si>
  <si>
    <t>XM Experience Management Software | Research and Strategy Services | Concept Testing | XM Platform for Customer Experience | Data Analytics Services | UX Research | Prototyping Services | Brand Performance Tracking | Ai-powered Agent Coaching | Market Research Tools | Real-time Insights and Recommendations | Employee Engagement and Productivity</t>
  </si>
  <si>
    <t>At Qualtrics, we eat, sleep and breathe experience management (XM). Come take a peek inside the company that powers over 11, 000 of the world's top brands.</t>
  </si>
  <si>
    <t>We are lowering the world's tolerance for bad experiences. We're defining a category. But where you'll see real growth is through seizing the opportunities that arise when we're leading and defining a category. We're values-forward in how we get work done. We recognize impact based on performance and results, not politics. Each of us owns the short and long-run success of our company, delivering results with care and responsibility. CUSTOMER OBSESSED We are committed to helping our customers succeed. We are stronger together and value our differences. We strive to help each other get better at what we do individually and together. We innovate and write our own story, regardless of the status quo. Uncover insights from any interaction, deliver AI-powered agent coaching, and reduce cost to serve. We have grit and passion, and see obstacles as opportunities for creativity. What we always hear is "it's the people." Here, you can expect to build as a team, win as a team, and grow as a team.</t>
  </si>
  <si>
    <t>Marketing Communication | Digital Experience | Strategy &amp; Research | Net Promoter Score | Brand Tracking | Artificial Intelligence | Professional Services | Financial Services | Digital Self Service | User Experience</t>
  </si>
  <si>
    <t>(385) 585-4560</t>
  </si>
  <si>
    <t>success@qualtrics-marketing.com</t>
  </si>
  <si>
    <t>https://www.qualtrics.com/</t>
  </si>
  <si>
    <t>https://www.facebook.com/Qualtrics/</t>
  </si>
  <si>
    <t>https://twitter.com/Qualtrics</t>
  </si>
  <si>
    <t>https://www.instagram.com/qualtrics/</t>
  </si>
  <si>
    <t>https://www.linkedin.com/company/qualtrics</t>
  </si>
  <si>
    <t>https://www.youtube.com/user/QualtricsSoftware</t>
  </si>
  <si>
    <t>javascript libraries: core-js | miscellaneous: rss | ui frameworks: bootstrap | javascript libraries: webp | miscellaneous: popper | web servers: empathy platform | javascript libraries: swiper | security: recaptcha | seo: yoast seo | widgets: css | miscellaneous: pwa | reverse proxies: nginx | personalisation: mutiny | databases: mysql | analytics: snowplow analytics | cms: site.com | miscellaneous: open graph | iaas: snowplow analytics | network devices: html | miscellaneous: jquery easing | network devices: html5 | video players: vimeo | miscellaneous: facebook | cms: wordpress | blogs: wordpress | miscellaneous: linkedin | javascript libraries: jquery | widgets: javascript | web servers: nginx | wordpress plugins: yoast seo | programming languages: php | miscellaneous: instagram</t>
  </si>
  <si>
    <t>2022-06-19T17:30:13.000Z</t>
  </si>
  <si>
    <t>QUESTBACK AS</t>
  </si>
  <si>
    <t>e6d9287a-93e4-11eb-be3a-7f925cb94351</t>
  </si>
  <si>
    <t>Questback AS</t>
  </si>
  <si>
    <t>Questback Deutschland GMBH | Questback Nederland B.V. | Questback OY. | Questback UK Ltd. | Questback Inc. | Questback GmbH | Questback Sweden AB.</t>
  </si>
  <si>
    <t>QuestBack | Questback AS | Questbacks</t>
  </si>
  <si>
    <t>Bogstadveien</t>
  </si>
  <si>
    <t>NO, Norway, Oslo, Oslo, 0366, Bogstadveien, 54, 59.927909, 10.718245 | FI, Finland, Uusimaa, Espoo, 02150, Keilaniementie, 1, 60.1750738, 24.8304175 | SE, Sweden, Stockholm County, Stockholm, 113 59, SveavÃ¤gen, 59, 59.3408036, 18.058241 | DE, Germany, Berlin, Berlin, 10719, KurfÃ¼rstendamm,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BÃ¦rum, 1364, Lomviveien, 38, 59.892267, 10.605058 | GB, United Kingdom, England, London, RM11 3TJ, Minster Court, 2, 51.5604368, 0.236669</t>
  </si>
  <si>
    <t>Spørreundersøkelser fra Questback gir deg tydelige svar fra ansatte og kunder. Ta bedre beslutninger og forebygg problemer før de vokser.</t>
  </si>
  <si>
    <t>surveys; feedback; employee engagement; customer experience; SaaS</t>
  </si>
  <si>
    <t>Oslo-based SaaS provider for feedback and survey solutions.</t>
  </si>
  <si>
    <t>Questback AS is a Norwegian software-as-a-service company that offers tools for collecting, analysing and acting on feedback across customers, employees and stakeholders, supporting engagement, experience management and decision-making.</t>
  </si>
  <si>
    <t>survey software; EX; CX; panel management; feedback analytics</t>
  </si>
  <si>
    <t>Marketing Research and Public Opinion Polling</t>
  </si>
  <si>
    <t>541910</t>
  </si>
  <si>
    <t>Feedback &amp; Experience Management Software</t>
  </si>
  <si>
    <t>Survey and feedback management platforms</t>
  </si>
  <si>
    <t>21 02 70 70</t>
  </si>
  <si>
    <t>+4684408821 | +4721027070 | +4791819962 | +4702150 | +4684408800 | +27769000429 | +358207431560 | +31616697463 | +4721027080 | +393299806427 | +33232226511 | +498996051615 | +34654163365</t>
  </si>
  <si>
    <t>facebook@questback.com</t>
  </si>
  <si>
    <t>sales@questback.com</t>
  </si>
  <si>
    <t>https://www.questback.com/no/</t>
  </si>
  <si>
    <t>https://facebook.com/questback</t>
  </si>
  <si>
    <t>https://twitter.com/QuestBack</t>
  </si>
  <si>
    <t>https://www.linkedin.com/company/39555</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</si>
  <si>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</si>
  <si>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</si>
  <si>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Radio Frequency Systems Gesellschaft mit beschrankter Haftung</t>
  </si>
  <si>
    <t>7e7ca675-0db6-11ec-aaad-e5a5ee267b5b</t>
  </si>
  <si>
    <t>Radio Frequency Systems GmbH</t>
  </si>
  <si>
    <t>Radio Frequency Systems company</t>
  </si>
  <si>
    <t>Radio Frequency Systems | Astrec Baltic OÃœ | RFS</t>
  </si>
  <si>
    <t>Niedersachsen</t>
  </si>
  <si>
    <t>Hannover</t>
  </si>
  <si>
    <t>Kabelkamp</t>
  </si>
  <si>
    <t>DE, Germany, Lower Saxony, Hanover, 30179, Kabelkamp, 20, 52.4136244, 9.72781374923639 | CN, China, Jiangsu, Gusu District, 215000, ç¿ åº­è·¯,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</si>
  <si>
    <t>At RFS we specialize in the design and manufacture of premium, future-ready cable solutions for customers across the globe. With over 120 years of heritage in the industry, 
          we build reliable and long service life connectivity systems. Because we care about our collective future.</t>
  </si>
  <si>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</si>
  <si>
    <t>RFS (Radio Frequency Systems) is a global designer and manufacturer of cable and antenna systems plus active and passive RF conditioning modules, providing complete RF solutions for wireless infrastructure</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</si>
  <si>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</si>
  <si>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Power Cable | Cabling Solutions | Power Splitter | Wireless Infrastructure | Directional Couplers | Coaxial Cables | Critical Communications | Transmission Line | Wireless And Networking</t>
  </si>
  <si>
    <t>0511 676550</t>
  </si>
  <si>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</si>
  <si>
    <t>rfs.africa@rfsworld.com</t>
  </si>
  <si>
    <t>https://www.rfsworld.com/</t>
  </si>
  <si>
    <t>https://www.instagram.com/rfs_world/</t>
  </si>
  <si>
    <t>https://fr.linkedin.com/company/radio-frequency-systems</t>
  </si>
  <si>
    <t>https://www.youtube.com/@radiofrequencysystems/videos</t>
  </si>
  <si>
    <t>2021-09-04T17:38:03.000Z</t>
  </si>
  <si>
    <t>RAJAH &amp; TANN</t>
  </si>
  <si>
    <t>d107ada1-93e4-11eb-8859-29e7c34dee35</t>
  </si>
  <si>
    <t>Rajah &amp; Tann Singapore LLP</t>
  </si>
  <si>
    <t>Rajah &amp; Tann Singapore LLP. | Rajah &amp; Tann Thailand Limited</t>
  </si>
  <si>
    <t>Rajah &amp; Tann | Rajah &amp; Tann Asia | Rajah &amp; Tann Sok &amp; Heng Law Office</t>
  </si>
  <si>
    <t>SG, Singapore, Central, Singapore, 018936, Straits View, 7, 1.2775233, 103.8525374 | VN, Vietnam, Há»“ ChÃ­ Minh City, Há»“ ChÃ­ Minh City, 71717, ÄÆ°á»ng LÃª Lá»£i,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HÃ  Ná»™i, HÃ  Ná»™i, 10065, NgÃµ 117 Tráº§n Cung, 117, 21.0523594, 105.7879849</t>
  </si>
  <si>
    <t>Singaporean law firm</t>
  </si>
  <si>
    <t>law firm; business law; dispute resolution; arbitration; corporate; finance</t>
  </si>
  <si>
    <t>Leading Singapore law firm with regional presence across Southeast Asia.</t>
  </si>
  <si>
    <t>Rajah &amp; Tann Asia, one of the largest regional networks that brings together leading law firms with 1000 fee earners in 10 Asian countries.</t>
  </si>
  <si>
    <t>corporate law; M&amp;A; banking &amp; finance; international arbitration; restructuring; regulatory</t>
  </si>
  <si>
    <t>All Other Legal Services</t>
  </si>
  <si>
    <t>Business law and dispute resolution services</t>
  </si>
  <si>
    <t>6535 3600</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</si>
  <si>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</si>
  <si>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</si>
  <si>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</si>
  <si>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http://www.rajahtannasia.com/</t>
  </si>
  <si>
    <t>https://www.facebook.com/kh.rajahtannasia/</t>
  </si>
  <si>
    <t>https://twitter.com/rajah_tann_llp</t>
  </si>
  <si>
    <t>https://www.instagram.com/rajahtannasia/</t>
  </si>
  <si>
    <t>https://www.linkedin.com/company/rajah-&amp;-tann/?originalSubdomain=sg</t>
  </si>
  <si>
    <t>https://youtube.com/@RTsocialmedia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</si>
  <si>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</si>
  <si>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</si>
  <si>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RAPID7 INTERNATIONAL LIMITED</t>
  </si>
  <si>
    <t>cf79e1b0-93e4-11eb-aa66-9b8d95e2171b</t>
  </si>
  <si>
    <t>Rapid7, Belfast Office</t>
  </si>
  <si>
    <t>Rapid 7 EMEA Internal Moose | Rapid7</t>
  </si>
  <si>
    <t>Northern Ireland</t>
  </si>
  <si>
    <t>Belfast</t>
  </si>
  <si>
    <t>BT1 4JB</t>
  </si>
  <si>
    <t>Chichester Street</t>
  </si>
  <si>
    <t>GB, United Kingdom, England, Camberley, , , , 51.3392845, -0.7460981</t>
  </si>
  <si>
    <t>Level up SecOps with the only endpoint to cloud, unified cybersecurity platform. Confidently act to prevent breaches with a leading MDR partner. Request demo!</t>
  </si>
  <si>
    <t>100% Organic Cotton T-shirt | Organic Cotton Hoodie with Zip-up Knitted | Gift Cards | Official Popsocket for Mobile Phone | Columbia Fleece Pullover | Online Retail | Recycled Cotton Totes | Plush Moose</t>
  </si>
  <si>
    <t>Rapid 7 EMEA Internal Moose is a clothing store based in Camberley, United Kingdom.</t>
  </si>
  <si>
    <t>Mobile Phone Cases | Cotton T-shirt | Zip Hoodies</t>
  </si>
  <si>
    <t>028 9568 0727</t>
  </si>
  <si>
    <t>sales@beechleighpromotions.com</t>
  </si>
  <si>
    <t>https://www.rapid7.com/</t>
  </si>
  <si>
    <t>https://www.facebook.com/rapid7</t>
  </si>
  <si>
    <t>https://twitter.com/Rapid7</t>
  </si>
  <si>
    <t>https://www.instagram.com/rapid7/</t>
  </si>
  <si>
    <t>https://www.linkedin.com/company/39624</t>
  </si>
  <si>
    <t>payment processors: paypal | javascript libraries: core-js | payment processors: google pay | web servers: empathy platform | performance: priority hints | miscellaneous: webpack | payment processors: apple pay | payment processors: visa | security: hsts | miscellaneous: http/3 | miscellaneous: module federation | miscellaneous: open graph | reverse proxies: nunjucks | payment processors: mastercard | network devices: html | payment processors: american express | shopify apps: transcy | ecommerce: cart functionality | payment processors: shop pay | geolocation: twitter cards | javascript libraries: preact | cdn: cloudflare | translation: transcy | ecommerce: shopify</t>
  </si>
  <si>
    <t>2022-09-03T00:02:02.000Z</t>
  </si>
  <si>
    <t>Red Hat Asia Pacific Pte Ltd</t>
  </si>
  <si>
    <t>0919ed2b-93e5-11eb-8e19-198fb02d6f96</t>
  </si>
  <si>
    <t>Red Bike Asia</t>
  </si>
  <si>
    <t>Red Hat Consulting's strategic advisers help you overcome challenges with comprehensive, cost-effective solutions that simplify IT and reduce risk.</t>
  </si>
  <si>
    <t>Creator Tools | High-performing Internet Connection | Financial Services | Financial Technology | Strict Regulatory Compliance | Social Impact Investing | Monetization Opportunities | Ultra-fast Exchange of Mining Information | Financial Content Improvement | Ecologically Responsible Social Impact Projects | Singapore Datacenter | Managed Delegated Funds Protection | 24/7 Online Operation</t>
  </si>
  <si>
    <t>Cardano Stakepool to fund ecologically responsible social impact projects in Asia</t>
  </si>
  <si>
    <t>Security and Commodity Exchanges</t>
  </si>
  <si>
    <t>Motorcycle Sales &amp; Service | Retail - Bicycles (Non-Motorized, incl. Repair) | Recreational Vehicle Sales &amp; Service (Snowmobiles, ATVs, Jet Skis, Scooters, E-Bikes, Golf Carts etc) | Retail - Sporting Goods (No Firearms / Ammunition) | Auto Repair Garage (No heavy trucks)</t>
  </si>
  <si>
    <t>Administration of financial markets</t>
  </si>
  <si>
    <t>551401 | 593401 | 551402 | 593201 | 551301</t>
  </si>
  <si>
    <t>6490 4200</t>
  </si>
  <si>
    <t>http://www.redhat.com/consulting/</t>
  </si>
  <si>
    <t>https://www.facebook.com/RedHat/</t>
  </si>
  <si>
    <t>https://twitter.com/RedHat</t>
  </si>
  <si>
    <t>https://www.linkedin.com/company/red-hat</t>
  </si>
  <si>
    <t>https://www.youtube.com/user/RedHatVideos</t>
  </si>
  <si>
    <t>2020-11-20T02:36:06.000Z</t>
  </si>
  <si>
    <t>RED HAT LIMITED</t>
  </si>
  <si>
    <t>2c99fea3-0c41-11ec-98db-f145fecc02d4</t>
  </si>
  <si>
    <t>Red Hat</t>
  </si>
  <si>
    <t>Red Fundraising Limited</t>
  </si>
  <si>
    <t>Red Fundraising | RED Fundraising Recruitment</t>
  </si>
  <si>
    <t>County Cork</t>
  </si>
  <si>
    <t>T12 XR60</t>
  </si>
  <si>
    <t>Avenue 6000</t>
  </si>
  <si>
    <t>IE, Ireland, Leinster, Dublin, , , , ,</t>
  </si>
  <si>
    <t>Long-term Donations | Fundraising and Recruitment | Sustainable Fundraising Solutions | Staff Development | Donor Involvement | Public Engagement Services | Instant Payments</t>
  </si>
  <si>
    <t>We are a professional, quality, fundraising company. We stand out from the crowd and we are different from others because we emphasise values first and foremost. We have done your job and we think like you.</t>
  </si>
  <si>
    <t>Looking for Careers. Red works with non-profit &amp; progressive organisations around the world to create sustainable fundraising and public engagement solutions. Marjorie has been involved in fundraising in Ireland at a senior level for more than 20 years, working both for and on behalf of the charity sector. The leadership of RED Fundraising Recruitment brings to this new venture in-depth experience from the third sector. We understand the needs of the sector and will be at the forefront of developing new approaches to gaining public support for the causes we represent. Through sustainable public engagement on behalf of our clients, RED Fundraising Recruitment aims to support the efforts of the sector as a whole to restore the faith of the Irish people in the agencies that provide services to the most vulnerable members of society. The services offered to the charity sector by RED Fundraising Recruitment are aimed at developing long-term regular donations that allow our clients to better manage the vital services they supply to the community.</t>
  </si>
  <si>
    <t>Tele Marketing | Fundraising Partners | Fundraising Services | Statistics And Data Analysis | Data &amp; Protection | Finance &amp; Accounting | Accounting &amp; Financial Reporting | Data Management | Supporters And Donors | American Arbitration Association</t>
  </si>
  <si>
    <t>Fundraising Organizations (Charitable / Religious) | Community / Civic / Special Interest Groups (Non-Medical) | Human Resource Consultants | Employment Agencies | Management Consultants</t>
  </si>
  <si>
    <t>867301 | 864401 | 641404 | 740501 | 641401</t>
  </si>
  <si>
    <t>info@redfundraising.ie</t>
  </si>
  <si>
    <t>http://www.redhat.com/</t>
  </si>
  <si>
    <t>https://www.instagram.com/redfundraising/</t>
  </si>
  <si>
    <t>2021-09-02T22:00:58.000Z</t>
  </si>
  <si>
    <t>Red Hat Malaysia Sdn. Bhd.</t>
  </si>
  <si>
    <t>c46fb933-09f0-11ec-ae36-ddb3b2b086cf</t>
  </si>
  <si>
    <t>Red Seal Malaysia | Red Seal</t>
  </si>
  <si>
    <t>MY, Malaysia, Selangor, Subang Jaya, 47500, Jalan SS 15/4, 16, 3.0753585, 101.5870176</t>
  </si>
  <si>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</si>
  <si>
    <t>With natural dolomite, this stain removing toothpaste delivers an extra hit of mint for ultra-fresh breath.</t>
  </si>
  <si>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</si>
  <si>
    <t>Cosmetic Manufacturing</t>
  </si>
  <si>
    <t>03-2733 0501</t>
  </si>
  <si>
    <t>+60356363528 | +60356363758</t>
  </si>
  <si>
    <t>ask_redseal@nuvanta.com</t>
  </si>
  <si>
    <t>https://www.redhat.com/en/about/office-locations</t>
  </si>
  <si>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</si>
  <si>
    <t>2021-08-30T22:55:24.000Z</t>
  </si>
  <si>
    <t>RELOCATION AS</t>
  </si>
  <si>
    <t>13d6cc27-93e5-11eb-8474-3bbe2d07207d</t>
  </si>
  <si>
    <t>Relocation AS</t>
  </si>
  <si>
    <t>Relocation AS | Relocation</t>
  </si>
  <si>
    <t>Hafrsfjord</t>
  </si>
  <si>
    <t>Madlakrossen</t>
  </si>
  <si>
    <t>NO, Norway, Rogaland, Stavanger, 4014, KvitsÃ¸ygata, 15, 58.968675, 5.7559455 | NO, Norway, Rogaland, Stavanger, 4042, Madlakrossen, 4, 58.9525614, 5.682005999999999</t>
  </si>
  <si>
    <t>scholarly article</t>
  </si>
  <si>
    <t>relocation; immigration; expats; housing search; destination services</t>
  </si>
  <si>
    <t>Oslo-based provider of corporate relocation and immigration services.</t>
  </si>
  <si>
    <t>The Smooth Start</t>
  </si>
  <si>
    <t>corporate relocations; expat services; visa assistance; home search; relocation management</t>
  </si>
  <si>
    <t>Relocation &amp; Destination Services</t>
  </si>
  <si>
    <t>Corporate relocation and immigration support services</t>
  </si>
  <si>
    <t>Other reservation service and related activities</t>
  </si>
  <si>
    <t>51 51 00 30</t>
  </si>
  <si>
    <t>post@relocation.no</t>
  </si>
  <si>
    <t>http://relocation.no/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</si>
  <si>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</si>
  <si>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</si>
  <si>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</si>
  <si>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RETAIL FOCUS A/S</t>
  </si>
  <si>
    <t>177157fd-93e5-11eb-b997-8dd98d09cf25</t>
  </si>
  <si>
    <t>Retail Institute Scandinavia A / S</t>
  </si>
  <si>
    <t>Retail Institute</t>
  </si>
  <si>
    <t>Retail Institute Scandinavia | Retail Institute Scandinavia A S</t>
  </si>
  <si>
    <t>Gammel Lundtoftevej</t>
  </si>
  <si>
    <t>1E</t>
  </si>
  <si>
    <t>DK, Denmark, Capital Region of Denmark, Kongens Lyngby, 2800, Gammel Lundtoftevej, 1E, 55.7748302, 12.500210400000002</t>
  </si>
  <si>
    <t>Refresh Retail 2026 Early Bird Refresh Retail konference Det sker Oktober Ny udgivelse Danmarks Største Shoppingcentre 2025 6. nov.: Ny udgivelse Prognosen  ...</t>
  </si>
  <si>
    <t>retail marketing; POS materials; in-store communication; shop design; visual merchandising</t>
  </si>
  <si>
    <t>Denmark-based provider of in-store marketing and retail design solutions.</t>
  </si>
  <si>
    <t>Retail Focus A/S develops and produces point-of-sale materials, displays and in-store communication concepts, helping retailers and brands optimise the shopper experience and in-store marketing impact.</t>
  </si>
  <si>
    <t>POS displays; shop-in-shop; visual merchandising; campaign implementation; retail fixtures</t>
  </si>
  <si>
    <t>339950</t>
  </si>
  <si>
    <t>Sign Manufacturing</t>
  </si>
  <si>
    <t>Retail Marketing &amp; In-Store Solutions</t>
  </si>
  <si>
    <t>In-store marketing, POS design and production</t>
  </si>
  <si>
    <t>70 23 30 10</t>
  </si>
  <si>
    <t>+4520430011 | +4525052018 | +4570233010 | +4531500915 | +4526777598 | +4523433140 | +4520132023 | +4531587122 | +4540329810</t>
  </si>
  <si>
    <t>retail@retailinstitute.dk</t>
  </si>
  <si>
    <t>das@retailinstitute.dk | dw@retailinstitute.dk | ah@retailinstitute.dk | bm@retailinstitute.dk | hb@retailinstitute.dk | hh@retailinstitute.dk | km@retailinstitute.dk</t>
  </si>
  <si>
    <t>http://www.retailinstitute.dk/</t>
  </si>
  <si>
    <t>https://www.linkedin.com/company/retail-institute-scandinavia/?originalSubdomain=dk</t>
  </si>
  <si>
    <t>web servers: litespeed | javascript libraries: lodash | analytics: matomo analytics | cookie compliance: cookie control | miscellaneous: babel | javascript libraries: core-js | ui frameworks: flat ui | miscellaneous: rss | ui frameworks: bootstrap | live chat: tidio | web servers: empathy platform | ecommerce: woocommerce | web frameworks: bootstrap | analytics: leadinfo | ui frameworks: uikit | security: recaptcha | javascript frameworks: jquery blockui | widgets: css | miscellaneous: twitter emoji (twemoji) | javascript frameworks: jquery mousewheel | font scripts: google font api | web frameworks: flat ui | javascript frameworks: dojo | security: hsts | blogging platforms: wordpress | javascript libraries: modernizr | databases: mysql | issue trackers: really simple discovery | cms: site.com | video players: mediaelement.js | javascript libraries: prettyphoto | miscellaneous: open graph | reverse proxies: nunjucks | miscellaneous: swiper slider | network devices: html | miscellaneous: jquery easing | font scripts: font awesome | javascript libraries: jquery ui | javascript frameworks: jquery migrate | web servers: apache | javascript frameworks: modernizr | wordpress plugins: the events calendar | network devices: html5 | wordpress plugins: woocommerce | javascript frameworks: prettyphoto | cms: wordpress | javascript libraries: dojo | cdn: bunny | blogs: wordpress | javascript frameworks: jquery ui | tag managers: google tag manager | miscellaneous: linkedin | cookie compliance: cookiebot | javascript libraries: jquery | widgets: owl carousel | widgets: javascript | javascript graphics: chart.js | font scripts: twitter emoji (twemoji) | programming languages: php | javascript libraries: jquery migrate | javascript frameworks: jquery | analytics: google analytics | font scripts: bunny fonts</t>
  </si>
  <si>
    <t>2019-11-24T03:16:06.000Z</t>
  </si>
  <si>
    <t>REVEALCX LLC</t>
  </si>
  <si>
    <t>168fa5a3-20d1-11ee-955b-359ace42ebb8</t>
  </si>
  <si>
    <t>West 33rd Street</t>
  </si>
  <si>
    <t>US, United States, New York, New York, 10010, Broadway, 1115, 40.7429808, -73.9893406</t>
  </si>
  <si>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</si>
  <si>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</si>
  <si>
    <t>KNOWLEDGE HUB AI meets CX Where to start ?How do I get a firm grip on implementing AI in CX ?Does it feel like diving in at the deep end ?</t>
  </si>
  <si>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</si>
  <si>
    <t>Artificial Intelligence | Insights And Analytics | AI &amp; Automation | Workforce Engagement | Customer Experience Cx | Active Learning</t>
  </si>
  <si>
    <t>https://aiincx.com/</t>
  </si>
  <si>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</si>
  <si>
    <t>2023-07-12T15:32:20.000Z</t>
  </si>
  <si>
    <t>Rezponz A/S</t>
  </si>
  <si>
    <t>c8b67a70-c825-11ec-89f7-7594ea00aeb1</t>
  </si>
  <si>
    <t>Rezponz A/S.</t>
  </si>
  <si>
    <t>Rezponz</t>
  </si>
  <si>
    <t>Kristinevej</t>
  </si>
  <si>
    <t>DK, Denmark, North Denmark Region, Aalborg, 9000, Kristinevej, 2, 57.035423, 9.964558</t>
  </si>
  <si>
    <t>Rezponz leverer professionel kundeservice, skaber stærke kunderelationer og fokuserer på medarbejdertrivsel og udvikling.</t>
  </si>
  <si>
    <t>customer service; contact centre; call centre; helpdesk; outsourcing</t>
  </si>
  <si>
    <t>Denmark-based provider of outsourced customer service and support.</t>
  </si>
  <si>
    <t>Rezponz A/S operates customer service and contact centre solutions on behalf of client companies, handling inquiries, support and customer care across phone and digital channels.</t>
  </si>
  <si>
    <t>inbound support; customer care; service desk; multichannel contact centre; BPO</t>
  </si>
  <si>
    <t>Customer Service &amp; Contact Centre Services</t>
  </si>
  <si>
    <t>Outsourced customer service and contact centre operations</t>
  </si>
  <si>
    <t>96 30 19 30</t>
  </si>
  <si>
    <t>+4526394090 | +4553303737 | +4596301930</t>
  </si>
  <si>
    <t>info@rezponz.dk</t>
  </si>
  <si>
    <t>Mailto:info@rezponz.dk</t>
  </si>
  <si>
    <t>lie@rezponz.dk</t>
  </si>
  <si>
    <t>http://www.rezponz.dk/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</si>
  <si>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</si>
  <si>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</si>
  <si>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</si>
  <si>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</si>
  <si>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</si>
  <si>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Rhenus Warehousing Solutions Denmark A/S</t>
  </si>
  <si>
    <t>24849b41-fd3f-11ec-a4e9-35cb019aea9a</t>
  </si>
  <si>
    <t>Rhenus Warehousing Solutions</t>
  </si>
  <si>
    <t>myPallet ApS. | myPallet GmbH</t>
  </si>
  <si>
    <t>myPallet | myPallets | Prislister m.v. | Bring Warehousing AS</t>
  </si>
  <si>
    <t>Egeskovvej</t>
  </si>
  <si>
    <t>15A</t>
  </si>
  <si>
    <t>DK, Denmark, Central Denmark Region, Horsens, 8700, Kai Lindbergs Vej, 10A, 55.8468692, 9.7365964 | DK, Denmark, Capital Region of Denmark, Copenhagen, 1357, Ny Carlsberg Vej, 80, 55.6668946, 12.5367879 | SE, Sweden, VÃ¤stra GÃ¶taland County, GÃ¶teborgs Stad, 413 15, , , 57.693180084228516, 11.946321487426758 | DE, Germany, Schleswig-Holstein, Norderstedt, 22848, Gutenbergring, 67a, 53.6590944, 9.9867178 | DE, Germany, Hamburg, Hamburg, , , , 53.550341, 10.000654 | DK, Denmark, Region Zealand, Vordingborg Municipality, 4735, Stadionsvej, 14, 55.04322052001953, 12.057085037231445 | DK, Denmark, Capital Region of Denmark, Frederiksberg, 1807, Asmussens AllÃ©, 1, 55.671509900000004, 12.5334305</t>
  </si>
  <si>
    <t>myPallet is a company that offers market-leading and contemporary software for simplifying administrative tasks in the management and control of transport packaging, specifically EUR Pallets. They provide innovative and digitized tools for managing and controlling transport packaging through their applications. The digital data exchange is managed by the individual customer using the myPallet Dashboard, which allows for unique access to the system. The system is designed for all stages of the supply chain, from sender to recipient, truck owner to freight forwarder, and warehouseman to truck driver. MyPallet aims to minimize transport chain costs associated with packaging management, increase recycling of the same packaging type, and conserve natural resources.</t>
  </si>
  <si>
    <t>Software Development and Implementation of Software | Transport Packaging Management Software | Delivery Management | Packaging Flow Assessment | Software Solutions for Transportation and Packaging | Track and Trace | Digital Proof of Delivery | Digital Tools Provider | Real-time Tracking Services | General Freight Trucking | Software Development Company | Supply Chain Management | Data Exchange | Custom Programming Services | Transportation Services | Administrative Tasks Simplification | Damage Reporting Services | Waybill and Vehicle Registration Service | Digital Damage Management for Large Fleets | E-CMR | Distribution | Circular Economy Solutions | Wood Pallet and Container Industry | B2B Marketplace | Software Development | Web Portal for Packaging Management | Pallet Mediation Platform</t>
  </si>
  <si>
    <t>MyPallet - your future digital packaging management tool.myPallet offers market-leading and contemporary software for simplifying the administrative tasks in the management and control of transport packaging ie EUR Pallets. Confidence and transparency are the keywords in our endeavors in a trustworthy partnership with our customers. Innovative and digitized tools for managing and controlling transport packaging. The digital data exchange is done by using our applications, and managed by the individual customer, using the myPallet Dashboard, which is the customer's unique access to the system. The system is developed for all stages of the supply chain:* from sender to recipient * from the truck owner to the freight forwarder* from warehouseman to the truck driver
OUR VISION is to minimize the transport chain costs associated with packaging management
OUR MISSION is to increase the recycling of the same packaging type
OUR OBJECTIVES are to conserve natural resources
Read more at : www.myPallet.dk</t>
  </si>
  <si>
    <t>Tracking &amp; Tracing | Proof Of Delivery | Administration | Supply Chain Management | Warehouse Management System | Logistics Management | Warehousing | Freight Forwarding Services | Truck Driver | Track Trace</t>
  </si>
  <si>
    <t>Software Developers (Pre-Packaged) | Software Developers (Custom) | Canning and Preserving (Meat / Fish / Fruit / Vegetables) | Household Moving / Packing Operations | Technology Customer Support Services (For others)</t>
  </si>
  <si>
    <t>891801 | 891802 | 203001 | 426301 | 740809</t>
  </si>
  <si>
    <t>70 20 24 08</t>
  </si>
  <si>
    <t>+494088368124 | +46760381992 | +4553738899 | +4553534400 | +4553738891 | +4553738890 | +4542585847 | +4539184494 | +4915122079159 | +494088368121</t>
  </si>
  <si>
    <t>info@mypallet.dk</t>
  </si>
  <si>
    <t>https://www.rhenus.group/rhenus-group/about-us/warehousing-solutions/</t>
  </si>
  <si>
    <t>EN</t>
  </si>
  <si>
    <t>https://www.facebook.com/MyPallet-101415645861179/</t>
  </si>
  <si>
    <t>https://www.instagram.com/rhenuslogistics/</t>
  </si>
  <si>
    <t>https://www.linkedin.com/company/rhenus-logistics/</t>
  </si>
  <si>
    <t>https://apps.apple.com/app/id1459845113</t>
  </si>
  <si>
    <t>https://play.google.com/store/apps/details?id=dk.mypallet.mypallet</t>
  </si>
  <si>
    <t>https://www.youtube.com/@RhenusGroup/playlists</t>
  </si>
  <si>
    <t>web servers: ibm websphere application server | web servers: litespeed | javascript libraries: lodash | cookie compliance: cookie control | javascript frameworks: requirejs | javascript libraries: core-js | miscellaneous: rss | ui frameworks: bootstrap | javascript frameworks: handlebars | javascript libraries: twitter typeahead.js | web servers: empathy platform | performance: priority hints | security: classic asp | security: recaptcha | wordpress plugins: elementor | javascript frameworks: jquery blockui | widgets: css | live chat: tawk.to | javascript frameworks: jquery mousewheel | security: hsts | reverse proxies: nginx | miscellaneous: http/3 | javascript libraries: bootbox.js | analytics: site kit | databases: mysql | issue trackers: really simple discovery | cms: site.com | reverse proxies: nunjucks | network devices: html | miscellaneous: jquery easing | font scripts: font awesome | javascript libraries: jquery ui | network devices: html5 | miscellaneous: facebook | javascript frameworks: gsap | cms: wordpress | blogs: wordpress | programming languages: python | tag managers: google tag manager | miscellaneous: linkedin | wordpress plugins: site kit | cookie compliance: cookiebot | web frameworks: jquery waypoints | javascript libraries: jquery | widgets: javascript | web frameworks: django | font scripts: twitter emoji (twemoji) | web servers: nginx | programming languages: php | javascript libraries: jquery migrate | page builders: elementor | miscellaneous: instagram | analytics: google analytics</t>
  </si>
  <si>
    <t>2020-05-03T14:20:47.000Z</t>
  </si>
  <si>
    <t>RITTAL A/S</t>
  </si>
  <si>
    <t>83718e53-1b00-11ec-a945-71766a416f0a</t>
  </si>
  <si>
    <t>Rittal A/S</t>
  </si>
  <si>
    <t>Rittal A/S.</t>
  </si>
  <si>
    <t>Vallensbæk Strand</t>
  </si>
  <si>
    <t>Delta Park</t>
  </si>
  <si>
    <t>DK, Denmark, Capital Region of Denmark, VallensbÃ¦k Municipality, 2665, Delta Park, 37, 55.628078699999996, 12.3870794</t>
  </si>
  <si>
    <t>Rittal | We can help make your value-creating processes faster, more efficient and more precise.&lt;br/&gt;&lt;br/&gt;</t>
  </si>
  <si>
    <t>enclosures; IT racks; climate control; power distribution; industrial solutions</t>
  </si>
  <si>
    <t>Hedehusene-based supplier of Rittal enclosure and IT infrastructure solutions.</t>
  </si>
  <si>
    <t>Rittal A/S is the Danish subsidiary of Rittal GmbH &amp; Co. KG. It delivers enclosure systems, climate control solutions, IT racks, power distribution and related services for industrial, data centre and infrastructure customers in Denmark.</t>
  </si>
  <si>
    <t>control cabinets; server racks; cooling units; power distribution; industrial automation infrastructure</t>
  </si>
  <si>
    <t>334111</t>
  </si>
  <si>
    <t>Enclosure &amp; IT Infrastructure Systems</t>
  </si>
  <si>
    <t>Industrial enclosures and IT rack systems</t>
  </si>
  <si>
    <t>Sheet Metal Work</t>
  </si>
  <si>
    <t>Manufacture of metal structures and parts of structures</t>
  </si>
  <si>
    <t>70 25 59 00</t>
  </si>
  <si>
    <t>http://www.rittal.dk/</t>
  </si>
  <si>
    <t>https://www.linkedin.com/company/rittal-danmark/mycompany/?viewAsMember=true</t>
  </si>
  <si>
    <t>https://www.youtube.com/channel/UCxaSsQ3FpGfk1p19UdzakNw</t>
  </si>
  <si>
    <t>2021-08-17T13:58:58.000Z</t>
  </si>
  <si>
    <t>RTTD LTD</t>
  </si>
  <si>
    <t>b9b2d1d2-9a09-11ec-9faf-49592d66acb7</t>
  </si>
  <si>
    <t>RT Software Ltd</t>
  </si>
  <si>
    <t>RTTD</t>
  </si>
  <si>
    <t>SW6 3DU</t>
  </si>
  <si>
    <t>Regent Street</t>
  </si>
  <si>
    <t>DE, Germany, Lower Saxony, OsnabrÃ¼ck, 49080, MartinistraÃŸe, 3, 51.379995449999996, 6.685006593518237</t>
  </si>
  <si>
    <t>Broadcast Graphics specialists. We are 100% focussed on delivering the best broadcast graphics for your audiences</t>
  </si>
  <si>
    <t>Household Linen and Fabrics | Assessment Services | Polyester Furniture | User Experience Design Services | Recommendation Services | Review Services | Productivity Platform | Information Services | Product Comparison Service | Modern Metal Wall Shelves | Transparency Services</t>
  </si>
  <si>
    <t>Rttd.de - Produktvergleich, Information, Bewertung, Empfehlung, Benutzerfreundlichkeit und Nutzererfahrung</t>
  </si>
  <si>
    <t>Zudem kÃ¶nnen sie Preise und Angebote leicht vergleichen, was zu potenziellen Kosteneinsparungen fÃ¼hren kann. DarÃ¼ber hinaus ist es wichtig, dass die Online-Tests benutzerfreundlich und barrierefrei gestaltet sind, um eine zuverlÃ¤ssige und faire Bewertung der Teilnehmer zu gew. Dazu gehÃ¶ren Social-Media-Werbung, Suchmaschinenoptimierung und gezielte Werbekampagnen. Weiter zum Produkt mÃ¶bel direkt online Metalldekoration "Stern" Richi. Trendige Metalldekoration aus Eisen mit einer rostigen OberflÃ¤che, in Form eines Sternes. Durch die zunehmende Digitalisierung sind Online-Verbindungen zu einem integralen Bestandteil des modernen Lebens geworden.</t>
  </si>
  <si>
    <t>Online Banking | Electronic Banking | Online Marketing</t>
  </si>
  <si>
    <t>Furniture Stores</t>
  </si>
  <si>
    <t>Furniture</t>
  </si>
  <si>
    <t>Home Products</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</si>
  <si>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</si>
  <si>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</si>
  <si>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</si>
  <si>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</si>
  <si>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</si>
  <si>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</si>
  <si>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020 7384 2711</t>
  </si>
  <si>
    <t>sales@rtsw.co.uk</t>
  </si>
  <si>
    <t>http://rtsw.co.uk/</t>
  </si>
  <si>
    <t>https://www.facebook.com/RTSoftwareLtd/</t>
  </si>
  <si>
    <t>https://twitter.com/RTSoftware</t>
  </si>
  <si>
    <t>https://www.linkedin.com/company/rt-software</t>
  </si>
  <si>
    <t>https://www.youtube.com/user/democlipsrtsw/</t>
  </si>
  <si>
    <t>javascript libraries: webp | web servers: empathy platform | web servers: openresty | reverse proxies: nginx | cms: site.com | network devices: html | javascript libraries: htmx | web servers: nginx</t>
  </si>
  <si>
    <t>2022-02-24T00:17:53.000Z</t>
  </si>
  <si>
    <t>BRINTH &amp; HILLERUP A/S</t>
  </si>
  <si>
    <t>121f310c-93e5-11eb-b997-8dd98d09cf25</t>
  </si>
  <si>
    <t>Sleth A/S</t>
  </si>
  <si>
    <t>Escape Company</t>
  </si>
  <si>
    <t>Escape | Escape Project Professionals</t>
  </si>
  <si>
    <t>Sonnesgade</t>
  </si>
  <si>
    <t>DK, Denmark, Central Denmark Region, Aarhus, 8000, Mariane Thomsens Gade, 2E, 56.165748, 10.22828</t>
  </si>
  <si>
    <t>SLETH is a Danish office for architecture, landscape, and urban transformation based in Aarhus and Copenhagen.</t>
  </si>
  <si>
    <t>Large-scale Agile Transformations | Project Management Services | Specialized External Help | Coaching and Guidance | Project Management Consulting Services | Unforeseen Circumstances | Innovative Product Development with Sustainability Focus | Innovation Program Execution</t>
  </si>
  <si>
    <t>And they discover that there's a much better way to engage external consultants.</t>
  </si>
  <si>
    <t>Escape Company is a team of project professionals based in Denmark. Our success lies in helping companies implement complex projects, agile transformations and innovation management. As our name suggests, we offer a refreshingly different way to help you get things done. By trusting your projects to us, you escape all the headaches and gain extra pairs of friendly, experienced hands. It's as simple as that. Contact us and hear more about our â€˜traditional' project management capabilities, how we can confidently coach and guide your business through a full-scale agile transformation. Or, how we help you design and execute a full-on innovation programme, from napkin sketch to product launch.</t>
  </si>
  <si>
    <t>Project Management | Business Consulting | Scaled Agile | Confidence Coaching | Management Consulting Services</t>
  </si>
  <si>
    <t>32 11 10 01</t>
  </si>
  <si>
    <t>+4522481471 | +4541254199</t>
  </si>
  <si>
    <t>contact@escape.company</t>
  </si>
  <si>
    <t>michael@escape.company | rolf@escape.company</t>
  </si>
  <si>
    <t>http://www.sleth.dk/</t>
  </si>
  <si>
    <t>https://www.facebook.com/SlethAS</t>
  </si>
  <si>
    <t>https://www.instagram.com/sleth_architects/</t>
  </si>
  <si>
    <t>https://www.linkedin.com/company/sleth-a-s</t>
  </si>
  <si>
    <t>web servers: ibm websphere application server | javascript libraries: core-js | ecommerce: squarespace commerce - 7.1 | web servers: empathy platform | performance: priority hints | cms: squarespace | miscellaneous: webpack | security: recaptcha | javascript frameworks: stimulus | issue trackers: sentry | widgets: css | ecommerce: squarespace commerce | font scripts: google font api | security: hsts | javascript frameworks: yahoo user interface | javascript libraries: core-js - 3.26.0 | javascript libraries: modernizr | miscellaneous: module federation | cms: site.com | font scripts: adobe fonts | javascript libraries: modernizr - 2.8.3 | font scripts: typekit | javascript libraries: lodash - 4.17.21 | miscellaneous: open graph | javascript libraries: yui | cms: squarespace - 7.1 | network devices: html5 | ecommerce: cart functionality | miscellaneous: linkedin | javascript libraries: yui - 3.17.2 | widgets: javascript | font scripts: typekit - 1.21.0</t>
  </si>
  <si>
    <t>2020-08-10T21:44:27.000Z</t>
  </si>
  <si>
    <t>SAGEMCOM BROADBAND SAS</t>
  </si>
  <si>
    <t>5d42a8d2-f9d6-11ec-be61-8fd2b29bbf2d</t>
  </si>
  <si>
    <t>Sagemcom</t>
  </si>
  <si>
    <t>Sagemcom Broadband SAS.</t>
  </si>
  <si>
    <t>Rueil-Malmaison</t>
  </si>
  <si>
    <t>Route de l'Empereur</t>
  </si>
  <si>
    <t>business enterprise</t>
  </si>
  <si>
    <t>Telecommunications Services | Router Solutions Provider | Broadband Services</t>
  </si>
  <si>
    <t>Sagemcom officiel - Découvrez le groupe Sagemcom et ses trois principaux marchés : Smart City, Solutions Broadband et Solutions Audio Vidéo</t>
  </si>
  <si>
    <t>https://www.sagemcom.com/</t>
  </si>
  <si>
    <t>https://www.facebook.com/SagemcomOfficial</t>
  </si>
  <si>
    <t>https://twitter.com/Sagemcom</t>
  </si>
  <si>
    <t>https://www.instagram.com/sagemcom_inside</t>
  </si>
  <si>
    <t>https://www.linkedin.com/company/sagemcom</t>
  </si>
  <si>
    <t>https://www.youtube.com/channel/UC7FByFESvQEJd12jVH2AW8A</t>
  </si>
  <si>
    <t>2022-06-30T10:06:57.000Z</t>
  </si>
  <si>
    <t>SAILPOINT TECHNOLOGIES, INC.</t>
  </si>
  <si>
    <t>391eb2e4-181d-11f0-8284-6dfd2009e8a0</t>
  </si>
  <si>
    <t>SailPoint Technologies</t>
  </si>
  <si>
    <t>SAILPOINT TECHNOLOGIES | SAILPOINT</t>
  </si>
  <si>
    <t>Austin</t>
  </si>
  <si>
    <t>4 Points Drive</t>
  </si>
  <si>
    <t>US, United States, Texas, Houston, 77027, San Felipe Street, 4265, 29.7460771, -95.4502068</t>
  </si>
  <si>
    <t>The core of enterprise security is identity. Take a tour to see how our identity security platform delivers a foundation that securely fuels your business.</t>
  </si>
  <si>
    <t>identity security; IAM; identity governance; access management; SaaS; cybersecurity</t>
  </si>
  <si>
    <t>Austin-headquartered provider of identity governance and administration solutions.</t>
  </si>
  <si>
    <t>SailPoint Technologies, Inc. is a US software company specialising in identity security. Its platforms help organisations manage user access, govern identities and automate access certifications across on-premises and cloud applications.</t>
  </si>
  <si>
    <t>IGA; identity governance; privileged access; compliance; cloud identity</t>
  </si>
  <si>
    <t>Identity &amp; Access Management Software</t>
  </si>
  <si>
    <t>Identity security and governance software</t>
  </si>
  <si>
    <t>(512) 346-2000</t>
  </si>
  <si>
    <t>sale@salientpar.xyz</t>
  </si>
  <si>
    <t>https://www.sailpoint.com/</t>
  </si>
  <si>
    <t>https://www.facebook.com/SailPoint/</t>
  </si>
  <si>
    <t>https://twitter.com/SailPoint</t>
  </si>
  <si>
    <t>https://www.instagram.com/lifeatsailpoint/</t>
  </si>
  <si>
    <t>https://www.linkedin.com/company/sailpoint-technologies/</t>
  </si>
  <si>
    <t>https://www.youtube.com/SailPointTechnologies</t>
  </si>
  <si>
    <t>2025-03-02T00:35:13.000Z</t>
  </si>
  <si>
    <t>SALESFORCE UK LIMITED</t>
  </si>
  <si>
    <t>31fb638d-1105-11ec-a8d6-03ab78afae8c</t>
  </si>
  <si>
    <t>Salesforce Tower</t>
  </si>
  <si>
    <t>The Salesforce PM Limited</t>
  </si>
  <si>
    <t>The Salesforce PM</t>
  </si>
  <si>
    <t>EC2N 4AY</t>
  </si>
  <si>
    <t>Bishopsgate</t>
  </si>
  <si>
    <t>GB, United Kingdom, England, Richmond, TW9 4QJ, Manor Grove, 175, 51.46674845, -0.2826772999999997</t>
  </si>
  <si>
    <t>110 Bishopsgate is a contemporary landmark providing space from 5,000 sq ft in this globally recognised tower.</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</si>
  <si>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</si>
  <si>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</si>
  <si>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</si>
  <si>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</si>
  <si>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contact@thesalesforcepm.com</t>
  </si>
  <si>
    <t>http://salesforce-tower.com/</t>
  </si>
  <si>
    <t>2021-09-08T23:19:55.000Z</t>
  </si>
  <si>
    <t>SALESFORCE.COM SINGAPORE PTE. LTD.</t>
  </si>
  <si>
    <t>01bc3341-6a03-11ec-ab63-87914d0623be</t>
  </si>
  <si>
    <t>Salesforce</t>
  </si>
  <si>
    <t>LIVING OAKS</t>
  </si>
  <si>
    <t>Five</t>
  </si>
  <si>
    <t>SG, Singapore, Central, Singapore, 038985, Temasek Boulevard, 5, 1.2939486, 103.858378</t>
  </si>
  <si>
    <t>Personalise every experience along the customer journey with the Customer 360. Unify marketing, sales, service, commerce, and IT on the world's #1 CRM.</t>
  </si>
  <si>
    <t>Humanitarian Activities | Architectural Design Services | Feeding Services | Employment Services | Oceanfront University in Mozambique | Healthcare Services | International Projects | Educational Services | Airstrip in An Undiscovered Village | Evacuation of Children | Primary Schools in War-torn Congo | School for The Blind</t>
  </si>
  <si>
    <t>Through their international commercial projects undertaken through their parent firm Genesis Architects, they take joy in honing their skills and bringing excellence and creativity to the table.</t>
  </si>
  <si>
    <t>Rudy and Baoyan is a husband-and-wife team â€” an architect and entrepreneur who are passionate about what they do. Through their international commercial projects undertaken through their parent firm Genesis Architects, they take joy in honing their skills and bringing excellence and creativity to the table. Part of the profits from their day job and business over at Genesis Architects have been used to fund their architectural humanitarian projects under their social arm called Living Oaks. Beyond architectural expertise, they also run feeding, education, healthcare, employment and other sustainable programmes that have supported over 50,000 people in 10 nations. Living Oaks is a platform where they raise awareness of the needs of the vulnerable around the world and share more about their ongoing projects to support them. Rudy and Baoyan would love to connect with like-minded people who are passionate about what they do and scale up to do more, whether it is in terms of fundraising, volunteers or other partnerships.</t>
  </si>
  <si>
    <t>Healthcare Employers | Medical Evacuation</t>
  </si>
  <si>
    <t>Engineers | Architects | Land Surveyors | Carpentry, trim and millwork (No Wood Shop) | Drafting / Surveying / Engineering / Machining</t>
  </si>
  <si>
    <t>891601 | 891501 | 891201 | 175201 | 382401</t>
  </si>
  <si>
    <t>6302 5700</t>
  </si>
  <si>
    <t>hello@livingoaks.sg</t>
  </si>
  <si>
    <t>http://www.salesforce.com/ap</t>
  </si>
  <si>
    <t>https://www.instagram.com/livingoaks_sg/</t>
  </si>
  <si>
    <t>javascript libraries: core-js | web servers: empathy platform | performance: priority hints | cms: squarespace | javascript frameworks: stimulus | ecommerce: squarespace commerce | font scripts: google font api | javascript frameworks: yahoo user interface | video players: youtube | javascript libraries: modernizr | font scripts: youtube iframe embed | cms: site.com | miscellaneous: open graph | javascript libraries: yui | ecommerce: cart functionality | geolocation: twitter cards</t>
  </si>
  <si>
    <t>2021-12-30T21:27:11.000Z</t>
  </si>
  <si>
    <t>Salling Group Forsikring A/S</t>
  </si>
  <si>
    <t>ceff37a2-02d7-11ed-8baf-6351820414ca</t>
  </si>
  <si>
    <t>Salling Group A/S</t>
  </si>
  <si>
    <t>Salling Group</t>
  </si>
  <si>
    <t>Brabrand</t>
  </si>
  <si>
    <t>Rosbjergvej</t>
  </si>
  <si>
    <t>DK, Denmark, Central Denmark Region, Aarhus, 8220, Rosbjergvej, 33, 56.161468, 10.05677</t>
  </si>
  <si>
    <t>Salling Group er Danmarks største dagligvarekoncern med kæder som føtex, Bilka, Netto, Salling stormagasiner, BR og butikker i Danmark, Tyskland og Polen.</t>
  </si>
  <si>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</si>
  <si>
    <t>Skal du have ny cykel, men ved ikke hvad du skal vÃ¦lge.</t>
  </si>
  <si>
    <t>Googles ) inden for sociale medier, annoncering og analyse. Det gÃ¸r vi for at kunne optimere design, brugervenlighed og styrke effektiviteten af hjemmesiden. FormÃ¥l: Samler information om brugerne og deres aktivitet pÃ¥ websitet. Skal du have ny cykel, men ved ikke hvad du skal vÃ¦lge.</t>
  </si>
  <si>
    <t>Targeted Advertising | Online Marketing | Experiences Cloud | Debt Leads | Media Advertising | Platform Privacy</t>
  </si>
  <si>
    <t>Bicycle Shops, Parts &amp; Accessories</t>
  </si>
  <si>
    <t>Bicycle, Motorcycle &amp; ATVs</t>
  </si>
  <si>
    <t>Toys &amp; Sporting Goods</t>
  </si>
  <si>
    <t>3944 | 3751</t>
  </si>
  <si>
    <t>Games, Toys, and Childrenâ€™s Vehicles, Except Dolls and Bicycles (metal tricycles) | Motorcycles, Bicycles, and Parts</t>
  </si>
  <si>
    <t>Motorcycle Sales &amp; Service | Schools - Not Otherwise Classified (incl Business Colleges) | Recreational Vehicle Sales &amp; Service (Snowmobiles, ATVs, Jet Skis, Scooters, E-Bikes, Golf Carts etc) | Retail - Bicycles (Non-Motorized, incl. Repair) | Health / Fitness Clubs</t>
  </si>
  <si>
    <t>3091 | 3092</t>
  </si>
  <si>
    <t>Manufacture of motorcycles | Manufacture of bicycles and invalid carriages</t>
  </si>
  <si>
    <t>30.91 | 30.92</t>
  </si>
  <si>
    <t>551401 | 832301 | 551402 | 593401 | 793701</t>
  </si>
  <si>
    <t>87 78 50 00</t>
  </si>
  <si>
    <t>+4535954716 | +4587783000</t>
  </si>
  <si>
    <t>scocykler@sallinggroup.com</t>
  </si>
  <si>
    <t>https://sallinggroup.com/</t>
  </si>
  <si>
    <t>https://dk.linkedin.com/company/sallinggroup</t>
  </si>
  <si>
    <t>https://apps.apple.com/dk/app/cykelmakker/id6444400543?l=da</t>
  </si>
  <si>
    <t>https://play.google.com/store/apps/details?id=com.cykelmakker&amp;pli=1</t>
  </si>
  <si>
    <t>2022-07-06T17:09:26.000Z</t>
  </si>
  <si>
    <t>Saluran Cekap (M) Sdn. Bhd.</t>
  </si>
  <si>
    <t>e196c56b-a6f0-11ef-a654-07876f90535e</t>
  </si>
  <si>
    <t>Saluran Cekap (M) Sdn Bhd</t>
  </si>
  <si>
    <t>Glocal Nexus Express Sdn. Bhd.</t>
  </si>
  <si>
    <t>GNEX</t>
  </si>
  <si>
    <t>Ampang</t>
  </si>
  <si>
    <t>Jalan Medan Bukit Indah 3</t>
  </si>
  <si>
    <t>2 - 1C</t>
  </si>
  <si>
    <t>MY, Malaysia, Selangor, Ampang Jaya Municipal Council, 68000, Medan Bukit Indah 2, 33G, 3.1520926, 101.7749651 | MY, Malaysia, Johor, Johor Bahru, 81100, , , 1.5458049685610302, 103.75736030620101 | MY, Malaysia, Sarawak, Limbang, 98700, , , 4.693851416666666, 114.97892283571429</t>
  </si>
  <si>
    <t>Glocal Nexus Express Sdn. Bhd. (Gnex) is a logistics solutions provider founded in 2022. The company specializes in a wide range of services including Air &amp; Sea Freight, Freight Forwarding, Transportation &amp; Haulage, Warehousing, and e-fulfillment. GNEX aims to become a leading logistics provider and a prominent Bumiputera company in the supply chain industry. The company emphasizes customer satisfaction and utilizes state-of-the-art systems to ensure seamless integration of all aspects of the supply chain.</t>
  </si>
  <si>
    <t>Air and Sea Freight Services | Logistics Solutions Provider | End-to-end Supply Chain Processes | Haulage Services | Consultation on Project Cargo | Warehousing and E-fulfillment Services | Freight Forwarding Services</t>
  </si>
  <si>
    <t>We specialize in a wide range of services ranging from Air &amp; Sea Freight, Freight Forwarding, Transportation &amp; Haulage, Warehousing &amp; e- Fulfilment to cargo project consultation.</t>
  </si>
  <si>
    <t>In accordance with our company's philosophy of "Bekerja Sambil Beramal," Glocal Nexus Express Sdn. Bhd. puts our 'Customers First' when it comes to providing services. Our company was founded in 2022 with the aim of becoming the leading logistics solution provider through our associate company and strategic partners. We specialize in a wide range of services ranging from Air &amp; Sea Freight, Freight Forwarding, Transportation &amp; Haulage, Warehousing &amp; e- Fulfilment to cargo project consultation. In addition, we aspire to be one of the most successful and well-known bumiputra companies in the supply chain industry. With the help of state- of-the-art systems, the team can work together efficiently and effectively, ensuring that all aspects of the supply chain are seamlessly integrated. Ikatan Kedap Tape Nylon Percuma 'Pick-up Service' Terus ke Bilik Hotel Percuma.</t>
  </si>
  <si>
    <t>03-4295 0025</t>
  </si>
  <si>
    <t>+966554553401 | +966554553446 | +601157515310 | +60169302770 | +601123879855 | +601169302770</t>
  </si>
  <si>
    <t>support@gnex.com.my</t>
  </si>
  <si>
    <t>https://gnex.com.my/</t>
  </si>
  <si>
    <t>id</t>
  </si>
  <si>
    <t>network devices: html | web servers: litespeed</t>
  </si>
  <si>
    <t>2024-11-19T18:27:34.000Z</t>
  </si>
  <si>
    <t>SAMSUNG ELECTRONICS NORDIC AKTIEBOLAG</t>
  </si>
  <si>
    <t>7c98d737-93e4-11eb-b5f6-816dd10ac7b0</t>
  </si>
  <si>
    <t>Samsung Electronics Nordic AB</t>
  </si>
  <si>
    <t>SRFS</t>
  </si>
  <si>
    <t>SE, Sweden, Stockholm County, Stockholm, 164 40, Torshamnsgatan, 27, 59.408279, 17.9502971</t>
  </si>
  <si>
    <t>Välkommen till Samsung Sverige. Upptäck ett brett utbud av innovativ hemelektronik och teknik, inklusive smartphones, surfplattor, tv, vitvaror och mycket mer.</t>
  </si>
  <si>
    <t>National Democratic Mass Organization | Non-profit Organization | Parent Project | Associative Development | Mentorship Programs | Navigation Projects | Compass Project</t>
  </si>
  <si>
    <t>VÃ¤lkommen till somaliska riksfÃ¶rbundet i Sverige VI SAMLAR ALLA AKTIVA FÃ–RENINGAR TILL GEMENSAM HANDLING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t>
  </si>
  <si>
    <t>VÃ¤lkommen till somaliska riksfÃ¶rbundet i Sverige. Somaliska riksfÃ¶rbundet i Sverige (SRFS) Ã¤r en demokratisk riksorganisation som Ã¤r partipolitiskt och religiÃ¶st obunden. FÃ¶rbundet grundades 1995 genom sammanslagningar av olika somaliska lokalfÃ¶reningar i Sverige. FÃ¶rbundet huvudsakliga verksamhet Ã¤r inriktad mot den svensk- somaliska gruppen i syfte att frÃ¤mja gruppens utveckling i Sverige och i Somalia. FÃ¶rbundet har idag mer Ã¤n 50 medlemsfÃ¶reningar runt om i Sverige. MedlemsfÃ¶reningarna ska fÃ¶rankra fÃ¶rbundets vision och mÃ¥lsÃ¤ttning lokaltâ€¦.</t>
  </si>
  <si>
    <t>Social Services &amp; NGOs</t>
  </si>
  <si>
    <t>NGOs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</si>
  <si>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</si>
  <si>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</si>
  <si>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Activities of other membership organizations n.e.c.</t>
  </si>
  <si>
    <t>Activities of other membership organisations n.e.c.</t>
  </si>
  <si>
    <t>08-555 057 00</t>
  </si>
  <si>
    <t>+46736479590 | +46851258888</t>
  </si>
  <si>
    <t>info@srfs.se</t>
  </si>
  <si>
    <t>https://www.samsung.com/se/</t>
  </si>
  <si>
    <t>https://www.facebook.com/SamsungNordics/</t>
  </si>
  <si>
    <t>https://twitter.com/srfs_info</t>
  </si>
  <si>
    <t>https://www.instagram.com/samsungnordics/</t>
  </si>
  <si>
    <t>https://www.linkedin.com/company/samsung-electronics-nordic/</t>
  </si>
  <si>
    <t>https://www.youtube.com/c/samsungsverige</t>
  </si>
  <si>
    <t>miscellaneous: rss | ui frameworks: bootstrap | web frameworks: bootstrap | javascript libraries: swiper | miscellaneous: twitter emoji (twemoji) | cache tools: varnish | blogging platforms: wordpress | databases: mysql | video players: mediaelement.js | miscellaneous: open graph | font scripts: font awesome | javascript frameworks: jquery migrate | web servers: apache | seo tool: facebook friendly | wordpress plugins: the events calendar | video players: vimeo | web servers: apache http server | cms: wordpress | blogs: wordpress | caching: varnish | javascript libraries: jquery | form builders: contact form 7 | font scripts: twitter emoji (twemoji) | seo tool: twitter friendly | programming languages: php | javascript libraries: jquery migrate | wordpress plugins: contact form 7 | javascript frameworks: jquery</t>
  </si>
  <si>
    <t>2019-11-24T00:02:28.000Z</t>
  </si>
  <si>
    <t>SANVARU TECHNOLOGY LIMITED</t>
  </si>
  <si>
    <t>425606ac-93e5-11eb-919a-b3f9a5ad205c</t>
  </si>
  <si>
    <t>Sanvaru Technology Ltd.</t>
  </si>
  <si>
    <t>Sanvaru Technology Limited</t>
  </si>
  <si>
    <t>Sanvaru Technology | Sanvaru</t>
  </si>
  <si>
    <t>Sonipat</t>
  </si>
  <si>
    <t>Grand Trunk Road</t>
  </si>
  <si>
    <t>IN, India, Haryana, Sonipat, 131028, NH334B, 79, 28.95247295, 77.10399123757554</t>
  </si>
  <si>
    <t>Indian IT services and software company delivering digital solutions, consulting and technology outsourcing.</t>
  </si>
  <si>
    <t>IT services; software development; outsourcing; digital solutions; consulting</t>
  </si>
  <si>
    <t>India-based IT and software services provider.</t>
  </si>
  <si>
    <t>Sanvaru Technology Limited is an Indian technology company providing IT services, custom software development and consulting to clients in various industries, supporting digital transformation and outsourcing needs.</t>
  </si>
  <si>
    <t>application development; maintenance; offshore services; IT consulting; integration</t>
  </si>
  <si>
    <t>IT Services &amp; Software Development</t>
  </si>
  <si>
    <t>IT consulting and software development services</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</si>
  <si>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</si>
  <si>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</si>
  <si>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0130 221 9039</t>
  </si>
  <si>
    <t>+18008912923 | +911302219037 | +911302219039 | +9118008912923</t>
  </si>
  <si>
    <t>info@sanvaru.com</t>
  </si>
  <si>
    <t>hcm@sanvaru.com</t>
  </si>
  <si>
    <t>http://www.sanvaru.com/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</si>
  <si>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</si>
  <si>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</si>
  <si>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</si>
  <si>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</si>
  <si>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</si>
  <si>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SAP DANMARK A/S</t>
  </si>
  <si>
    <t>9c25ed98-93e4-11eb-8474-3bbe2d07207d</t>
  </si>
  <si>
    <t>SAP</t>
  </si>
  <si>
    <t>Invoicery International AB. | Invoicery Group AB. | Invoicery Danmark ApS.</t>
  </si>
  <si>
    <t>Invoicery | Invoicery DK | Invoicery International | Invoicery Danmark</t>
  </si>
  <si>
    <t>Marmorvej</t>
  </si>
  <si>
    <t>DK, Denmark, Capital Region of Denmark, Copenhagen, 2100, Lautrupsgade, 11, 55.7106145, 12.589292600000002</t>
  </si>
  <si>
    <t>Invoicery, legally known as Invoicery Danmark ApS., based in Copenhagen, Capital Region of Denmark, operates in the freelance and self-employed sector. The company facilitates the process of freelancers and self-employed individuals working on projects with clients, ensuring compliance with labor market standards. Invoicery provides a platform where freelancers can register and apply for jobs, and upon approval, they are hired as temporary employees. The company handles invoicing, payment processing, and payroll, ensuring timely payment to freelancers.</t>
  </si>
  <si>
    <t>Human Resources Consulting Services | Targeted Advertising | Third-party Advertising Services | Secure Organization for Billing | Data Analytics Services | Financial Services | Invoicing Services | Freelaboration Services | Aggregate Reports | Data Control Services | Invoicing for Freelancers | Business Support Services | User Behavior Analysis</t>
  </si>
  <si>
    <t>You do your thing !Invoicery Danmark is a part of the Invoicery International that origins from the Swedish based company Frilans Finans.</t>
  </si>
  <si>
    <t>Det gÃ¸r vi for at kunne optimere design, brugervenlighed og styrke effektiviteten af hjemmesiden. FormÃ¥l: StÃ¸tter online markedsfÃ¸ring ved at indsamle oplysninger om brugerne til at promovere produkter gennem partnere og andre platforme. Vi hÃ¥ndterer lÃ¸n, skat, moms, feriepenge og forsikring. SÃ¥ kan du fokusere pÃ¥ dine kunder og din forretning, uden at skulle starte egen virksomhed. Vi klarer alt administration for dig 150.000 brugere og 1 million fakturaer. Du booker detaljerne for det konkrete job eller opgave. Vi sender fakturaen til kunden, og du fÃ¥r din lÃ¸n fra os. Du fÃ¥r arbejdsskadeforsikring og erhvervsforsikring under udfÃ¸rslen af opgaver. Freelancer Fakturering gennem Invoicery uden eget firma Virksomhed Egen virksomhed med CVR-nummer. En platform for freelancere uden eget CVR-nummer. Vi fÃ¸lger op pÃ¥ at dine fakturaer bliver betalt, og udbetaler dem som lÃ¸n til dig. Som ansat i Invoicery Danmark laver du dine egne projekter med de kunder du vil arbejde med. Du behÃ¸ver ikke at bekymre dig om administration, og du kan bruge al din energi pÃ¥ at gÃ¸re dÃ©t arbejde du synes er sjovt.</t>
  </si>
  <si>
    <t>Targeted Advertising | Online Marketing | Willing Workers | Fast Payouts | Debt Leads</t>
  </si>
  <si>
    <t>Community / Civic / Special Interest Groups (Non-Medical) | Lawyers / Barristers / Solicitors | Management Consultants | Professional Associations | Accountants / Auditors</t>
  </si>
  <si>
    <t>864401 | 811101 | 641401 | 862001 | 641101</t>
  </si>
  <si>
    <t>39 13 30 00</t>
  </si>
  <si>
    <t>+4572170880 | +46733211404 | +4746876607 | +4553639218 | +4540024018 | +33698212556 | +4525072024 | +46702945074 | +358400719242</t>
  </si>
  <si>
    <t>klaus.pedersen@invoicery.dk</t>
  </si>
  <si>
    <t>info@invoicery.dk | dpo@invoicery.dk</t>
  </si>
  <si>
    <t>klaus.pedersen@invoicery.dk | maria.myung.herloew@invoicery.dk | kirstin.jessen@invoicery.dk</t>
  </si>
  <si>
    <t>https://www.sap.com/denmark?url_id=Google_Maps</t>
  </si>
  <si>
    <t>https://www.facebook.com/InvoiceryDK/</t>
  </si>
  <si>
    <t>https://www.instagram.com/invoicerydanmark/</t>
  </si>
  <si>
    <t>https://www.linkedin.com/company/invoicery-danmark</t>
  </si>
  <si>
    <t>javascript libraries: lodash | ssl/tls certificate authorities: aws certificate manager | ui frameworks: bootstrap | web servers: empathy platform | web frameworks: bootstrap | miscellaneous: webpack | javascript frameworks: vue.js | paas: amazon web services | javascript frameworks: lo-dash | font scripts: google font api | a/b testing: crazy egg | javascript frameworks: moment.js | analytics: crazy egg | javascript frameworks: fancybox | miscellaneous: amazon s3 | javascript libraries: fancybox | tag managers: google tag manager | javascript libraries: jquery | javascript libraries: moment.js | cdn: amazon cloudfront | javascript frameworks: jquery | analytics: google analytics</t>
  </si>
  <si>
    <t>2019-12-04T12:23:53.000Z</t>
  </si>
  <si>
    <t>SAS INSTITUTE AS</t>
  </si>
  <si>
    <t>0313df85-93e5-11eb-8474-3bbe2d07207d</t>
  </si>
  <si>
    <t>Sas Institute AS</t>
  </si>
  <si>
    <t>Hoegheiendom | Hoegh Eiendom | HÃ¶egh Eiendom AS | Hoegh Eiendom AS</t>
  </si>
  <si>
    <t>Parkveien</t>
  </si>
  <si>
    <t>NO, Norway, Oslo, Oslo, 0256, Parkveien, 55, 59.915986700000005, 10.7223946 | NO, Norway, Viken, Ski, 1400, Glynitveien, 25, 59.718638, 10.864527 | NO, Norway, Viken, Moss, 1534, RebÃ¦kkas gate, 2, 59.439803, 10.665462</t>
  </si>
  <si>
    <t>HÃ¶egh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HÃ¶egg Eiendeom has 45 employees and is headquartered in Parkveien 55, Oslo. Their vision is to create vibrant and inspiring locations.</t>
  </si>
  <si>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</si>
  <si>
    <t>Vi er stedsutviklere med ambisjoner om Ã¥ skape levende steder som begeistrer, bÃ¥de for dagens og fremtidens generasjoner.</t>
  </si>
  <si>
    <t>HÃ¶egh Eiendom er et familieeiet eiendomsselskap som utvikler, eier og forvalter eiendommer i Oslo sentrum og det sentrale Ã¸stlandsomrÃ¥det. EiendomsportefÃ¸ljen omfatter 350 000 kvm med en Ã¥rlig leieverdi pÃ¥ 435 MNOK. Selskapet har boligprosjekter med 700 leiligheter under salg/bygging, og tre store stedsutviklingsprosjekter i Oslo, Moss og Ski. Dette tilsvarer 800 mÃ¥l ubebygde tomter for utvikling av handel, logistikk, nÃ¦ring og boliger. HÃ¶egh Eiendom har 45 ansatte og hovedkontor i Parkveien 55 i Oslo. VÃ¥r visjon er Ã¥ skape levende steder som begeistrer.</t>
  </si>
  <si>
    <t>The Environment &amp; Sustainability | Sustainable Development | International Trade Law | Real Estate | Real Estate Management | Real Estate Development</t>
  </si>
  <si>
    <t>1522 | 8741</t>
  </si>
  <si>
    <t>General Contractors - Residential Buildings Other Than Single-Family (except remodeling contractors, hotel and motel construction contractors, and dormitory and barrack construction contractors) | Management Services (multifamily housing construction management)</t>
  </si>
  <si>
    <t>Building Owner - Multiple Occupancy - Mixed-Use Commercial | Building Owner - Single Occupancy - Warehouse / Wholesale | Building Owner - Multiple Occupancy - Retail (Not Enclosed Mall) | Building Owner - Single Occupancy - Office | Building Owner - Single Occupancy - Retail</t>
  </si>
  <si>
    <t>399101 | 663303 | 529101 | 651201 | 663201</t>
  </si>
  <si>
    <t>23 08 30 50</t>
  </si>
  <si>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</si>
  <si>
    <t>cla@hoegheiendom.no</t>
  </si>
  <si>
    <t>https://www.sas.com/</t>
  </si>
  <si>
    <t>https://www.facebook.com/hoegheiendom/</t>
  </si>
  <si>
    <t>http://www.linkedin.com/company/h%c3%b6egh-eiendom-as</t>
  </si>
  <si>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</si>
  <si>
    <t>2020-02-25T10:03:39.000Z</t>
  </si>
  <si>
    <t>SAVILLE CONSULTING DANMARK A/S</t>
  </si>
  <si>
    <t>1930e241-93e5-11eb-b5f6-816dd10ac7b0</t>
  </si>
  <si>
    <t>Saville Assessment Nordic A/S</t>
  </si>
  <si>
    <t>Saville Consulting Danmark A/S. | Saville Assessment Nordic A/S.</t>
  </si>
  <si>
    <t>Saville Consulting Danmark | Saville Consulting | Saville Assessment</t>
  </si>
  <si>
    <t>Virum</t>
  </si>
  <si>
    <t>Teknikerbyen</t>
  </si>
  <si>
    <t>DK, Denmark, Capital Region of Denmark, Rudersdal Municipality, 2850, Rundforbivej, 303, 55.815614, 12.5308451</t>
  </si>
  <si>
    <t>Danish subsidiary of Saville Consulting providing psychometric assessments and talent solutions for recruitment and development.</t>
  </si>
  <si>
    <t>psychometrics; talent assessment; HR consulting; recruitment; leadership development</t>
  </si>
  <si>
    <t>Denmark-based provider of psychometric tests and talent assessment tools.</t>
  </si>
  <si>
    <t>Saville Consulting Danmark A/S offers psychometric assessments, aptitude tests and personality questionnaires to support recruitment, talent identification and leadership development, working with HR teams and consultants across Denmark.</t>
  </si>
  <si>
    <t>psychometric tests; occupational assessments; selection tools; talent analytics; HR advisory</t>
  </si>
  <si>
    <t>HR Consulting &amp; Assessment</t>
  </si>
  <si>
    <t>Psychometric testing and talent assessment services</t>
  </si>
  <si>
    <t>Accountants / Auditors | Management Consultants | Operations Consultants | Human Resource Consultants | Information Technology Consultants</t>
  </si>
  <si>
    <t>641101 | 641401 | 641403 | 641404 | 641411</t>
  </si>
  <si>
    <t>70 22 10 50</t>
  </si>
  <si>
    <t>support.dk@savilleconsulting.dk</t>
  </si>
  <si>
    <t>mail@savilleconsulting.dk | support.dk@savilleconsulting.dk | support@savilleconsulting.dk</t>
  </si>
  <si>
    <t>https://www.savilleconsulting.dk/?utm_source=google&amp;utm_medium=organic&amp;utm_campaign=gbp-website</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</si>
  <si>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</si>
  <si>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</si>
  <si>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</si>
  <si>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</si>
  <si>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</si>
  <si>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SCHNEIDER ELECTRIC DANMARK A/S</t>
  </si>
  <si>
    <t>0252d979-93e5-11eb-8859-29e7c34dee35</t>
  </si>
  <si>
    <t>Schneider Electric Denmark A / S</t>
  </si>
  <si>
    <t>Schneider Electric Denmark A/S.</t>
  </si>
  <si>
    <t>Som global specialist i energistyring, automatisering og digitalisering i mere end 100 lande tilbyder vi integrerede energiteknologiske lÃ¸sninger pÃ¥ tvÃ¦rs af flere markedssegmenter.</t>
  </si>
  <si>
    <t>Relays and Timers | Medium Voltage Products | Push Button Switches | Auto Fuses | Insulation Monitoring | Smart Panels | Engine Protection | Tech-electrical Information | Automation Technology | Limit Switches and Motor Starters | Distribution Systems | Selectivity, Backup, and Coordinations | Load Separators | Electrical Switches | Enclosure Cabinets | Fault Current Protection Via Pilot Relays | Phase Compensation and Active Filters | Frequency Inverters | Soft Starters and Motion | Software Energy Measurement Tool | Maximum Switches | Material and Installation Guides | Healthcare Sector | Installation Technology | Fuse Separators</t>
  </si>
  <si>
    <t>Schneider Electric Denmark A/S. is an electric supplies &amp; power generation supplier based in Denmark.</t>
  </si>
  <si>
    <t>Circuit Breakers | Distribution Transformers | Motoring Protection | Vacuum Circuit Breaker | Power-factor Correction | Ring Main Unit | Instrument Transformers | Switchboard Installations | Electrical Installation | Harmonic Analysis</t>
  </si>
  <si>
    <t>Switchgear and Switchboard Apparatus</t>
  </si>
  <si>
    <t>Retail - Electronics (Install / Repair Off Premises) | Wholesale - Hardware / Plumbing Supplies / Electrical Supplies | Retail - Electronics (Consumer / Office, No Off Premises Install/Repair) | Plumbing - Residential | Engineers</t>
  </si>
  <si>
    <t>571801 | 509201 | 571401 | 171101 | 891601</t>
  </si>
  <si>
    <t>88 30 20 00</t>
  </si>
  <si>
    <t>https://www.se.com/dk/da?utm_source=gmb&amp;utm_medium=Yext&amp;utm_campaign=DK1</t>
  </si>
  <si>
    <t>https://facebook.com/SchneiderElectric</t>
  </si>
  <si>
    <t>https://www.twitter.com/</t>
  </si>
  <si>
    <t>https://instagram.com/schneiderelectric</t>
  </si>
  <si>
    <t>https://www.youtube.com/</t>
  </si>
  <si>
    <t>ssl/tls certificate authorities: digicert | widgets: css | cdn: akamai | security: hsts | network devices: html | web servers: apache | miscellaneous: google code prettify | tag managers: google tag manager | javascript libraries: jquery | widgets: javascript | security: akamai bot manager | javascript frameworks: jquery | analytics: google analytics</t>
  </si>
  <si>
    <t>2019-11-24T01:59:04.000Z</t>
  </si>
  <si>
    <t>Scrive AB</t>
  </si>
  <si>
    <t>5d7e5edc-1793-11f0-858f-75a3d79280bc</t>
  </si>
  <si>
    <t>Scrive</t>
  </si>
  <si>
    <t>114 46</t>
  </si>
  <si>
    <t>Grev Turegatan</t>
  </si>
  <si>
    <t>11A</t>
  </si>
  <si>
    <t>E-signering var du än arbetar ifrån och på vilken enhet som helst. Kom igång snabbt och säkert med Nordens ledande e-signerings leverantör.</t>
  </si>
  <si>
    <t>Enhance your LinkedIn messaging with our Chrome extension. Generate better responses and refine draft messages for improved engagement and networking.</t>
  </si>
  <si>
    <t>08-446 866 02</t>
  </si>
  <si>
    <t>ouchen606@gmail.com</t>
  </si>
  <si>
    <t>https://www.scrive.com/sv/</t>
  </si>
  <si>
    <t>https://www.facebook.com/scriveesign/</t>
  </si>
  <si>
    <t>https://www.instagram.com/scrive/?hl=en</t>
  </si>
  <si>
    <t>https://se.linkedin.com/company/scrive</t>
  </si>
  <si>
    <t>https://www.youtube.com/@scrive6992</t>
  </si>
  <si>
    <t>2025-03-01T23:26:46.000Z</t>
  </si>
  <si>
    <t>ServiceNow Nederland B.V.</t>
  </si>
  <si>
    <t>77842e7a-93e4-11eb-8474-3bbe2d07207d</t>
  </si>
  <si>
    <t>ServiceNow BV</t>
  </si>
  <si>
    <t>ServiceNow BV.</t>
  </si>
  <si>
    <t>1102 BR</t>
  </si>
  <si>
    <t>Hoekenrode</t>
  </si>
  <si>
    <t>NL, Netherlands, North Holland, Amsterdam, 1102 BR, Hoekenrode, 3, 52.3132583, 4.948833199999999</t>
  </si>
  <si>
    <t>Dutch subsidiary of ServiceNow providing cloud-based workflow and digital transformation platforms.</t>
  </si>
  <si>
    <t>workflow automation; ITSM; ITOM; SaaS; digital workflows; ServiceNow</t>
  </si>
  <si>
    <t>Netherlands-based ServiceNow entity delivering cloud workflow solutions.</t>
  </si>
  <si>
    <t>ServiceNow Nederland B.V. is the Dutch subsidiary of ServiceNow, selling and supporting the Now Platform for IT service management, customer and employee workflows and industry-specific digital transformation solutions.</t>
  </si>
  <si>
    <t>IT service management; customer workflows; HR workflows; low-code; platform-as-a-service</t>
  </si>
  <si>
    <t>Enterprise Workflow &amp; ITSM Software</t>
  </si>
  <si>
    <t>Cloud-based workflow and IT service management software</t>
  </si>
  <si>
    <t>020 565 5500</t>
  </si>
  <si>
    <t>https://www.servicenow.nl/</t>
  </si>
  <si>
    <t>https://www.facebook.com/Wrangu/</t>
  </si>
  <si>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</si>
  <si>
    <t>2019-11-26T07:39:20.000Z</t>
  </si>
  <si>
    <t>SFDC IRELAND LIMITED</t>
  </si>
  <si>
    <t>16a72a26-93e5-11eb-b5f6-816dd10ac7b0</t>
  </si>
  <si>
    <t>Salesforce Tower Dublin</t>
  </si>
  <si>
    <t>Southeast Fairfax Development Corporation</t>
  </si>
  <si>
    <t>SFDC</t>
  </si>
  <si>
    <t>D01 W2Y3</t>
  </si>
  <si>
    <t>Belgrave Square North</t>
  </si>
  <si>
    <t>US, United States, Virginia, Alexandria, 22309, Richmond Highway, 8350, 38.731440299999996, -77.1045582</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</si>
  <si>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</si>
  <si>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</si>
  <si>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</si>
  <si>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Executive, Legislative &amp; Government Institutions</t>
  </si>
  <si>
    <t>Government</t>
  </si>
  <si>
    <t>Administration of Urban Planning and Community and Rural Development</t>
  </si>
  <si>
    <t>Regulation of and contribution to more efficient operation of businesses</t>
  </si>
  <si>
    <t>+17033605008 | +17034953118</t>
  </si>
  <si>
    <t>info@sfdc.org</t>
  </si>
  <si>
    <t>http://www.salesforce.com/</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</si>
  <si>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</si>
  <si>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</si>
  <si>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</si>
  <si>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</si>
  <si>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</si>
  <si>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2019-11-24T12:07:53.000Z</t>
  </si>
  <si>
    <t>SHANDONG SACRED SUN POWER SOURCES CO., LTD</t>
  </si>
  <si>
    <t>1ad68811-0498-11ec-a59d-894bedcf9764</t>
  </si>
  <si>
    <t>SACRED SUN MEA FZE</t>
  </si>
  <si>
    <t>Qufu Shaolin Kung Fu School</t>
  </si>
  <si>
    <t>AE</t>
  </si>
  <si>
    <t>United Arab Emirates</t>
  </si>
  <si>
    <t>Dubai</t>
  </si>
  <si>
    <t>Nanhuan East Road</t>
  </si>
  <si>
    <t>CN, China, Shandong, Qufu, 273100, , , 35.579498, 116.9618091</t>
  </si>
  <si>
    <t>Sacred Sun,the lead acid battery supplier,provides Telecom Battery,UPS Battery,Renewable Energy Storage Battery and Motive Battery,deep cycle battery,flat gel battery.</t>
  </si>
  <si>
    <t>Wing Chun Training | Mantis Quan Training | Cultural Experience Camp | Sanda Kickboxing Training | Taiji/ti Chi Training | Qi Gong Meditation Training | Online Training Center | Acrobatic Jumps Training</t>
  </si>
  <si>
    <t>The Perfect Place To Learn Martial Arts In China</t>
  </si>
  <si>
    <t>The school is an institute for the teaching and promotion of traditional Shaolin Kung Fu and traditional Chinese Martial Arts. Please check our website to learn more or apply. Join our ONLINE Shaolin Kung Fu Basics program TODAY. Free internet connection and free wifi. Now you can apply in Spanish through SALTO DE VIDA our official representative for all Latin American countries.</t>
  </si>
  <si>
    <t>Kung Fu School | Online Training | Traditional Martial Arts | Trainings &amp; Classes</t>
  </si>
  <si>
    <t>Martial Arts Gyms</t>
  </si>
  <si>
    <t>Sports</t>
  </si>
  <si>
    <t>Professional Sports Clubs and Promoters (professional sports clubs)</t>
  </si>
  <si>
    <t>Schools - Not Otherwise Classified (incl Business Colleges) | Dance / Gymnastic / Martial Arts Schools | Private Schools (Primary / Secondary Levels) | Community / Civic / Special Interest Groups (Non-Medical) | Health / Fitness Clubs</t>
  </si>
  <si>
    <t>Activities of sports clubs</t>
  </si>
  <si>
    <t>832301 | 832201 | 830401 | 864401 | 793701</t>
  </si>
  <si>
    <t>056 121 3199</t>
  </si>
  <si>
    <t>school@shaolinskungfu.com</t>
  </si>
  <si>
    <t>http://www.sacredsun.com/</t>
  </si>
  <si>
    <t>https://www.facebook.com/ShaolinsKungFuSchool/</t>
  </si>
  <si>
    <t>https://www.instagram.com/shaolinskungfuschool/</t>
  </si>
  <si>
    <t>https://www.youtube.com/user/shaolinskungfu</t>
  </si>
  <si>
    <t>blogs: wordpress - 6.3.1 | miscellaneous: rss | performance: priority hints | wordpress themes: divi | font scripts: google font api | analytics: google analytics - GA4 | reverse proxies: nginx | wordpress plugins: divi | video players: youtube | databases: mysql | javascript libraries: jquery - 3.7.0 | javascript libraries: jquery migrate - 3.4.1 | tag managers: google tag manager | web servers: nginx | page builders: divi | programming languages: php | cms: wordpress - 6.3.1</t>
  </si>
  <si>
    <t>2021-08-21T19:35:05.000Z</t>
  </si>
  <si>
    <t>SHENZHEN CENTER POWER TECH. CO., LTD.</t>
  </si>
  <si>
    <t>026af55b-93e5-11eb-8ad6-7326edce8d21</t>
  </si>
  <si>
    <t>Shenzhen Yinkai Power Tech. Co.,Ltd</t>
  </si>
  <si>
    <t>Shenzhen SMACH POWER Technology Co. Ltd. | Shenzhen Smach Technology Co. LTD.</t>
  </si>
  <si>
    <t>Guang Dong Sheng</t>
  </si>
  <si>
    <t>Shen Zhen Shi</t>
  </si>
  <si>
    <t>坪葵路</t>
  </si>
  <si>
    <t>216号</t>
  </si>
  <si>
    <t>CN, China, Guangdong Province, Shenzhen, 518100, Tianxin Blvd, 203, 22.683757, 113.9335525</t>
  </si>
  <si>
    <t>Chinese manufacturer of lead-acid and lithium battery products for telecom, UPS, renewable energy and other applications.</t>
  </si>
  <si>
    <t>batteries; lead-acid; lithium; energy storage; telecom power; UPS</t>
  </si>
  <si>
    <t>Shenzhen-based producer of industrial battery and energy storage solutions.</t>
  </si>
  <si>
    <t>Shenzhen Center Power Tech. Co., Ltd. is a Chinese battery manufacturer producing lead-acid and lithium batteries and energy storage systems used in telecommunications, UPS, renewable energy, motive power and other industrial applications.</t>
  </si>
  <si>
    <t>VRLA batteries; deep-cycle batteries; solar storage; backup power; telecom energy</t>
  </si>
  <si>
    <t>Battery &amp; Energy Storage Manufacturing</t>
  </si>
  <si>
    <t>Manufacture of industrial batteries and energy storage solutions</t>
  </si>
  <si>
    <t>Storage Batteries</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</si>
  <si>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</si>
  <si>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</si>
  <si>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135 6672 6820</t>
  </si>
  <si>
    <t>antonio@smachpower.com</t>
  </si>
  <si>
    <t>https://smachpower.com/</t>
  </si>
  <si>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</si>
  <si>
    <t>2020-12-15T08:52:37.000Z</t>
  </si>
  <si>
    <t>Shenzhen Huaptec Co., Ltd</t>
  </si>
  <si>
    <t>004ef7e0-aec3-11ef-86b6-3b0e501976c1</t>
  </si>
  <si>
    <t>Hangcheng Boulevard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</si>
  <si>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</si>
  <si>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</si>
  <si>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</si>
  <si>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</si>
  <si>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</si>
  <si>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</si>
  <si>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Consumer Electronics Company</t>
  </si>
  <si>
    <t>aomiou@163.com</t>
  </si>
  <si>
    <t>https://aomiou.en.alibaba.com/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</si>
  <si>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</si>
  <si>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</si>
  <si>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</si>
  <si>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</si>
  <si>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Shenzhen Sdmc Technology Co., Ltd</t>
  </si>
  <si>
    <t>f78384d3-0673-11ec-99bb-f15d4681cfe6</t>
  </si>
  <si>
    <t>Shenzhen SOY Technology Co., Ltd</t>
  </si>
  <si>
    <t>SDMC Technology</t>
  </si>
  <si>
    <t>Gong Ye Er Lu</t>
  </si>
  <si>
    <t>CN, China, Guangdong Province, Shenzhen, , , , 22.5445741, 114.0545429</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</si>
  <si>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</si>
  <si>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</si>
  <si>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</si>
  <si>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</si>
  <si>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</si>
  <si>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</si>
  <si>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641411 | 349501 | 349502 | 509201 | 357001</t>
  </si>
  <si>
    <t>+8618925246209 | +8675586018266 | +8675586019782</t>
  </si>
  <si>
    <t>contact@sdmctech.com</t>
  </si>
  <si>
    <t>http://www.sdmcdevice.com/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</si>
  <si>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</si>
  <si>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</si>
  <si>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</si>
  <si>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</si>
  <si>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</si>
  <si>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</si>
  <si>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SHENZHEN SKYWORTH DIGITAL TECHNOLOGY CO., LTD.</t>
  </si>
  <si>
    <t>02f80969-e7b5-11ed-ad08-af303e1f5d45</t>
  </si>
  <si>
    <t>Shenzhen Skyworth Digital Technology Co., Ltd.</t>
  </si>
  <si>
    <t>Shenzhen Xinxiapu Digital Technology Devlopment Limited Company</t>
  </si>
  <si>
    <t>Tangtou Road</t>
  </si>
  <si>
    <t>CN, China, Guangdong Province, Shenzhen, 518028, Hongli Road, 903, 22.548017399999996, 114.0880205</t>
  </si>
  <si>
    <t>创维数字是专注于为全球用户提供数字电视网络视听全系列产品及运营与服务的国家级高新技术企业，依托家庭客厅做服务专家。推出了数字电视、智能网络、IPTV等全系列机顶盒、智能网络接入设备、汽车电子及车联网、物联网等系列产品与服务，全面满足运营商与最终用户的个性化体验及需求。</t>
  </si>
  <si>
    <t>Television Broadcasting Equipment Manufacturer | Digital Development | Wireless Communication Equipment Manufacturing | Electronics Store Products</t>
  </si>
  <si>
    <t>Shenzhen Xinxiapu Digital Technology Devlopment Limited Company is an electronics store based in Shenzhen, China.</t>
  </si>
  <si>
    <t>0755 2601 0080</t>
  </si>
  <si>
    <t>https://www.skyworthdigital.com/</t>
  </si>
  <si>
    <t>http://bbs.skyworthbox.com/portal.php</t>
  </si>
  <si>
    <t>2023-05-01T00:11:43.437Z</t>
  </si>
  <si>
    <t>SHIELDS ENVIRONMENTAL GROUP LTD</t>
  </si>
  <si>
    <t>2c92a3fa-796c-11ed-9abd-874b38645ac9</t>
  </si>
  <si>
    <t>Shields Environmental</t>
  </si>
  <si>
    <t>Sapphire Steel Fabrication Limited</t>
  </si>
  <si>
    <t>Sapphire Steel</t>
  </si>
  <si>
    <t>Purfleet-on-Thames</t>
  </si>
  <si>
    <t>RM15 4YE</t>
  </si>
  <si>
    <t>Kerry Avenue</t>
  </si>
  <si>
    <t>GB, United Kingdom, England, South Ockendon, RM15 4YE, Kerry Avenue, 1, 51.4956944, 0.22985380000000002</t>
  </si>
  <si>
    <t>Sapphire Steel, legally known as Sapphire Steel Fabrication Limited, based in South Ockendon, England, is a family-run company specializing in structural and architectural steel fabrication. The company provides a comprehensive range of services including design, fabrication, supply, and installation. Utilizing advanced technologies such as CNC machinery and plasma steel plate cutting, Sapphire Steel processes all steelwork at their facilities. The company is dedicated to delivering high-quality steel products and services, catering to both large contractors and small businesses. Sapphire Steel emphasizes customer service and aims to set standards in quality, service, and reliability.</t>
  </si>
  <si>
    <t>Steel Fabrication and Installation | Steel Erection Services | CNC Steel Profiling | Crane Hire | Survey Services | Plasma Cutting of Steel Plates | Connection Design Services | Plate Work Fabrication | Metal Fabrication Services</t>
  </si>
  <si>
    <t>We have provided structural and architectural steel to a range of business and residential clients.</t>
  </si>
  <si>
    <t>We provide a full range of internal services, including design, fabrication, and installation. We are committed to providing top-notch products and services for both simple and complicated projects as knowledgeable steel suppliers. We promise you a 24-hour turnaround service at an affordable price, we produce more than a thousand tonnes of manufactured steelwork in a month. Our fabrication and steel processing facilities are open 365 days a year, 24 hours a day. WE FOCUS ON DELIVERING A COMPLETE RANGE OF STEEL FABRICATION SOLUTIONS FOCUSING ON DESIGN, FABRICATION AND INSTALLATION. OUR DEDICATED TEAM IS ALWAYS READY TO HELP. Contact us today for any structural steel fabrication project. Our London-based structural steel fabrication company aims to respond to all enquiries within 5 minutes.</t>
  </si>
  <si>
    <t>Steel Fabricating | Steel Structure | Fabrication Services | Universal Beams | Structural Steel Fabrication | Architectural Steel | Staircases | Steel Erection | Crane Hire | Structure Steel</t>
  </si>
  <si>
    <t>Fabricated Structural Metal Manufacturing</t>
  </si>
  <si>
    <t>Metal Fabrication Services</t>
  </si>
  <si>
    <t>Processed Metal</t>
  </si>
  <si>
    <t>Iron &amp; Steel Producers</t>
  </si>
  <si>
    <t>EM-IS</t>
  </si>
  <si>
    <t>Metals &amp; Mining</t>
  </si>
  <si>
    <t>EM.3</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</si>
  <si>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</si>
  <si>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</si>
  <si>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</si>
  <si>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</si>
  <si>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</si>
  <si>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</si>
  <si>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01708 684000</t>
  </si>
  <si>
    <t>info@sapphiresteel.co.uk</t>
  </si>
  <si>
    <t>careers@sapphiresteel.co.uk | info@sapphiresteel.co.uk</t>
  </si>
  <si>
    <t>http://www.shields-e.com/</t>
  </si>
  <si>
    <t>https://www.instagram.com/sapphiresteelfabrication/</t>
  </si>
  <si>
    <t>web servers: ibm websphere application server | javascript libraries: core-js | miscellaneous: rss | analytics: google ads conversion tracking | web servers: empathy platform | performance: priority hints | javascript frameworks: jquery mousewheel | reverse proxies: nginx | databases: mysql | issue trackers: really simple discovery | cms: site.com | network devices: html | miscellaneous: jquery easing | cdn: jsdelivr | web servers: schannel | advertising: google ads | cms: wordpress | blogs: wordpress | tag managers: google tag manager | web frameworks: jquery waypoints | javascript libraries: jquery | form builders: contact form 7 | javascript libraries: jquery.scrollto | caching: wordpress super cache | web servers: nginx | programming languages: php | javascript libraries: jquery migrate | wordpress plugins: wordpress super cache | wordpress plugins: contact form 7 | analytics: google analytics | programming languages: java</t>
  </si>
  <si>
    <t>2022-12-11T14:58:11.000Z</t>
  </si>
  <si>
    <t>Shuangdeng Group Co., Ltd.</t>
  </si>
  <si>
    <t>2f5615e0-0d48-11ec-baff-b3f7938105ab</t>
  </si>
  <si>
    <t>Shuangdeng Group Co.,Ltd.</t>
  </si>
  <si>
    <t>Shuangdeng Group | Shuangdeng Battery | Shuangdeng | Shuangdeng Avenue</t>
  </si>
  <si>
    <t>Jiang Su Sheng</t>
  </si>
  <si>
    <t>Tai Zhou Shi</t>
  </si>
  <si>
    <t>Tian Mu Xi Lu</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</si>
  <si>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åŒ—ç«™ä¸€è·¯,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</si>
  <si>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</si>
  <si>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</si>
  <si>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</si>
  <si>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</si>
  <si>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</si>
  <si>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</si>
  <si>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</si>
  <si>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</si>
  <si>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</si>
  <si>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</si>
  <si>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Siae Microelettronica Sdn. Bhd.</t>
  </si>
  <si>
    <t>13b510b2-6cd5-11ec-a7ce-97f401b36f3f</t>
  </si>
  <si>
    <t>Cube Communication Sdn bhd.</t>
  </si>
  <si>
    <t>Cube-Coms</t>
  </si>
  <si>
    <t>Jalan Tanjung Bandar Utama</t>
  </si>
  <si>
    <t>MY, Malaysia, Selangor, Subang Jaya, 47500, , , 3.073172312751678, 101.58917987416108</t>
  </si>
  <si>
    <t>Cube-Coms, legally known as Cube Communication Sdn bhd., based in Subang Jaya, Selangor, Malaysia, is a company specializing in microwave transmission, radio access networks, VSAT, and optical fiber systems. Established by entrepreneurs with extensive experience in the global telecommunications industry, the company offers a range of services including network planning and design, project management, roll-out, and after-sales support. Cube Communication Sdn Bhd provides comprehensive solutions such as microwave E2E services, site surveys, installation, integration, and commissioning, as well as preventive and comprehensive maintenance services. The company has collaborated with major telecommunications providers to deliver projects for network rollouts and new site installations.</t>
  </si>
  <si>
    <t>Turnkey Rollouts | Roll-out and After-sales Support | Telecommunications Services | New Site Installations | E2E Services | Minor CME Works | VSAT Systems | Logistic Management | Project Management | Frequency Scanning | Civil Electrical Mechanical Telecommunication Work | Traffic Migration | Plinth Installation | Soil Investigation | E2E Engineering Services for Microwaves | Site Survey Reports | Bipod/tripod/boom Installation | Tower Inspection | Network Planning &amp; Design | Microwave Transmission &amp; Radio Access Network | Tower Preventive Maintenance Services | Fiber Optic Systems | Lock Bar or Caging Installation | Antenna Information Gathering | Traffic Dimensioning and Priority Plan | Installation And Commissioning | Audit and Optimization</t>
  </si>
  <si>
    <t>Having adequate experiences in network plan and design, project management, roll-out and after sales support for microwave transmission &amp; radio access network, VSAT and optical fiber systems, we aspire to become leader &amp; specialist in the industry.</t>
  </si>
  <si>
    <t>Cube Communication Sdn Bhd is a young, energetic, experienced and determined corporation based in Kuala Lumpur, Malaysia which is established by two entrepreneurs with strong background in global telecommunication industry. Our company has specific interest and specialization in microwave transmission &amp; radio access network, VSAT and optical fiber systems. Having adequate experiences in network plan and design, project management, roll-out and after sales support for microwave transmission &amp; radio access network, VSAT and optical fiber systems, we aspire to become leader &amp; specialist in the industry. Cube-Coms engages personnel and partners with wide experience in the planning, implementation and operation of Civil, Electrical, Mechanical and Telecommunication work.</t>
  </si>
  <si>
    <t>Communication Equipment Installation - Residential | Communication Equipment Installation - Commercial | Marketing Consultants | Communications Equipment Manufacturing (Outside) | Wholesale - Hardware / Plumbing Supplies / Electrical Supplies</t>
  </si>
  <si>
    <t>153401 | 153402 | 641405 | 349401 | 509201</t>
  </si>
  <si>
    <t>03-7710 1070</t>
  </si>
  <si>
    <t>+60164150212 | +60351035819</t>
  </si>
  <si>
    <t>admin@cube-coms.com</t>
  </si>
  <si>
    <t>https://www.siaemic.com/</t>
  </si>
  <si>
    <t>https://www.facebook.com/cubecoms/</t>
  </si>
  <si>
    <t>2022-01-03T14:26:57.000Z</t>
  </si>
  <si>
    <t>Siae-microelettronica - S.p.a.</t>
  </si>
  <si>
    <t>1d3ad1c3-93e5-11eb-a746-fdabd18be9c6</t>
  </si>
  <si>
    <t>Siae Microelettronica S.p.a.</t>
  </si>
  <si>
    <t>SIAE-MICROELETTRONICA - S.P.A.</t>
  </si>
  <si>
    <t>Siae Microelettronica | SIAE MICROELETTRONICA S.p.A. | SIAE MICROELETTRONICA GROUP | SIAE Group</t>
  </si>
  <si>
    <t>IT</t>
  </si>
  <si>
    <t>Italy</t>
  </si>
  <si>
    <t>Lombardia</t>
  </si>
  <si>
    <t>Cologno Monzese</t>
  </si>
  <si>
    <t>Via Michelangelo Buonarroti</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</si>
  <si>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SebastiÃ¡n de los Reyes, 28703, Calle de Isla del Hierro, 7, 40.5561777, -3.6199038 | CL, Chile, RegiÃ³n Metropolitana de Santiago, Providencia, 7500000, Almirante Pastene, 185, -33.4263997, -70.6211948 | BR, Brazil, SÃ£o Paulo, SÃ£o Paulo, 04547-130, , , -23.59699, -46.6866 | EC, Ecuador, Pichincha, Quito, 170505, Pasaje Carlos Tamayo, e10-60 y, -0.180786, -78.4788091</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</si>
  <si>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</si>
  <si>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</si>
  <si>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</si>
  <si>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</si>
  <si>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</si>
  <si>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Telephone Apparatus Manufacturing</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</si>
  <si>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</si>
  <si>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</si>
  <si>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02 273251</t>
  </si>
  <si>
    <t>+56228196422 | +390225391585 | +27827070008 | +33141360480 | +14692622247 | +34916593912 | +34916593913 | +551158522010 | +3902273251 | +60377101070 | +441514256000 | +33141360481 | +60377101071</t>
  </si>
  <si>
    <t>joel.carrambas@siaemic.com</t>
  </si>
  <si>
    <t>http://www.siaemic.com/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</si>
  <si>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</si>
  <si>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</si>
  <si>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</si>
  <si>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2019-11-24T02:11:03.000Z</t>
  </si>
  <si>
    <t>Sievo Oy</t>
  </si>
  <si>
    <t>a823b0f3-93e4-11eb-aa66-9b8d95e2171b</t>
  </si>
  <si>
    <t>Sievo</t>
  </si>
  <si>
    <t>Sievo Inc. | Sievo Oy. | Sievo Trust</t>
  </si>
  <si>
    <t>Sievo Bucharest Office</t>
  </si>
  <si>
    <t>Mikonkatu</t>
  </si>
  <si>
    <t>15 A</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</si>
  <si>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</si>
  <si>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Procurement analytics for large enterprises. Sievo provides the software, services, and data to enable action on insights and savings opportunities.</t>
  </si>
  <si>
    <t>spend analytics; procurement; SaaS; data analytics; cost optimisation</t>
  </si>
  <si>
    <t>Helsinki-based provider of spend and procurement analytics software.</t>
  </si>
  <si>
    <t>Sievo Oy is a Finnish SaaS company that helps large organisations gain visibility into their spend and procurement data. Its analytics platform aggregates and enriches data to support savings tracking, supplier management and strategic sourcing decisions.</t>
  </si>
  <si>
    <t>procurement analytics; savings tracking; supplier intelligence; data enrichment; dashboards</t>
  </si>
  <si>
    <t>Procurement &amp; Spend Analytics Software</t>
  </si>
  <si>
    <t>Analytics software for procurement and spend management</t>
  </si>
  <si>
    <t>Technology Customer Support Services (For others) | Software Developers (Custom) | Management Consultants | Software Developers (Pre-Packaged) | Software Implementation Integration</t>
  </si>
  <si>
    <t>740809 | 891802 | 641401 | 891801 | 740810</t>
  </si>
  <si>
    <t>+358404194912 | +358400892467 | +358503054223 | +358505425675 | +358408668490 | +13128852505</t>
  </si>
  <si>
    <t>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</si>
  <si>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</si>
  <si>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</si>
  <si>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</si>
  <si>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</si>
  <si>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</si>
  <si>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</si>
  <si>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</si>
  <si>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</si>
  <si>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2019-11-24T02:52:45.000Z</t>
  </si>
  <si>
    <t>SIGNICAT AS</t>
  </si>
  <si>
    <t>e08289d1-93e4-11eb-b89f-536884b3e7dd</t>
  </si>
  <si>
    <t>Signicat AS</t>
  </si>
  <si>
    <t>Signicat GmbH</t>
  </si>
  <si>
    <t>Signicat | Signicat AS | Signicats | Signicat Community</t>
  </si>
  <si>
    <t>Beddingen</t>
  </si>
  <si>
    <t>LT, Lithuania, Vilnius County, Vilnius, LT-11341, Paupio g., 50, 54.678297, 25.3035589 | NO, Norway, TrÃ¸ndelag, Trondheim, 7042, Beddingen, 16, 63.4355508, 10.4096083 | IS, Iceland, Iceland, KÃ³pavogur, 201, Akralind, , 64.0957949, -21.8782707 | RO, Romania, Bucharest, Bucharest, 040011, Strada Halelor, nr. 7, 44.429326, 26.1008988 | FI, Finland, Uusimaa, Espoo, 02600, Linnoitustie, 4b, 60.2107151, 24.8126087 | PT, Portugal, Lisbon, Cascais e Estoril, 2765-546, Rua de General Tamagnini Abreu, 218, 38.696151, -9.3716214 | DK, Denmark, Capital Region of Denmark, Copenhagen, 2100, Fruebjergvej, 3, 55.715679, 12.549398 | SE, Sweden, Stockholm County, Stockholm, 111 22, Kungsgatan, 64, 59.334171, 18.057781 | DE, Germany, Hesse, Frankfurt, 60310, Taunustor, 1, 50.1108177, 8.6729251 | NL, Netherlands, South Holland, Rotterdam, 3013 AL, Weena, 327, 51.9242682, 4.4751237</t>
  </si>
  <si>
    <t>One point of integration for all your digital identity needs across borders – in every step of the customer journey.</t>
  </si>
  <si>
    <t>Document Electronic Signature Services | Biometric Identity Verification Service | Identity Solutions Provider | In-app Solutions | Trust Orchestration | Identity Proofing Services | Biometric Scanners | Compliance and Risk Workflow Automation Services | Email/sms OTP</t>
  </si>
  <si>
    <t>One point of integration for all your digital identity needs across borders â€“ in every step of the customer journey.</t>
  </si>
  <si>
    <t>Virtaviivaista KYC- ja KYB-toiminnot henkilÃ¶llisyyden todentamiseen, sÃ¤Ã¤ntÃ¶jen noudattamiseen ja petosten ehkÃ¤isyyn, kasvattaen sisÃ¤Ã¤nottoprosentteja. Keskustelemme juuri sinun tarpeistasi ja haasteistasi ja tarjoamme yksilÃ¶llisiÃ¤ suosituksia, jotka on rÃ¤Ã¤tÃ¤lÃ¶ity markkinoillesi, toimialallesi ja oikeudenkÃ¤yttÃ¶alueellesi. Paranna vaatimustenmukaisuutta ja optimoi toimintaa. HyÃ¶dynnÃ¤ yli 200 riski- ja identiteettilÃ¤hdettÃ¤ tehokkuuden maksimoimiseksi. Alustan avulla tiimisi voi tyÃ¶skennellÃ¤ Ã¤lykkÃ¤Ã¤mmin automatisoimalla manuaalisia tehtÃ¤viÃ¤ ja tarjoamalla reaaliaikaisia suorituskykytietoja. "Vendor Management as a Service" -palvelumme poistaa sinulta kaikkien toimittajien hallinnoinnin taakan. Maksimoi kasvu, minimoi petokset, vÃ¤hennÃ¤ kustannuksia ja mahdollista liiketoiminnan laajentuminen uusille markkinoille ja yli rajojen. Integroi saumattomasti nykyisiin jÃ¤rjestelmiin ja prosesseihin, nopea kÃ¤yttÃ¶Ã¶notto ja vÃ¤hÃ¤iset hÃ¤iriÃ¶tekijÃ¤t yhden API:n ansiosta. LyhennÃ¤ sovelluskehitysaikaa ja aloita toiminta nopeasti minimaalisella koodauksella.</t>
  </si>
  <si>
    <t>Electronic Signature | Digital Evidence Management | Security And Compliance | Professional Services | Data Verification | User Security | Document Authentication | Aml Compliance | Customer Lifecycle | Developer Friendly</t>
  </si>
  <si>
    <t>40 00 34 10</t>
  </si>
  <si>
    <t>+34648839894 | +4740003410 | +31880120222 | +31625393321 | +358406879090 | +351939393953 | +31629085416 | +3545460333 | +31880120210 | +4748075480</t>
  </si>
  <si>
    <t>info@signicat.com</t>
  </si>
  <si>
    <t>info.de@signicat.com | info@signicat.com | technicalsupport@signicat.com | support@signicat.com | info-nl@signicat.com</t>
  </si>
  <si>
    <t>alba.zaragoza@signicat.com | ida.hagernas@signicat.com | 20technicalsupport@signicat.com | katinka.forbord@signicat.com | ellen.breugem@signicat.com | beatrice.brueggen@signicat.com | nina.mathiesen@signicat.com | thijs.vink@signicat.com | invoice@signicat.com | gunnar.nordseth@signicat.com</t>
  </si>
  <si>
    <t>https://www.signicat.com/</t>
  </si>
  <si>
    <t>https://www.facebook.com/mambucloud/</t>
  </si>
  <si>
    <t>https://twitter.com/signicat</t>
  </si>
  <si>
    <t>https://www.linkedin.com/showcase/signicat-deutschland</t>
  </si>
  <si>
    <t>https://www.youtube.com/channel/UC0vXbn7DBeCVXTD1GmYZd2A/featured</t>
  </si>
  <si>
    <t>paas: siteground | page builders: hubspot | javascript libraries: lodash | analytics: matomo analytics | web frameworks: material design lite | ssl/tls certificate authorities: aws certificate manager | javascript libraries: core-js | widgets: twitter | analytics: facebook custom audiences | analytics: hotjar | miscellaneous: rss | ui frameworks: bootstrap | cookie compliance: legal monster | lead generation: hubspot lead flows | javascript libraries: twitter typeahead.js | web servers: empathy platform | lead generation: hubspot forms | javascript frameworks: alpine.js | web frameworks: bootstrap | paas: atlassian statuspage | cms: craft cms | miscellaneous: webpack | javascript libraries: slick | security: recaptcha | issue trackers: sentry | search engines: algolia | javascript frameworks: vue.js | issue trackers: atlassian statuspage | widgets: css | miscellaneous: twitter emoji (twemoji) | paas: amazon web services | javascript frameworks: react | a/b testing: hubspot | ui frameworks: animate.css | a/b testing: google optimize | cdn: cdnjs | web frameworks: animate.css | lead generation: hubspot | font scripts: google font api | a/b testing: google optimize 360 | marketing automation: hubspot call to actions | security: hsts | reverse proxies: nginx | analytics: piwik | blogging platforms: wordpress | miscellaneous: http/3 | web frameworks: yii | javascript libraries: modernizr | javascript libraries: mobx | analytics: google analytics enhanced ecommerce | databases: mysql | reverse proxy: nginx | javascript frameworks: lazy.js | cms: site.com | widgets: facebook | retargeting: facebook custom audiences | analytics: hubspot analytics | miscellaneous: open graph | analytics: hubspot | static site generator: docusaurus | network devices: html | miscellaneous: jquery easing | cdn: jsdelivr | font scripts: font awesome | javascript frameworks: jquery migrate | web servers: apache | javascript frameworks: modernizr | seo tool: facebook friendly | analytics: matomo | marketing automation: hubspot forms | javascript frameworks: slick | network devices: html5 | website builders: hubspot cos | web servers: apache http server | javascript frameworks: fancybox | analytics: linkedin insight tag | miscellaneous: google code prettify | widgets: algolia docsearch | cms: wordpress | ui frameworks: material design lite | javascript libraries: fancybox | caching: varnish | tag managers: google tag manager | retargeting: google remarketing tag | blogging platforms: hubspot | cache tools: wp rocket | javascript libraries: jquery | widgets: owl carousel | retargeting: facebook | crm: hubspot | documentation tools: redoc - 2.0.0-rc.24 | javascript libraries: tooltipster | widgets: javascript | documentation: docusaurus | miscellaneous: prism | seo: seomatic | seo tool: twitter friendly | widgets: linkedin | marketing automation: hubspot | web servers: nginx | lead generation: hubspot call to actions | cdn: cloudflare | cms: hubspot cos | programming languages: php | javascript libraries: jquery migrate | web frameworks: html5 | security: cloudflare bot management | cdn: amazon cloudfront | marketing automation: hubspot lead flows | javascript frameworks: jquery | analytics: google analytics | javascript frameworks: tweenmax | javascript libraries: lazy.js</t>
  </si>
  <si>
    <t>2019-11-24T01:19:30.000Z</t>
  </si>
  <si>
    <t>SILLEHOVED ApS</t>
  </si>
  <si>
    <t>0333ec92-04e1-11ec-b2f2-8bb53b31e607</t>
  </si>
  <si>
    <t>Sillehoved</t>
  </si>
  <si>
    <t>Hotel du Vest</t>
  </si>
  <si>
    <t>Nykøbing Sjælland</t>
  </si>
  <si>
    <t>Algade</t>
  </si>
  <si>
    <t>DK, Denmark, Region Zealand, Odsherred Municipality, 4500, Algade, 1, 55.922331, 11.665702</t>
  </si>
  <si>
    <t>Tøjeksperten Nyk. SJ i Nykøbing Sjælland tilbyder et bredt udvalg af herretøj, sko og accessories. Shop kvalitet og pasform - samlet ét sted.</t>
  </si>
  <si>
    <t>Accommodation Services | Kitchenette Rooms | Hotel &amp; Services | Terrace | Cafe Services | Hospitality | Laid-back Rooms | Bright Cafe | Booking Services | Cozy Hotel</t>
  </si>
  <si>
    <t>Casual hotel in a charming 1912 building</t>
  </si>
  <si>
    <t>Laid-back rooms, some with kitchenettes, in a quaint 1912 hotel featuring a bright cafe &amp; terrace.</t>
  </si>
  <si>
    <t>Stay Alert</t>
  </si>
  <si>
    <t>Resort Properties | Hotels | Motels - With Restaurant or Liquor License (Seasonal) | Restaurants (Liquor License - No Live Entertainment / Dancing) | Restaurants (No Liquor License)</t>
  </si>
  <si>
    <t>704301 | 701101 | 706101 | 581201 | 581101</t>
  </si>
  <si>
    <t>59 91 05 66</t>
  </si>
  <si>
    <t>kontakt@hotelduvest.dk</t>
  </si>
  <si>
    <t>https://www.toejeksperten.dk/butikker/tojeksperten-sillehoved</t>
  </si>
  <si>
    <t>https://www.facebook.com/1698441927144392</t>
  </si>
  <si>
    <t>https://www.instagram.com/toejeksperten/</t>
  </si>
  <si>
    <t>web servers: litespeed | javascript libraries: lodash | cookie compliance: cookie control | javascript libraries: parallax.js | ui frameworks: bootstrap | web servers: empathy platform | seo: yoast seo | widgets: css | wordpress plugins: responsive lightbox &amp; gallery | security: hsts | miscellaneous: http/3 | javascript libraries: modernizr | analytics: plausible | databases: mysql | cms: site.com | miscellaneous: open graph | reverse proxies: nunjucks | network devices: html | miscellaneous: jquery easing | photo galleries: responsive lightbox &amp; gallery | javascript libraries: lightbox | network devices: html5 | miscellaneous: facebook | cms: wordpress | blogs: wordpress | javascript libraries: infinite scroll | cookie compliance: cookiebot | javascript libraries: jquery | widgets: javascript | form builders: contact form 7 | font scripts: twitter emoji (twemoji) | javascript libraries: underscore.js | wordpress plugins: yoast seo | programming languages: php | javascript libraries: jquery migrate | javascript frameworks: backbone.js | wordpress plugins: contact form 7 | miscellaneous: instagram</t>
  </si>
  <si>
    <t>2021-08-21T15:19:23.000Z</t>
  </si>
  <si>
    <t>SINGTEL GLOBAL INVESTMENT PTE. LTD.</t>
  </si>
  <si>
    <t>47a1f71d-f4a9-11ec-94f6-a3c0f0156ba3</t>
  </si>
  <si>
    <t>Innov8</t>
  </si>
  <si>
    <t>THE RIDE SIDE TRIFECTA PTE LTD.</t>
  </si>
  <si>
    <t>TRIFECTA Singapore | TRIFECTA</t>
  </si>
  <si>
    <t>Ayer Rajah Crescent</t>
  </si>
  <si>
    <t>SG, Singapore, Central, Singapore, 239732, Exeter Road, 31, 1.2989247000000002, 103.83814882350771</t>
  </si>
  <si>
    <t>Singtel Innov8 Ventures is a corporate venture capital company in Singapore that invests in start-up innovations &amp; technology industries. Visit our website now!</t>
  </si>
  <si>
    <t>Surfingers | Workshops for Riders | Instructor Program | Skate Bowl Lifestyle Concept | Like-minded Sports Enthusiasts | Career Pathways | Self-expression Space | Sports And Action | Sports and Recreation | Wave Pools | Surf-snow-skate Destination | Indoor Ski and Snowboard Facility | Sports Destination</t>
  </si>
  <si>
    <t>Bringing the mountain and waves to Singapore, with a Citywave Surf Machine, indoor ski and snowboard facility, and a skate bowl lifestyle concept.</t>
  </si>
  <si>
    <t>TRIFECTA by The Ride Side is Asia's first surf-snow-skate destination, offering snowboarding, surfing and skating all in one place, in one day in the heart of Singapore. Bringing mountains and waves to the tropics, TRIFECTA is a space for self-expression and aims to build new culture of youthful collaboration, bringing likeminded sports enthusiasts and lifestyle seekers together.</t>
  </si>
  <si>
    <t>Drinks &amp; Foods | Food And Drink | Eat &amp; Drinks | Events / Activities | Gear &amp; Apparel | Exclusive Merch | Retail Spaces</t>
  </si>
  <si>
    <t>Arcades &amp; Amusement Parks</t>
  </si>
  <si>
    <t>Gardens, Parks &amp; Playgrounds</t>
  </si>
  <si>
    <t>7997 | 7911 | 7993 | 7999</t>
  </si>
  <si>
    <t>Membership Sports and Recreation Clubs (recreation clubs without facilities) | Dance Studios, Schools, and Halls (except instruction) | Coin-Operated Amusement Devices (except amusement arcades and slot machine operators) | Amusement and Recreation Services, NEC (except circuses, traveling carnivals, professional athletes, caverns and other commercial parks, skiing facilities, casinos and other gambling operations, nonmembership fitness and recreational sports centers, sports instruction, sports equipment rental, ticket agencies, charter fishing, state fairs, agriculture fairs, county fairs, operation of fishing lakes, phrenologists services, and amusement or scenic transport operations)</t>
  </si>
  <si>
    <t>Retail - Sporting Goods (No Firearms / Ammunition) | Wholesale - Sporting Goods | Retail - Sporting Goods (Specialty - Extreme Sports) | Retail - Sporting Goods (with Firearms / Ammunition) | Retail - Clothing (Women's, no Children's)</t>
  </si>
  <si>
    <t>7990 | 9312 | 9319 | 9329</t>
  </si>
  <si>
    <t>Other reservation service and related activities | Activities of sports clubs | Other sports activities | Other amusement and recreation activities n.e.c.</t>
  </si>
  <si>
    <t>93.19 | 93.29 | 93.12 | 79.9</t>
  </si>
  <si>
    <t>Other sports activities | Other amusement and recreation activities | Activities of sports clubs | Other reservation service and related activities</t>
  </si>
  <si>
    <t>593201 | 519601 | 593301 | 593101 | 569401</t>
  </si>
  <si>
    <t>6838 4686</t>
  </si>
  <si>
    <t>hello@trifectasingapore.com</t>
  </si>
  <si>
    <t>admin@innov8.singtel.com</t>
  </si>
  <si>
    <t>http://innov8.singtel.com/</t>
  </si>
  <si>
    <t>https://www.instagram.com/trifecta.singapore/</t>
  </si>
  <si>
    <t>https://www.linkedin.com/company/singtel-innov8</t>
  </si>
  <si>
    <t>2022-06-25T16:24:29.000Z</t>
  </si>
  <si>
    <t>SiPM</t>
  </si>
  <si>
    <t>b4f0991a-2de9-11ed-9aba-99765e777111</t>
  </si>
  <si>
    <t>SiPM Group N.V</t>
  </si>
  <si>
    <t>SIPM</t>
  </si>
  <si>
    <t>BE</t>
  </si>
  <si>
    <t>Belgium</t>
  </si>
  <si>
    <t>Vlaanderen</t>
  </si>
  <si>
    <t>Hasselt</t>
  </si>
  <si>
    <t>Kempische Steenweg</t>
  </si>
  <si>
    <t>AU, Australia, New South Wales, Sydney, 2000, York Street, 8/89, -33.869645, 151.2058951</t>
  </si>
  <si>
    <t>family name</t>
  </si>
  <si>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</si>
  <si>
    <t>SIPM is a Sydney based Project Management firm specialising in the delivery of property development and construction projects.</t>
  </si>
  <si>
    <t>Professional corporate online training for supply chain &amp; procurement teams. Created by experts from Skill Dynamics to help you improve your work performance.</t>
  </si>
  <si>
    <t>Project Delivery Services | Project Management | Design &amp; Planning | Property Developer | Construction Consultancy | Project Development | Design And Construction | Project Recovery | Cost Management | Value Engineering</t>
  </si>
  <si>
    <t>1521 | 8741</t>
  </si>
  <si>
    <t>General Contractors--Single Family Houses (except remodeling contractors) | Management Services (single-family housing construction management)</t>
  </si>
  <si>
    <t>011 77 14 12</t>
  </si>
  <si>
    <t>+61292997009 | +61292999009</t>
  </si>
  <si>
    <t>admin@sipm.com.au</t>
  </si>
  <si>
    <t>http://www.sipm.com/</t>
  </si>
  <si>
    <t>2022-09-06T11:36:23.000Z</t>
  </si>
  <si>
    <t>Skillpower Services (Thailand) Co Ltd</t>
  </si>
  <si>
    <t>01ceb558-93e5-11eb-86dd-ffbd1b53140e</t>
  </si>
  <si>
    <t>Skillpower Services (Thailand) Co., Ltd.</t>
  </si>
  <si>
    <t>First Class Logistic CO. LTD. | First-Class Logistics Co. Ltd.</t>
  </si>
  <si>
    <t>FIRST CLASS LOGISTICS</t>
  </si>
  <si>
    <t>Si Lom Road</t>
  </si>
  <si>
    <t>TH, Thailand, Bangkok, Yan Nawa District, 10120, Yan Nawa Road, 762/2, 13.6791081, 100.547055 | ZA, South Africa, KwaZulu-Natal, Durban, 4057, Sucrose Crescent, 54, -29.7097183, 31.0311547 | TH, Thailand, Bangkok, Yan Nawa, 10120, Soi Sathu Pradit 56, 269 42, 13.6995198, 100.5321044</t>
  </si>
  <si>
    <t>Firstclass Logistics, legally known as First-Class Logistics Co. Ltd., is a leading freight forwarding company. The company offers comprehensive logistics solutions, including air, ocean, and road freight services, as well as customs clearance and warehousing and distribution. First-Class Logistics operates a robust global network and leverages advanced technology to provide efficient, reliable, and cost-effective freight forwarding services. The company is committed to customer satisfaction, offering personalized service, real-time shipment tracking, and competitive pricing through strong relationships with carriers and suppliers.</t>
  </si>
  <si>
    <t>Customs Clearance Services | International Transportation Services | General Freight Trucking | Air Freights | Warehousing and Distribution Services | Transportation Services | Logistics Solutions | End-to-end Tracking until Delivery | Freight Forwarding Services</t>
  </si>
  <si>
    <t>With a commitment to excellence, our company leverages its extensive network, cutting-edge technology, and highly skilled professionals to ensure seamless transportation, efficient customs clearance, and timely delivery of goods across borders.</t>
  </si>
  <si>
    <t>Established in 2007, FIRST CLASS LOGISTICS is a leading freight forwarding company that offers comprehensive logistics solutions to businesses across the globe. With a dedicated team of industry experts and robust network of strategic partners, we provide efficient, reliable and cost-effective freight forwarding services to meet our clients' diverse needs. At FIRST CLASS LOGISTICS, we prioritize customer satisfaction. We leverage the latest industry technologies and digital platforms to streamline our operations and provide real-time visibility and tracking of your shipments. We understand the importance of cost-effectiveness in logistics. Our strong relationships with carriers and suppliers enable us to negotiate competitive rates, ensuring the best value for your freight forwarding requirements. With our vast network of agents and partners worldwide, we offer seamless freight forwarding services to any destination, ensuring timely and reliable delivery of your cargo. Our team of knowledgeable professionals has extensive expertise in freight forwarding and international logistics.</t>
  </si>
  <si>
    <t>Freight Brokers | Trucks - Hauling for Others (incl Incidental Short-Term Warehousing) | Business Services - Not Otherwise Classified | Warehousing - General Merchandise (No Flammables / Explosives) | Operations Consultants</t>
  </si>
  <si>
    <t>487101 | 411701 | 740801 | 427301 | 641403</t>
  </si>
  <si>
    <t>+13032728300 | +6621085462 | +66923978822</t>
  </si>
  <si>
    <t>pongsak@first-classlogistics.com</t>
  </si>
  <si>
    <t>https://first-classlogistics.com/</t>
  </si>
  <si>
    <t>javascript libraries: core-js | wordpress themes: astra | miscellaneous: rss | web servers: empathy platform | security: recaptcha | wordpress plugins: elementor | widgets: css | reverse proxies: nginx | video players: youtube | databases: mysql | issue trackers: really simple discovery | cms: site.com | network devices: html | miscellaneous: jquery easing | javascript libraries: jquery ui | web servers: apache | translation: wpml | network devices: html5 | cms: wordpress | blogs: wordpress | javascript libraries: jquery | wordpress plugins: wpml | widgets: javascript | font scripts: twitter emoji (twemoji) | web servers: nginx | programming languages: php | javascript libraries: jquery migrate | page builders: elementor | javascript frameworks: jquery</t>
  </si>
  <si>
    <t>2020-06-24T11:30:24.000Z</t>
  </si>
  <si>
    <t>SKYCALL AS</t>
  </si>
  <si>
    <t>8a5c3f6b-93e4-11eb-be3a-7f925cb94351</t>
  </si>
  <si>
    <t>Skycall AS</t>
  </si>
  <si>
    <t>Strandveien</t>
  </si>
  <si>
    <t>NO, Norway, Viken, BÃ¦rum, 1366, Strandveien, 13, 59.9116844, 10.637784800000002</t>
  </si>
  <si>
    <t>Norwegian contact centre company offering customer service, sales and support outsourcing.</t>
  </si>
  <si>
    <t>contact centre; customer service; telemarketing; support; outsourcing</t>
  </si>
  <si>
    <t>Norway-based provider of outsourced customer contact and call centre services.</t>
  </si>
  <si>
    <t>SkyCall AS operates contact centre services on behalf of client organisations, handling inbound and outbound calls, customer service, technical support and sales campaigns.</t>
  </si>
  <si>
    <t>inbound customer care; outbound sales; helpdesk; multichannel contact; BPO services</t>
  </si>
  <si>
    <t>Customer Contact &amp; BPO Services</t>
  </si>
  <si>
    <t>Outsourced contact centre and customer support services</t>
  </si>
  <si>
    <t>45 80 74 67</t>
  </si>
  <si>
    <t>https://www.skycallas.no/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</si>
  <si>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</si>
  <si>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</si>
  <si>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</si>
  <si>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Smart Media4U Technology Pte. Ltd.</t>
  </si>
  <si>
    <t>6c7eaa9a-f3e8-11ee-86d7-956187d0c2f6</t>
  </si>
  <si>
    <t>Smart Media4u Technology Pte. Ltd.</t>
  </si>
  <si>
    <t>SmartWristTech | SMART WRIST TECHNOLOGY | SmartWristTech.store</t>
  </si>
  <si>
    <t>Venture Drive</t>
  </si>
  <si>
    <t>SG, Singapore, Central, Singapore, 048943, Market Street, #01-01\, 137, 1.2822928, 103.8504676</t>
  </si>
  <si>
    <t>Singapore-based developer of the SHAREit file-sharing and content platform, focusing on mobile internet applications, cross-platform file transfer and digital advertising solutions.</t>
  </si>
  <si>
    <t>file sharing; mobile apps; content streaming; gaming platform; digital advertising; adtech; media publisher; cross-platform; P2P; mobile internet</t>
  </si>
  <si>
    <t>Smart Media4U Technology Pte. Ltd. is the Singapore company behind SHAREit, a global mobile app for high-speed file sharing, content streaming and gaming with integrated digital advertising.</t>
  </si>
  <si>
    <t>Smart Media4U Technology Pte. Ltd., headquartered in Singapore, develops SHAREit and related applications for mobile and desktop platforms. The company focuses on high-speed, data-free file transfer across devices, and has expanded the app into a multimedia entertainment and gaming platform with short videos, games and built-in media tools. Through SHAREit Group, it also operates a global digital advertising and app-distribution business serving advertisers, agencies and app developers across emerging markets.</t>
  </si>
  <si>
    <t>file sharing; content streaming; mobile apps; gaming; digital media; adtech; performance marketing; app distribution; software development; internet technology</t>
  </si>
  <si>
    <t>519130;541810</t>
  </si>
  <si>
    <t>Internet Publishing and Broadcasting and Web Search Portals;Advertising Agencies</t>
  </si>
  <si>
    <t>Digital platform</t>
  </si>
  <si>
    <t>Application Software</t>
  </si>
  <si>
    <t>Software &amp; Services</t>
  </si>
  <si>
    <t>7372;7311</t>
  </si>
  <si>
    <t>Prepackaged Software;Advertising Agencies</t>
  </si>
  <si>
    <t>5820;6201;7310</t>
  </si>
  <si>
    <t>Software publishing;Computer programming activities;Advertising</t>
  </si>
  <si>
    <t>58.29;62.01;73.11</t>
  </si>
  <si>
    <t>Other software publishing;Computer programming activities;Advertising agencies</t>
  </si>
  <si>
    <t>+65 8306 9598</t>
  </si>
  <si>
    <t>feedback_android@ushareit.com;mediasales@ushareit.com</t>
  </si>
  <si>
    <t>chensw@ushareit.com</t>
  </si>
  <si>
    <t>https://www.ushareit.com</t>
  </si>
  <si>
    <t>https://www.facebook.com/bestSHAREit/</t>
  </si>
  <si>
    <t>https://x.com/Global_SHAREit</t>
  </si>
  <si>
    <t>https://www.instagram.com/global_shareit/</t>
  </si>
  <si>
    <t>https://www.linkedin.com/company/shareit-technologies-co-ltd/</t>
  </si>
  <si>
    <t>https://apps.apple.com/app/shareit-transfer-share-files/id725215120</t>
  </si>
  <si>
    <t>https://play.google.com/store/apps/details?id=com.lenovo.anyshare.gps</t>
  </si>
  <si>
    <t>https://www.youtube.com/channel/UCYsaH9q0aZu-tWjhIr8hsrg</t>
  </si>
  <si>
    <t>2024-03-14T19:41:57.000Z</t>
  </si>
  <si>
    <t>SMART TECHNOLOGIES (BD) LIMITED</t>
  </si>
  <si>
    <t>16a46b07-93e5-11eb-aa66-9b8d95e2171b</t>
  </si>
  <si>
    <t>Smart Technologies (BD) Ltd</t>
  </si>
  <si>
    <t>Smart Technologies BD Ltd. Store Room</t>
  </si>
  <si>
    <t>Begum Rokeya Sharani</t>
  </si>
  <si>
    <t>BD, Bangladesh, Dhaka Division, Dhaka, 1216, à¦¬à§‡à¦—à¦® à¦°à§‹à¦•à§‡à¦¯à¦¼à¦¾ à¦¸à¦°à¦£à§€,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</si>
  <si>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one of the largest ICT distribution company in Bangladesh. 100+ world renowned brands in Smart basket.</t>
  </si>
  <si>
    <t>ICT distribution; computers; networking; IT solutions; hardware</t>
  </si>
  <si>
    <t>Dhaka-based distributor of ICT products and provider of technology solutions.</t>
  </si>
  <si>
    <t>Smart Technologies (BD) Limited is a Bangladesh-based technology company focusing on distribution of ICT products such as computers, peripherals and networking equipment, as well as providing IT infrastructure and solutions to businesses and institutions.</t>
  </si>
  <si>
    <t>IT distribution; hardware reseller; networking products; enterprise solutions; ICT services</t>
  </si>
  <si>
    <t>ICT Distribution &amp; Solutions</t>
  </si>
  <si>
    <t>Distribution of ICT products and related services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</si>
  <si>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</si>
  <si>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</si>
  <si>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01613-365233</t>
  </si>
  <si>
    <t>+8801730317749 | +880258153636 | +880258153040 | +8801730354890 | +880255025235 | +8801730701908 | +8801730354880 | +880258157002 | +8801756230903 | +8801799986946 | +8809678100500</t>
  </si>
  <si>
    <t>info@smartbd.com</t>
  </si>
  <si>
    <t>http://www.smartbd.com/</t>
  </si>
  <si>
    <t>https://www.facebook.com/cloudcoffeebd</t>
  </si>
  <si>
    <t>https://1000fix.com/</t>
  </si>
  <si>
    <t>https://www.instagram.com/smarttechnologiesbd/</t>
  </si>
  <si>
    <t>https://www.youtube.com/@SmartTechnologiesBDLimited/videos</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</si>
  <si>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</si>
  <si>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</si>
  <si>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Smartly.io Holding Inc</t>
  </si>
  <si>
    <t>08faf375-93e5-11eb-86dd-ffbd1b53140e</t>
  </si>
  <si>
    <t>Smartly Helsinki HQ</t>
  </si>
  <si>
    <t>Honka Holding Oy.</t>
  </si>
  <si>
    <t>VIHREÃ„ KEIJU | VihreÃ¤keiju | Vihrea Keijun</t>
  </si>
  <si>
    <t>Elielinaukio</t>
  </si>
  <si>
    <t>2 G</t>
  </si>
  <si>
    <t>FI, Finland, Satakunta, KankaanpÃ¤Ã¤, 38950, Kirkkokallio, 20, 61.979644, 22.2827617 | FI, Finland, Southwest Finland, KyrÃ¶, , KyrÃ¶ntie, 515, 60.706498, 22.7479617</t>
  </si>
  <si>
    <t>Smartly powers better ai advertising. Fuel better cross platform advertising performance with ai marketing tool, Smartly. Launch, manage, and update campaigns</t>
  </si>
  <si>
    <t>Safety Production Certificates | Herbs and Salad Cultivation | Eco-friendly Greenhouses | Eco-responsible Horticultural Productions | Rose Cultivation | Zero Emissions | Greenhouse Installation Services | Environmentally Friendly Energy Usage | Zero Carbon Footprint Greenhouse | Sustainable Farming Practices | Local Raw Materials</t>
  </si>
  <si>
    <t>VihreÃ¤ Keijun salaatit ja yrtit kasvatetaan vastuullisesti ja kotimaisia raaka-aineita kÃ¤yttÃ¤en. Tuotteidemme avulla luot terveellistÃ¤ arkiruokaa !</t>
  </si>
  <si>
    <t>VihreÃ¤ Keijun salaatit ja yrtit tuotetaan ympÃ¤rivuotisesti Honkatarhojen ja KyrÃ¶ntarhojen kasvihuoneilla. Jo alusta asti viljelyssÃ¤ on huomioitu vahvasti kiertotalous sekÃ¤ ympÃ¤ristÃ¶ystÃ¤vÃ¤llinen energiankÃ¤yttÃ¶. Toimintamme on ulkopuolisesti auditoitu oman alamme tuoteturvallisuus sertifikaatilla; KyrÃ¶ntarhat Oy on IP Sigill ja IP TyÃ¶ehdot sertifioitu ja Honkatarhat Oy:lle on myÃ¶nnetty IP Sigill + Ilmasto ja IP TyÃ¶ehdot sertifikaatti.</t>
  </si>
  <si>
    <t>Ice Cream Recipes | Sun Dried Tomato | Delicious Recipes | Ready-Made Sauces | Beverage Manufacturing | Food Production</t>
  </si>
  <si>
    <t>Farms &amp; Agriculture Production</t>
  </si>
  <si>
    <t>Grains, Horticulture &amp; Other Farms</t>
  </si>
  <si>
    <t>Agriculture, Forestry, Fishing and Hunting</t>
  </si>
  <si>
    <t>Agricultural Products</t>
  </si>
  <si>
    <t>FB-AG</t>
  </si>
  <si>
    <t>Food Crops Grown Under Cover (except growing mushrooms)</t>
  </si>
  <si>
    <t>Retail - Grocery | Retail - Bakeries | Wholesale - Produce (Fruits / Vegetables) | Retail - Butcher Shop | Baked Goods / Pasta Manufacturing</t>
  </si>
  <si>
    <t>0113 | 0122 | 0128</t>
  </si>
  <si>
    <t>Growing of vegetables and melons, roots and tubers | Growing of tropical and subtropical fruits | Growing of spices, aromatic, drug and pharmaceutical crops</t>
  </si>
  <si>
    <t>01.22 | 01.13 | 01.28</t>
  </si>
  <si>
    <t>Growing of tropical and subtropical fruits | Growing of vegetables and melons, roots and tubers | Growing of spices, aromatic, drug and pharmaceutical crops</t>
  </si>
  <si>
    <t>541001 | 542101 | 506301 | 543302 | 205101</t>
  </si>
  <si>
    <t>+358452457700 | +358283877102 | +358400740350 | +358283877141 | +358408211113 | +358401385400 | +358442791428 | +358283877142 | +358415306720</t>
  </si>
  <si>
    <t>info@vihreakeiju.com</t>
  </si>
  <si>
    <t>https://www.smartly.io/</t>
  </si>
  <si>
    <t>https://www.facebook.com/taikavoimaa/</t>
  </si>
  <si>
    <t>https://www.instagram.com/smartlyio</t>
  </si>
  <si>
    <t>https://www.linkedin.com/company/smartly-io/</t>
  </si>
  <si>
    <t>https://www.youtube.com/c/Smartlyio</t>
  </si>
  <si>
    <t>web servers: ibm websphere application server | web servers: litespeed | javascript frameworks: requirejs | operating systems: centos | maps: google maps | font scripts: google font api | blogging platforms: wordpress | miscellaneous: http/3 | video players: youtube | databases: mysql | advertising networks: appnexus | javascript frameworks: jquery migrate | web servers: schannel | seo tool: facebook friendly | lead generation: ninja forms | cms: wordpress | cache tools: wordpress super cache | blogs: wordpress | tag managers: google tag manager | javascript libraries: jquery | seo tool: twitter friendly | programming languages: php | javascript libraries: jquery migrate | javascript frameworks: jquery | analytics: google analytics</t>
  </si>
  <si>
    <t>2020-05-03T16:31:35.000Z</t>
  </si>
  <si>
    <t>SNOW SOFTWARE AB</t>
  </si>
  <si>
    <t>d7fdc096-93e4-11eb-86dd-ffbd1b53140e</t>
  </si>
  <si>
    <t>Flexera</t>
  </si>
  <si>
    <t>Snow Software GmbH | Snow Software AB.</t>
  </si>
  <si>
    <t>Snow Software</t>
  </si>
  <si>
    <t>171 41</t>
  </si>
  <si>
    <t>Svetsarvägen</t>
  </si>
  <si>
    <t>SE, Sweden, Stockholm County, Stockholm, , , , 59.32511901855469, 18.07109260559082 | US, United States, Texas, Austin, 78702, East 6th Street, 1801, 30.261853, -97.72353 | DE, Germany, Baden-WÃ¼rttemberg, Stuttgart, 70563, MeitnerstraÃŸe,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</si>
  <si>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Flexera specializes in IT management software, optimization &amp; solutions. Let Flexera help control &amp; manage your software &amp; IT costs so your business can grow.</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</si>
  <si>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</si>
  <si>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</si>
  <si>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</si>
  <si>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</si>
  <si>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</si>
  <si>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</si>
  <si>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08-545 475 30</t>
  </si>
  <si>
    <t>legal@snowsoftware.com</t>
  </si>
  <si>
    <t>dpo@snowsoftware.com | legal@snowsoftware.com</t>
  </si>
  <si>
    <t>http://www.snowsoftware.com/</t>
  </si>
  <si>
    <t>https://x.com/flexera</t>
  </si>
  <si>
    <t>https://www.instagram.com/weareflexera/</t>
  </si>
  <si>
    <t>https://www.linkedin.com/company/flexera/</t>
  </si>
  <si>
    <t>https://www.youtube.com/user/FlexeraSoftware</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</si>
  <si>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</si>
  <si>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2019-11-24T03:32:02.000Z</t>
  </si>
  <si>
    <t>Snow Software ApS</t>
  </si>
  <si>
    <t>5516dd90-aaf0-11ef-baa5-b1d00e182d98</t>
  </si>
  <si>
    <t>Snow Software Denmark Filial af Snow Software Nordic Ab Sverige</t>
  </si>
  <si>
    <t>Snow Software ApS.</t>
  </si>
  <si>
    <t>Korskildelund</t>
  </si>
  <si>
    <t>software asset management; SAM; IT asset management; SaaS; cloud optimisation</t>
  </si>
  <si>
    <t>Copenhagen-area entity of Snow Software delivering software asset and technology intelligence solutions.</t>
  </si>
  <si>
    <t>Snow Software ApS is a Danish company within Snow Software, which offers platforms for software asset management, SaaS and cloud usage visibility and optimisation, helping organisations manage software spend and risk across on-premises and cloud environments.</t>
  </si>
  <si>
    <t>license management; SaaS visibility; cloud cost optimisation; IT asset discovery; compliance</t>
  </si>
  <si>
    <t>IT Asset &amp; Software Management Software</t>
  </si>
  <si>
    <t>Software asset management and technology intelligence software</t>
  </si>
  <si>
    <t>22 89 92 71</t>
  </si>
  <si>
    <t>help@snow-software.cc</t>
  </si>
  <si>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</si>
  <si>
    <t>2024-11-25T03:49:44.000Z</t>
  </si>
  <si>
    <t>SNOW AS</t>
  </si>
  <si>
    <t>b4e8976a-1184-11ec-8bef-4988316d3539</t>
  </si>
  <si>
    <t>Snow Stock | Snowstock Incity</t>
  </si>
  <si>
    <t>Hammerstadveien</t>
  </si>
  <si>
    <t>NO, Norway, Viken, Kongsberg, 3616, Funkeliaveien, 105, 59.6624676, 9.6221689</t>
  </si>
  <si>
    <t>2018 early access video game</t>
  </si>
  <si>
    <t>Sports Event Organization | Big Kids | Event Organization | Event Organization of Ski Festivals | Wheelchair Accessible Parking Lot | Downhill Bikes | Big Air | Event Organization Services | The Pink Camp | Points and Festivals</t>
  </si>
  <si>
    <t>SnowStock trommer sammen til den tradisjonsrike skifestivalen i Kongsberg Skisenter. SnowStock kjÃ¸res hvert Ã¥r siden 2001, den fÃ¸rste hele helgen i Mars, eller sÃ¥ nÃ¦re denne som mulig. PÃ¥ vegne av alle samarbeidspartnere og de Ã¸vrige i SÃ¸lvbyen ved LÃ¥gen Ã¸nsker vi igjen Ã¥ vise at det er fullt mulig Ã¥ blÃ¥se bakoversveis pÃ¥ hvem som helst.</t>
  </si>
  <si>
    <t>Med ett mÃ¥l, sette en offisiell verdens rekord for ski, pÃ¥ verdens lengste rail. SnowStock trommer sammen til den tradisjonsrike skifestivalen i Kongsberg Skisenter for det 18 arrangementet pÃ¥ rad, siden 2001. PÃ¥ vegne av alle samarbeidspartnere og de Ã¸vrige i SÃ¸lvbyen ved LÃ¥gen Ã¸nsker vi igjen Ã¥ vise . Siden 2001 har vi arrangert vÃ¥r store superfinale, Bad Ass Of The Year. Her er veggen med vinnere gjennom tidene: 2001 TROND CARSTEN Ã˜YE 2002 OLAV BRUSELETTO 2003 LARS ERIK GJÃ†REVOLL 2004 PER KRISTIAN HUNDER 2005 PER KRISTIAN HUNDER 2006 THOMAS DÃ˜LPLADS 2007 ANDERS BACKE 2008 FRIDJOF FREDRICSSON 2009 THOMAS DÃ˜LPLADS 2010 THOMAS DÃ˜LPLADS 2011 . FÃ¸rste gang i verden det ble bygget ett hopp pÃ¥ en bru, skjedde det midt i Kongsberg sentrum en vinterhelg i 2014.</t>
  </si>
  <si>
    <t>Photo Sets | Watch Fashion</t>
  </si>
  <si>
    <t>Race Tracks &amp; Racing Supplies</t>
  </si>
  <si>
    <t>Racing, Including Track Operations (track operations)</t>
  </si>
  <si>
    <t>Operation of sports facilities</t>
  </si>
  <si>
    <t>93.11 | 93.13</t>
  </si>
  <si>
    <t>Operation of sports facilities | Fitness facilities</t>
  </si>
  <si>
    <t>+4797555052 | +4793443623 | +4732717070 | +4791595268 | +4746640400</t>
  </si>
  <si>
    <t>post@snowstock.no</t>
  </si>
  <si>
    <t>https://snowstock.no/</t>
  </si>
  <si>
    <t>https://www.facebook.com/Snowstock/</t>
  </si>
  <si>
    <t>https://www.instagram.com/skifestival/</t>
  </si>
  <si>
    <t>https://www.youtube.com/results?search_query=snowstock&amp;spfreload=1</t>
  </si>
  <si>
    <t>analytics: matomo analytics | widgets: instagram feed for wordpress | ui frameworks: bootstrap | web servers: empathy platform | widgets: css | cdn: jquery cdn | miscellaneous: pwa | wordpress plugins: instagram feed for wordpress | javascript libraries: hammer.js | font scripts: google font api | video players: youtube | databases: mysql | font scripts: youtube iframe embed | issue trackers: really simple discovery | hosting: wordpress multisite | cms: site.com | miscellaneous: open graph | network devices: html | miscellaneous: jquery easing | font scripts: font awesome | network devices: html5 | web servers: apache http server | miscellaneous: facebook | javascript frameworks: gsap | cms: wordpress | blogs: wordpress | javascript libraries: jquery | widgets: javascript | javascript graphics: chart.js | form builders: contact form 7 | font scripts: twitter emoji (twemoji) | programming languages: php | javascript libraries: jquery migrate | wordpress plugins: contact form 7 | miscellaneous: instagram</t>
  </si>
  <si>
    <t>2021-09-09T14:44:00.000Z</t>
  </si>
  <si>
    <t>SoftwareONE Co., Ltd.</t>
  </si>
  <si>
    <t>2307a701-93e5-11eb-a33a-a3dfba582839</t>
  </si>
  <si>
    <t>SoftwareOne (Thailand) Co., Ltd.</t>
  </si>
  <si>
    <t>Software One Inc.</t>
  </si>
  <si>
    <t>กรุงเทพมหานคร</t>
  </si>
  <si>
    <t>Witthayu Road</t>
  </si>
  <si>
    <t>US, United States, Michigan, Troy, 48083, East Maple Road, 360, 42.5478479, -83.140057 | US, United States, Ohio, Akron, , , , 41.083064, -81.518485</t>
  </si>
  <si>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</si>
  <si>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</si>
  <si>
    <t>Software One, Inc. is a software consulting and custom programming company ready to assist you with all your computing needs.</t>
  </si>
  <si>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</si>
  <si>
    <t>Information Technology Consultants | Software Developers (Pre-Packaged) | Software Developers (Custom) | Operations Consultants | Management Consultants</t>
  </si>
  <si>
    <t>641411 | 891801 | 891802 | 641403 | 641401</t>
  </si>
  <si>
    <t>02 110 8440</t>
  </si>
  <si>
    <t>+12485839714 | +12485890555</t>
  </si>
  <si>
    <t>https://www.softwareone.com/</t>
  </si>
  <si>
    <t>network devices: html | web servers: apache | web servers: apache http server</t>
  </si>
  <si>
    <t>2019-11-24T11:17:41.000Z</t>
  </si>
  <si>
    <t>SOFTWAREONE NORWAY AS</t>
  </si>
  <si>
    <t>ca236fc9-1b01-11ec-893d-41807d3de292</t>
  </si>
  <si>
    <t>SoftwareONE Norge AS</t>
  </si>
  <si>
    <t>Brynsveien</t>
  </si>
  <si>
    <t>18 E</t>
  </si>
  <si>
    <t>NO, Norway, Oslo, Oslo, 0667, Brynsveien, 18E, 59.9126257, 10.8108174</t>
  </si>
  <si>
    <t>SoftwareONE Norge AS is a company based in Oslo, Norway, specializing in software development and computer support services.</t>
  </si>
  <si>
    <t>Computer Support Services | Software Development Services</t>
  </si>
  <si>
    <t>SoftwareONE Norge AS is a tech company based in Oslo, Norway.</t>
  </si>
  <si>
    <t>23 05 55 00</t>
  </si>
  <si>
    <t>2021-10-02T10:44:57.000Z</t>
  </si>
  <si>
    <t>SOFTWAREONE PTE. LTD.</t>
  </si>
  <si>
    <t>SoftwareOne Pte Ltd</t>
  </si>
  <si>
    <t>6922 0900</t>
  </si>
  <si>
    <t>https://www.softwareone.com/en-sg</t>
  </si>
  <si>
    <t>SONY MOBILE COMMUNICATIONS AB</t>
  </si>
  <si>
    <t>df703dc0-fe05-11ed-86aa-fd7967b4c1d9</t>
  </si>
  <si>
    <t>Sony Mobile Communications</t>
  </si>
  <si>
    <t>Sony</t>
  </si>
  <si>
    <t>221 88</t>
  </si>
  <si>
    <t>Mobilvägen</t>
  </si>
  <si>
    <t>SE, Sweden, SkÃ¥ne County, Lund, 223 62, MobilvÃ¤gen, 4, 55.718053499999996, 13.226515</t>
  </si>
  <si>
    <t>The Sony Store is a retail establishment located in Lund, Sweden. It operates within the SkÃ¥ne County region. The store specializes in selling Sony products and offers various services related to Sony services.</t>
  </si>
  <si>
    <t>Sony Products Retailer | Electrical Appliance Retailer</t>
  </si>
  <si>
    <t>Broadcast and Wireless Communications Equipment</t>
  </si>
  <si>
    <t>Mobile Devices</t>
  </si>
  <si>
    <t>Radio and TV Communications Equipment</t>
  </si>
  <si>
    <t>Communication equipment manufacturing</t>
  </si>
  <si>
    <t>010-800 00 00</t>
  </si>
  <si>
    <t>https://www.sony.com/</t>
  </si>
  <si>
    <t>2023-05-29T09:46:07.718Z</t>
  </si>
  <si>
    <t>South Pole Sweden AB</t>
  </si>
  <si>
    <t>2c51a7ea-d88d-11ec-8458-930fb706770a</t>
  </si>
  <si>
    <t>South Pole AB</t>
  </si>
  <si>
    <t>South Pole Carbon Asset Management S.A.S.</t>
  </si>
  <si>
    <t>South Pole</t>
  </si>
  <si>
    <t>Sundbyberg</t>
  </si>
  <si>
    <t>172 62</t>
  </si>
  <si>
    <t>Ågatan</t>
  </si>
  <si>
    <t>SE, Sweden, Stockholm County, Stockholm, 111 43, Kungsgatan, 10, 59.336240999999994, 18.0692618 | CO, Colombia, Antioquia, MedellÃ­n, 050015, , , 6.224170299999999, -75.5554423 | CO, Colombia, Bogota\, Capital District, Bogota, 111121, Calle 97, 20, 4.6344269, -74.1198959 | CO, Colombia, Bogota\, Capital District, Bogota, 110111, Carrera 11, 93A-83, 4.686494799999999, -74.0530643</t>
  </si>
  <si>
    <t>Serverleverantör som anpassar efter dina behov. Våra Serverlösningar är utformade för att möta de mest krävande affärskraven - South Pole™</t>
  </si>
  <si>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</si>
  <si>
    <t>South Pole is an environmental engineering services company based in Stockholm, Sweden.</t>
  </si>
  <si>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</si>
  <si>
    <t>Environmental Engineering Services</t>
  </si>
  <si>
    <t>08-562 371 00</t>
  </si>
  <si>
    <t>+911244005273 | +61280630152 | +81368075912 | +525555319013 | +442070721364 | +31203012117 | +46841045880 | +576045205000 | +6622193791 | +62217207567 | +41435013550</t>
  </si>
  <si>
    <t>info@southpole.se</t>
  </si>
  <si>
    <t>http://www.southpole.se/</t>
  </si>
  <si>
    <t>https://www.instagram.com/southpoleglobal/</t>
  </si>
  <si>
    <t>2021-04-22T14:45:59.000Z</t>
  </si>
  <si>
    <t>Southern Cable Sdn. Bhd.</t>
  </si>
  <si>
    <t>04ec320a-18fe-11f0-b4d0-096f959c77d2</t>
  </si>
  <si>
    <t>Southern Nine Sdn. Bhd.</t>
  </si>
  <si>
    <t>Kedah</t>
  </si>
  <si>
    <t>Kuala Ketil</t>
  </si>
  <si>
    <t>JALAN MERBAU PULAS</t>
  </si>
  <si>
    <t>LOT 42</t>
  </si>
  <si>
    <t>MY, Malaysia, Kedah, Sungai Petani, 08000, Persiaran Amanjaya 5, 4, 5.6695427, 100.528656</t>
  </si>
  <si>
    <t>Southern Nine Sdn Bhd is a Malaysia-based trading company specializing in the import of high-quality cement blankets. The company focuses on providing innovative and durable cement layer solutions for construction, decorative finishes, and industrial applications. Southern Nine Sdn Bhd is committed to delivering excellence, innovation, and reliability in every project it undertakes. The company emphasizes high-quality standards, outstanding customer service, and a family-oriented workplace. Their vision is to become the leading provider of cement layer solutions globally.</t>
  </si>
  <si>
    <t>Expert Technical Support | Road Construction | Decorative Finishes | Infrastructure Projects | Cement Layer Solutions for Industrial Applications | Trading Company | Importing High-quality Cement Blankets | On-time Delivery</t>
  </si>
  <si>
    <t>At Southern Nine Sdn Bhd, we specialize in providing innovative and durable cement layer solutions for construction, decorative finishes, and industrial applications.</t>
  </si>
  <si>
    <t>At Southern Nine Sdn. Bhd. , we specialize in providing high-quality, innovative cement layer solutions tailored to meet diverse industry needs. Established with a mission to deliver excellence, innovation, and reliability, we aim to inspire progress in every project we undertake. We strive to be the best workplace , where employees are valued as family. Our vision is to become the leading cement layer solutions provider , delivering inspiration and innovation to projects across the globe. We believe that a company's success lies in its people. Bhd. is a Malaysia-based trading company specializing in importing high-quality cement blankets. At Southern Nine Sdn Bhd, we specialize in providing innovative and durable cement layer solutions for construction, decorative finishes, and industrial applications. We understand the importance of deadlines.</t>
  </si>
  <si>
    <t>04-416 1600</t>
  </si>
  <si>
    <t>support@southernnine.com</t>
  </si>
  <si>
    <t>http://www.southerncable.com.my/</t>
  </si>
  <si>
    <t>2025-03-10T01:08:21.000Z</t>
  </si>
  <si>
    <t>Splunk Inc.</t>
  </si>
  <si>
    <t>6683ff6a-cdfd-11ed-85df-db5561fd2bec</t>
  </si>
  <si>
    <t>Splunk LLC</t>
  </si>
  <si>
    <t>Splunk Mastering</t>
  </si>
  <si>
    <t>Minor Avenue</t>
  </si>
  <si>
    <t>US, United States, Texas, Houston, , , , 29.7589382, -95.3676974</t>
  </si>
  <si>
    <t>American technology company</t>
  </si>
  <si>
    <t>observability; security analytics; SIEM; log management; monitoring; data platform</t>
  </si>
  <si>
    <t>San Francisco-based provider of data platforms for security and observability.</t>
  </si>
  <si>
    <t>Splunk is the key to enterprise resilience. Our platform enables organizations around the world to prevent major issues, absorb shocks and accelerate digital transformation.</t>
  </si>
  <si>
    <t>log analytics; SIEM; APM; infrastructure monitoring; machine data; dashboards</t>
  </si>
  <si>
    <t>Security &amp; Observability Analytics Software</t>
  </si>
  <si>
    <t>Data analytics platforms for security and IT operations</t>
  </si>
  <si>
    <t>(206) 430-5200</t>
  </si>
  <si>
    <t>splunkmastering@gmail.com</t>
  </si>
  <si>
    <t>http://www.splunk.com/</t>
  </si>
  <si>
    <t>hosting: bluehost | javascript libraries: jquery - 3.7.1 | javascript libraries: core-js - 3.32.0 | miscellaneous: rss | reverse proxies: nginx - 1.21.6 | performance: priority hints | miscellaneous: webpack | ui frameworks: uikit | javascript frameworks: vue.js | form builders: contact form 7 - 5.9.8 | font scripts: google font api | wordpress plugins: woocommerce - 9.2.3 | wordpress plugins: contact form 7 - 5.9.8 | databases: mysql | miscellaneous: module federation | javascript libraries: jquery ui - 1.13.3 | seo: yoast seo - 23.4 | miscellaneous: open graph | page builders: elementor - 3.24.0 | wordpress plugins: jetpack | javascript libraries: jquery migrate - 3.4.1 | javascript libraries: lodash - 1.13.6 | form builders: wpforms - 1.9.0.4 | blogs: wordpress - 6.6.2 | wordpress plugins: creativ.email | wordpress plugins: yoast seo - 23.4 | cms: wordpress - 6.6.2 | email: creativ.email | ecommerce: woocommerce - 9.2.3 | web servers: nginx - 1.21.6 | programming languages: php | wordpress plugins: elementor - 3.24.0 | wordpress plugins: wpforms - 1.9.0.4</t>
  </si>
  <si>
    <t>2023-03-29T02:32:15.000Z</t>
  </si>
  <si>
    <t>SPORTS STAR INTERNATIONAL (PRIVATE) LTD.</t>
  </si>
  <si>
    <t>d37465b0-a80f-11ed-b232-0f468bf4ec07</t>
  </si>
  <si>
    <t>Sports Star International Pvt Ltd</t>
  </si>
  <si>
    <t>SportStar Club Industries | Sportstar Club | Sports Star Club | Sports star</t>
  </si>
  <si>
    <t>Model Town Link Road</t>
  </si>
  <si>
    <t>PK, Pakistan, Punjab, Sialkot, 51040, Mahajra Road, , 32.557161175, 74.417341</t>
  </si>
  <si>
    <t>Sportstar Club Industries is a prominent manufacturer of sports balls based in Sialkot, Punjab. The company specializes in producing a wide range of high-quality soccer balls, soccer uniforms, goalkeeper gloves, and various soccer accessories. With a strong presence in over 20 countries, Sportstar Club Industries is recognized for its commitment to excellence and innovation in the sports equipment sector. The company prides itself on delivering products that meet the highest standards, ensuring durability, performance, and style for athletes and sports enthusiasts worldwide.</t>
  </si>
  <si>
    <t>Customization of Sport Balls and Kits | Premium Fabric Services | Packaging Services | Customization Services for Leather Products | Custom Design Services | Pantone Colors Services | Branding Services | Logo Engraving Services</t>
  </si>
  <si>
    <t>Our mission is to empower athletes and sports enthusiasts worldwide by providing them with the highest quality sports balls that inspire performance, elevate standards, and foster a deep love for the game.</t>
  </si>
  <si>
    <t>Sportstar Club Industries is one of the most modern and biggest manufacturers of sports balls of all kinds and has its own factory situated area Syedan Abad, Ghunike Daska Road Sialkot. We offer the lowest prices for the best products which are also negotiable for bulk orders. We always stand guarantee for our products. and any article found in-consistent with the approved sample is replaced by us free of charge as we believe in establishing business relations only. We Are the modern and biggest manufacturers of sports balls. As the industry's leading and largest modern football manufacturing company, we pride ourselves on delivering unparalleled quality and innovation to the world of sports. At Sportstar Club industries, we redefine the game with our cutting-edge sports balls, setting new standards for performance and durability. As passionate enthusiasts of the beautiful game, we craft each football with precision and expertise, ensuring that every kick, pass, and goal is a testament to our commitment to excellence.</t>
  </si>
  <si>
    <t>Leather Wears | Soccer Uniforms | Goalkeeper Gloves | Soccer Ball | Gloves Collection | Sports Balls | Soccer Accessories | Fashion Forward | US Sports | Club Development</t>
  </si>
  <si>
    <t>Sporting Goods Store</t>
  </si>
  <si>
    <t>Sporting Goods</t>
  </si>
  <si>
    <t>CG-TS</t>
  </si>
  <si>
    <t>3069 | 3949</t>
  </si>
  <si>
    <t>Fabricated Rubber Products, NEC (wet suits) | Sporting and Athletic Goods, NEC</t>
  </si>
  <si>
    <t>2219 | 2829 | 3220 | 3230 | 3240</t>
  </si>
  <si>
    <t>Manufacture of other rubber products | Manufacture of other special-purpose machinery | Manufacture of musical instruments | Manufacture of sports goods | Manufacture of games and toys</t>
  </si>
  <si>
    <t>28.99 | 28.96 | 28.95 | 22.19 | 32.4 | 32.3 | 32.2</t>
  </si>
  <si>
    <t>Manufacture of other special-purpose machinery n.e.c. | Manufacture of plastics and rubber machinery | Manufacture of machinery for paper and paperboard production | Manufacture of other rubber products | Manufacture of games and toys | Manufacture of sports goods | Manufacture of musical instruments</t>
  </si>
  <si>
    <t>+491798263936 | +923107745705</t>
  </si>
  <si>
    <t>info@sportsstar.online</t>
  </si>
  <si>
    <t>https://sportsstar.online/</t>
  </si>
  <si>
    <t>https://www.instagram.com/sportstar_club_4455/</t>
  </si>
  <si>
    <t>web servers: ibm websphere application server | wordpress plugins: mailchimp for wordpress | javascript libraries: lodash | javascript libraries: parallax.js | photo galleries: photoswipe | javascript libraries: core-js | caching: wp rocket | cdn: cdnetworks dns | wordpress plugins: elementskit | cdn: hostinger cdn | wordpress themes: astra | miscellaneous: rss | maps: google maps | web servers: empathy platform | performance: priority hints | ecommerce: woocommerce | javascript libraries: swiper | miscellaneous: webpack | javascript libraries: slick | security: recaptcha | wordpress plugins: elementor | javascript frameworks: jquery blockui | javascript frameworks: react | javascript libraries: magnific popup | javascript frameworks: jquery mousewheel | font scripts: google font api | translation: gtranslate | miscellaneous: http/3 | javascript graphics: particles.js | databases: mysql | miscellaneous: module federation | issue trackers: really simple discovery | wordpress plugins: elementor header &amp; footer builder | marketing automation: mailchimp for wordpress | cms: site.com | hosting: hostinger | reverse proxies: nunjucks | network devices: html | miscellaneous: jquery easing | font scripts: font awesome | javascript libraries: jquery ui | web servers: schannel | wordpress plugins: woocommerce | cms: wordpress | blogs: wordpress | wordpress plugins: gtranslate | form builders: wpforms | web frameworks: jquery waypoints | javascript libraries: jquery | wordpress plugins: wpforms | wordpress plugins: smart slider 3 | email: mailchimp | javascript libraries: screenfull.js | wordpress plugins: wp rocket | programming languages: php | marketing automation: mailchimp | javascript libraries: jquery migrate | page builders: elementor | javascript libraries: photoswipe | programming languages: java</t>
  </si>
  <si>
    <t>2023-01-19T15:26:48.000Z</t>
  </si>
  <si>
    <t>SQUARETRADE EUROPE LIMITED</t>
  </si>
  <si>
    <t>22b4fac0-5b0a-11ed-8fd6-0b23d22de7da</t>
  </si>
  <si>
    <t>Argus Insurance Company (Europe) Limited</t>
  </si>
  <si>
    <t>SquareTrade</t>
  </si>
  <si>
    <t>MT</t>
  </si>
  <si>
    <t>Malta</t>
  </si>
  <si>
    <t>Birkirkara</t>
  </si>
  <si>
    <t>CBD 2010</t>
  </si>
  <si>
    <t>High Holborn</t>
  </si>
  <si>
    <t>Insurance for You and Your Business from The Argus Group in Malta</t>
  </si>
  <si>
    <t>Warranties &amp; Insurance</t>
  </si>
  <si>
    <t>6351 | 6331 | 6361 | 6311 | 6321 | 6324</t>
  </si>
  <si>
    <t>Surety Insurance (reinsurers) | Fire, Marine, and Casualty Insurance (reinsurers) | Title Insurance (reinsurers) | Life Insurance (reinsurers) | Accident and Health Insurance (reinsurers) | Hospital and Medical Service Plans (reinsurers)</t>
  </si>
  <si>
    <t>Reinsurance</t>
  </si>
  <si>
    <t>2342 2000</t>
  </si>
  <si>
    <t>http://www.argus.mt/</t>
  </si>
  <si>
    <t>2022-10-31T23:19:00.000Z</t>
  </si>
  <si>
    <t>SQUARETRADE LIMITED</t>
  </si>
  <si>
    <t>2c43d957-93e5-11eb-8474-3bbe2d07207d</t>
  </si>
  <si>
    <t>SquareTrade Limited</t>
  </si>
  <si>
    <t>W1F 9BS</t>
  </si>
  <si>
    <t>Golden Square</t>
  </si>
  <si>
    <t>GB, United Kingdom, England, London, W1F 9BS, Golden Square, , 51.511945100000005, -0.13663929232493638</t>
  </si>
  <si>
    <t>UK-based provider of extended warranty and device protection plans for consumer electronics and mobile devices.</t>
  </si>
  <si>
    <t>extended warranty; device protection; insurance; electronics; mobile phones</t>
  </si>
  <si>
    <t>London-based company offering extended warranties and protection for consumer electronics.</t>
  </si>
  <si>
    <t>SquareTrade Limited is a UK company that offers extended warranties and protection plans for smartphones, tablets, laptops and other consumer electronics, distributed via retailers, operators and directly to consumers.</t>
  </si>
  <si>
    <t>protection plans; accidental damage cover; insurance partnerships; electronics protection</t>
  </si>
  <si>
    <t>Device Protection &amp; Extended Warranty Services</t>
  </si>
  <si>
    <t>Extended warranty and protection services for consumer electronics</t>
  </si>
  <si>
    <t>Insurance Agents, Brokers, and Service</t>
  </si>
  <si>
    <t>020 3409 8577</t>
  </si>
  <si>
    <t>https://www.squaretrade.co.uk/</t>
  </si>
  <si>
    <t>2020-05-16T03:05:28.000Z</t>
  </si>
  <si>
    <t>Starcom FZ-LLC</t>
  </si>
  <si>
    <t>715a75a2-08e9-11ee-ae0e-4f53274d777f</t>
  </si>
  <si>
    <t>Starcom</t>
  </si>
  <si>
    <t>Starcom Information Electronics Trading LLC.</t>
  </si>
  <si>
    <t>Starcominfo</t>
  </si>
  <si>
    <t>AE, United Arab Emirates, Dubai, Dubai, , 19a Street, 23, 25.2510078, 55.2920088</t>
  </si>
  <si>
    <t>Starcominfo is a company that provides computer accessories and supports the technology needs of forward-thinking corporations. The company aims to offer reliable and efficient communication services to its clients, ensuring effective connectivity and meeting their communication needs.</t>
  </si>
  <si>
    <t>Technology Solutions Provider | Reliable Communication Services | Computer Accessories Supplier Provider Services | Software Merchant Wholesalers | Computer Support Services | Computer Peripherals</t>
  </si>
  <si>
    <t>As a reliable provider of computer accessories. STARCOM supports the technology needs of forward-thinking corporations.</t>
  </si>
  <si>
    <t>As a reliable provider of computer accessories. STARCOM supports the technology needs of forward-thinking corporations. At Starcominfo, we strive to provide reliable and efficient communication services to our clients.</t>
  </si>
  <si>
    <t>Website Marketing</t>
  </si>
  <si>
    <t>04 367 6400</t>
  </si>
  <si>
    <t>+971503076027 | +971505765792</t>
  </si>
  <si>
    <t>zubair.starcom@gmail.com</t>
  </si>
  <si>
    <t>http://www.starcomww.com/</t>
  </si>
  <si>
    <t>https://www.facebook.com/starcomww/</t>
  </si>
  <si>
    <t>https://twitter.com/StarcomWW/</t>
  </si>
  <si>
    <t>https://www.instagram.com/starcomww/</t>
  </si>
  <si>
    <t>https://www.linkedin.com/company/starcom1/</t>
  </si>
  <si>
    <t>https://www.youtube.com/channel/UCcn1nkS8v1jrqO8hP8AgAIA</t>
  </si>
  <si>
    <t>2023-06-12T05:32:46.000Z</t>
  </si>
  <si>
    <t>STARSEED TECHNOLOGIES (S) PTE. LTD.</t>
  </si>
  <si>
    <t>8b94232d-93e4-11eb-be5a-4f810ab55f2e</t>
  </si>
  <si>
    <t>Starseed Technologies (S) Pte. Ltd.</t>
  </si>
  <si>
    <t>Starseed Technologies Pte. Ltd.</t>
  </si>
  <si>
    <t>StarSeed</t>
  </si>
  <si>
    <t>Lobby</t>
  </si>
  <si>
    <t>SG, Singapore, Southeast, , 408564, Ubi Avenue 1, 10, 1.32658115, 103.89682731488003 | SG, Singapore, Central, Singapore, 178957, , , 1.33041305, 104.40611358446014</t>
  </si>
  <si>
    <t>StarSeed, legally known as Starseed Technologies Pte. Ltd., is a Singapore-based company specializing in IT infrastructure distribution, solutions, and services. Established in 2001, the company focuses on data storage and backup, security surveillance, networking, and IT security solutions. operates as a New Generation Trunkey IT Infrastructure Distribution provider, sourcing, marketing, and selling its products both domestically and internationally. The company serves a diverse clientele, including government and non-government offices, private offices, and various projects in Bangladesh.</t>
  </si>
  <si>
    <t>Display Solutions/video Walls | Network Security Solutions | Internet/cyber Security | End-point Security | Web Design Services | Software Solutions | Hyper-Converged Infrastructure | Power Solutions | IT Infrastructure Distribution | Backup and Storage Solutions | Server, Storage, and HCI Solutions | IT Solutions Provider | Security and Surveillance Solutions | Virtualization Services</t>
  </si>
  <si>
    <t>Ltd.) are one of the largest ICT Solution and service companies, a New Generation Trunkey IT Infrastructure Distribution, Solutions &amp; Services Provider focused on Data Storage &amp; Backup, Security Surveillance, Networking, and IT Security Solutions.</t>
  </si>
  <si>
    <t>Starseed Technologies Ltd Discover more SIMPLIFIED - DELIVERED - COST EFFECTIVE Storage &amp; Backup. Solution Discover more EXPERTISE AND EXPERIENCE MAKE THE ULTIMATE DIFFERENCE Network Security. Ltd. started its journey in 2001 as a limited company under the company act 1994. It has grown rapidly since then and many people are involved in sales and marketing, of lk 10 Ubi Crescent, Ubi Techpark, Lobby D. #04-63, Singapore (SG)408564. Ltd. is part of Smart Group, a New IT Infrastructure Distribution, Solutions &amp; Services Provider focused on Data Storage &amp; Backup, Security Surveillance, Networking and IT Security Solutions. Put simply, a collaboration solution is software that enables communication and collaboration on a grand scale. Security is the practice of protecting systems, networks, and programs from digital attacks. Network infrastructure comprises hardware and software, systems and devices. Power Solutions is a vendor-neutral provider of power protection products and services. Server, Storage and HCI.</t>
  </si>
  <si>
    <t>info@starseed.com.sg</t>
  </si>
  <si>
    <t>https://starseed.com.sg/</t>
  </si>
  <si>
    <t>web servers: ibm websphere application server | wordpress plugins: mailchimp for wordpress | web servers: litespeed | javascript libraries: core-js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security: hsts | miscellaneous: http/3 | databases: mysql | issue trackers: really simple discovery | marketing automation: mailchimp for wordpress | cms: site.com | javascript libraries: typed.js | network devices: html | miscellaneous: jquery easing | font scripts: font awesome | javascript libraries: jquery ui | web servers: schannel | wordpress plugins: the events calendar | javascript libraries: lightbox | network devices: html5 | javascript libraries: imagesloaded | javascript frameworks: gsap | wordpress plugins: woocommerce | cms: wordpress | blogs: wordpress | ecommerce: cart functionality | javascript libraries: jquery | widgets: slider revolution | widgets: javascript | wordpress plugins: redux framework | form builders: contact form 7 | email: mailchimp | font scripts: twitter emoji (twemoji) | programming languages: php | marketing automation: mailchimp | javascript libraries: jquery migrate | page builders: elementor | wordpress plugins: contact form 7</t>
  </si>
  <si>
    <t>2020-04-20T21:26:21.000Z</t>
  </si>
  <si>
    <t>Stena Recycling Holding AB</t>
  </si>
  <si>
    <t>05cf9ef0-f8c2-11ed-a4de-7df22657eaf0</t>
  </si>
  <si>
    <t>Stena Recycling AB - Coal Street</t>
  </si>
  <si>
    <t>Stena Recycling AB - Skarvik | Stena Recycling AB - Tingstad</t>
  </si>
  <si>
    <t>Västra Götalands län</t>
  </si>
  <si>
    <t>Göteborg</t>
  </si>
  <si>
    <t>417 07</t>
  </si>
  <si>
    <t>Stenkolsgatan</t>
  </si>
  <si>
    <t>SE, Sweden, VÃ¤stra GÃ¶taland County, Gothenburg, 422 46, SalsmÃ¤staregatan, 18-22, 57.7255896, 11.9866238 | SE, Sweden, VÃ¤stra GÃ¶taland County, Gothenburg, 418 34, BrÃ¤nnoljegatan, 2, 57.697828099999995, 11.871802599999999 | SE, Sweden, VÃ¤stra GÃ¶taland County, Gothenburg, 418 78, TM, , 57.719069700000006, 11.834670599999997</t>
  </si>
  <si>
    <t>Stena Recycling erbjuder hållbara lösningar för avfallshantering och bidrar till en cirkulär ekonomi genom att ta vara på resurser och minska miljöpåverkan.</t>
  </si>
  <si>
    <t>Waste Management Services | Recycled Plastic Bottles | Clothing Recycler | Recycled Batteries | Junkyard Operations | Material Recovery Facility | Wheelchair Accessible Parking Lot | Automotive Industry | Wheelchair Accessible Entrance</t>
  </si>
  <si>
    <t>Stena Recycling AB - Tingstad is a garbage collection &amp; waste disposal services company based in Gothenburg, Sweden.</t>
  </si>
  <si>
    <t>Garbage Collection &amp; Waste Disposal</t>
  </si>
  <si>
    <t>Waste Disposal</t>
  </si>
  <si>
    <t>Local Trucking Without Storage (solid waste collection without disposal)</t>
  </si>
  <si>
    <t>031-58 44 50</t>
  </si>
  <si>
    <t>https://www.stenarecycling.se/</t>
  </si>
  <si>
    <t>https://www.facebook.com/stenarecyclingab/</t>
  </si>
  <si>
    <t>https://www.instagram.com/LifeAtStenaRecycling/</t>
  </si>
  <si>
    <t>https://se.linkedin.com/company/stena-recycling-ab</t>
  </si>
  <si>
    <t>https://www.youtube.com/channel/UCqY778PLsEWWpF0bokxvpvg/videos</t>
  </si>
  <si>
    <t>2023-05-22T16:57:53.841Z</t>
  </si>
  <si>
    <t>STORM COMMUNICATIONS AS</t>
  </si>
  <si>
    <t>778a3f93-f35c-11ee-a2cf-e34c0e809adb</t>
  </si>
  <si>
    <t>Storm Communications AS</t>
  </si>
  <si>
    <t>Storm Communications AS | Storm Communications</t>
  </si>
  <si>
    <t>Munchs gate</t>
  </si>
  <si>
    <t>5B</t>
  </si>
  <si>
    <t>NO, Norway, Oslo, Oslo, 0165, Munchs gate, 5B, 59.917339899999995, 10.7415205</t>
  </si>
  <si>
    <t>Storm hjelper selskaper og organisasjoner med å kommunisere bedre, enklere og mer strategisk</t>
  </si>
  <si>
    <t>communications; PR; content; marketing; branding; media relations</t>
  </si>
  <si>
    <t>Oslo-based communications and PR agency.</t>
  </si>
  <si>
    <t>STORM Communications AS is a Norwegian communications agency that helps companies with strategic communication, public relations, storytelling and content production across digital and traditional channels.</t>
  </si>
  <si>
    <t>PR campaigns; media outreach; corporate communications; content marketing; brand positioning</t>
  </si>
  <si>
    <t>PR &amp; Communications Agencies</t>
  </si>
  <si>
    <t>Public relations and strategic communications services</t>
  </si>
  <si>
    <t>Public relations and communication activities</t>
  </si>
  <si>
    <t>92 06 23 42</t>
  </si>
  <si>
    <t>+4747240869 | +4741393455 | +4745398478 | +4791182921 | +4746828304 | +4797158717 | +4795211779 | +4792062342 | +4745181393 | +4799268611 | +4797526759 | +4799368295 | +4740086243 | +4747258919 | +4792055311 | +4746614543 | +4792041055 | +4794148718</t>
  </si>
  <si>
    <t>mkj@stormcom.no</t>
  </si>
  <si>
    <t>http://www.stormhuset.no/</t>
  </si>
  <si>
    <t>https://www.facebook.com/stormcomNO/</t>
  </si>
  <si>
    <t>https://www.linkedin.com/company/28604371/</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</si>
  <si>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</si>
  <si>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</si>
  <si>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SUBEX (ASIA PACIFIC) PTE. LIMITED</t>
  </si>
  <si>
    <t>01a693ee-93e5-11eb-91fb-73d498260b10</t>
  </si>
  <si>
    <t>Subex (Asia Pacific) Pte Limited</t>
  </si>
  <si>
    <t>Subex</t>
  </si>
  <si>
    <t>Bencoolen Street</t>
  </si>
  <si>
    <t>175A</t>
  </si>
  <si>
    <t>DO, Dominican Republic, , , , , , ,</t>
  </si>
  <si>
    <t>The company offers a range of products including a multifunctional car charger, a Vladdin Xpro vape, a mini portable printer, a portable compressor pump, and an automatic water pump.</t>
  </si>
  <si>
    <t>Bank Games | Vladdin Xpro Vape | Adidas Tennis Shoes | Portable Mini Printer | HP Chromebook Touch Laptop | Hampton Forge Knife Game | Automatic Water Pumps | Robot Vacuum | Multifunctional Car Charger | Boardroom Cameras</t>
  </si>
  <si>
    <t>Subex is a gas station based in Dominican Republic.</t>
  </si>
  <si>
    <t>Beauty / Personal Care | Home &amp; Kitchen | Home And Health | Toys / Games | Apple Watch Series 7 | Yellow Diamond | Sport Band</t>
  </si>
  <si>
    <t>5541 | 5411</t>
  </si>
  <si>
    <t>Gasoline Service Station (gasoline station with convenience store) | Grocery Stores (convenience store with gas)</t>
  </si>
  <si>
    <t>Circuit Board / Electrical Component / Semi-Conductor Manufacturing | Household Moving / Packing Operations | Wholesale - Hardware / Plumbing Supplies / Electrical Supplies | Engineers | Warehousing - General Merchandise (No Flammables / Explosives)</t>
  </si>
  <si>
    <t>4711 | 4730</t>
  </si>
  <si>
    <t>Retail sale in non-specialized stores with food, beverages or tobacco predominating | Retail sale of automotive fuel in specialized stores</t>
  </si>
  <si>
    <t>47.3 | 47.11</t>
  </si>
  <si>
    <t>Retail sale of automotive fuel in specialised stores | Retail sale in non-specialised stores with food, beverages or tobacco predominating</t>
  </si>
  <si>
    <t>349501 | 426301 | 509201 | 891601 | 427301</t>
  </si>
  <si>
    <t>6338 1218</t>
  </si>
  <si>
    <t>admin@subexrd.com</t>
  </si>
  <si>
    <t>https://www.subex.com/</t>
  </si>
  <si>
    <t>https://www.facebook.com/SubexLimited/</t>
  </si>
  <si>
    <t>https://www.subex.com/contact-us/</t>
  </si>
  <si>
    <t>https://www.instagram.com/subexlimited/</t>
  </si>
  <si>
    <t>https://www.linkedin.com/company/subex-ltd</t>
  </si>
  <si>
    <t>https://play.google.com/store/apps/details?id=com.subexrd.android.zeroqode&amp;hl=gl&amp;gl=US</t>
  </si>
  <si>
    <t>2020-07-30T19:01:08.000Z</t>
  </si>
  <si>
    <t>SUBEX (UK) LIMITED</t>
  </si>
  <si>
    <t>1282add6-93e5-11eb-a736-0f5b20ecb2f1</t>
  </si>
  <si>
    <t>Subex (UK) Limited</t>
  </si>
  <si>
    <t>SUBEX | SUBEX Diving Centers | SUBEX Diving Center Sahl Hasheesh | SUBEX Red Sea Diving Center</t>
  </si>
  <si>
    <t>Harrow</t>
  </si>
  <si>
    <t>HA1 1JU</t>
  </si>
  <si>
    <t>Saint Anns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</si>
  <si>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</si>
  <si>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</si>
  <si>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</si>
  <si>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</si>
  <si>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</si>
  <si>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</si>
  <si>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Diving Center</t>
  </si>
  <si>
    <t>Recreation - Not Otherwise Classified | Retail - Marine Supplies / Ship Chandlers | Boat Repair Shop (incl Marine Railway) | Boat Dealers | Travel Agencies</t>
  </si>
  <si>
    <t>799901 | 559101 | 447301 | 447101 | 729801</t>
  </si>
  <si>
    <t>020 7826 5300</t>
  </si>
  <si>
    <t>+20653547593 | +201222407164 | +201271309092 | +20653547471 | +20653543261 | +201280667008 | +201286376167</t>
  </si>
  <si>
    <t>diving@subex.org</t>
  </si>
  <si>
    <t>http://www.subex.com/</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</si>
  <si>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</si>
  <si>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</si>
  <si>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2019-11-27T05:49:43.000Z</t>
  </si>
  <si>
    <t>Sutera Utama Sdn. Bhd.</t>
  </si>
  <si>
    <t>43f5c0a1-a7e2-11ed-9443-77059af26349</t>
  </si>
  <si>
    <t>Jalan Teratai 7</t>
  </si>
  <si>
    <t>MY, Malaysia, Johor, Plentong, 81100, Jalan Teratai 7, 71, 1.5385264999999997, 103.81213609999999 | MY, Malaysia, , , , , , 4.5693754, 102.2656823</t>
  </si>
  <si>
    <t>Malaysian engineering company involved in telecommunications, civil works and infrastructure projects.</t>
  </si>
  <si>
    <t>telecommunications infrastructure; civil works; engineering; construction; fibre</t>
  </si>
  <si>
    <t>Johor-based engineering and telecom infrastructure contractor.</t>
  </si>
  <si>
    <t>Sutera Utama Sdn. Bhd. is a Malaysia-based engineering contractor engaged in telecommunication infrastructure deployment and civil construction works, such as fibre and network-related projects for operators and utilities.</t>
  </si>
  <si>
    <t>telco civil works; fibre rollout; infrastructure projects; contracting; maintenance services</t>
  </si>
  <si>
    <t>Construction of telecom and communication line infrastructure</t>
  </si>
  <si>
    <t>07-355 3323</t>
  </si>
  <si>
    <t>http://sutera.my/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</si>
  <si>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</si>
  <si>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</si>
  <si>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Swichtec Power Systems Sdn. Bhd.</t>
  </si>
  <si>
    <t>324b1f73-93e5-11eb-8859-29e7c34dee35</t>
  </si>
  <si>
    <t>Swichtec Power Systems Sdn Bhd</t>
  </si>
  <si>
    <t>SWICHTEC POWER SYSTEMS SDN BHD.</t>
  </si>
  <si>
    <t>Swichtec Power Systems | Swichtec | Swichtec Power System | Swichtec New Zealand</t>
  </si>
  <si>
    <t>Jalan Astaka U8/83</t>
  </si>
  <si>
    <t>MY, Malaysia, Selangor, Shah Alam, 40150, Jalan Astaka U8/83, 8, 3.1065788999999993, 101.5443791</t>
  </si>
  <si>
    <t>Malaysian company supplying power systems and backup power solutions for telecommunications and industrial applications.</t>
  </si>
  <si>
    <t>power systems; rectifiers; telecom power; backup power; energy solutions</t>
  </si>
  <si>
    <t>Malaysia-based provider of power systems solutions for telecom and industry.</t>
  </si>
  <si>
    <t>Swichtec Power Systems Sdn. Bhd. provides DC power systems, rectifiers, battery chargers and related power solutions, particularly serving telecommunications networks and industrial customers requiring reliable backup power.</t>
  </si>
  <si>
    <t>DC power; rectifier systems; telecom backup; energy solutions; power electronics</t>
  </si>
  <si>
    <t>Power Systems &amp; Telecom Energy Solutions</t>
  </si>
  <si>
    <t>Power electronics and backup systems for telecom and industry</t>
  </si>
  <si>
    <t>Electrical Machinery, Equipment, and Supplies, NEC</t>
  </si>
  <si>
    <t>03-7845 3236</t>
  </si>
  <si>
    <t>enquiries@swichtec.com.my</t>
  </si>
  <si>
    <t>http://www.swichtec.com.my/</t>
  </si>
  <si>
    <t>https://www.facebook.com/SwichtecPowerSystems/</t>
  </si>
  <si>
    <t>https://www.instagram.com/swichtecpowersystems/</t>
  </si>
  <si>
    <t>https://www.linkedin.com/company/swichtec-power-systems-sdn-bhd/mycompany/?viewAsMember=true</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</si>
  <si>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</si>
  <si>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</si>
  <si>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Syarikat Takaful Malaysia Keluarga Berhad</t>
  </si>
  <si>
    <t>eb329782-93e4-11eb-a736-0f5b20ecb2f1</t>
  </si>
  <si>
    <t>Takaful Malaysia | Takaful Malaysia Am | Syarikat Takaful Malaysia Keluarga Berhad | Syarikat Takaful Malaysia Berhad</t>
  </si>
  <si>
    <t>Putrajaya</t>
  </si>
  <si>
    <t>Jalan Tuanku Abdul Rahman</t>
  </si>
  <si>
    <t>No.23</t>
  </si>
  <si>
    <t>MY, Malaysia, Kuala Lumpur, Kuala Lumpur, 50000, Jalan Sultan Sulaiman, 4, 3.1395189, 101.6969217 | MY, Malaysia, Penang, Bukit Mertajam, 14000, , , 5.339826565302382, 100.47907160946855 | MY, Malaysia, Negeri Sembilan, Seremban, 70000, Jalan Tuanku Munawir, , 2.7304069, 101.9358002 | MY, Malaysia, Kedah, Sungai Petani, 08000, Jalan Ibrahim, , 5.6404209, 100.4888091 | MY, Malaysia, Selangor, Shah Alam, 40100, Jalan Wau B11/1B, 84, 3.0755577087402344, 101.52875518798828 | MY, Malaysia, Kedah, Alor Setar, 05150, Jalan Shahab 7, no. 229, 6.1411741, 100.3556992 | MY, Malaysia, Pahang, Kuantan, 25000, Jalan Teluk Sisik, , 3.8147509, 103.3350568 | MY, Malaysia, Sabah, Kota Kinabalu, 88673, Jalan Tunku Abdul Rahman, 202, 5.9718931, 116.073132 | MY, Malaysia, Pahang, Temerloh, 28000, , , 3.4657286208333336, 102.40173608166667 | MY, Malaysia, Sarawak, Kuching, 93000, Jalan Kulas, , 1.5540712, 110.3367062</t>
  </si>
  <si>
    <t>Disisi anda menjalani kehidupan yang terbaik dan membantu anda mencapai cita-cita lebih cerah dan lebih terjamin.</t>
  </si>
  <si>
    <t>Medical Protection Plans | Takaful Claims Management | Commercial Takaful Plans | General Takaful Products | Family Takaful Services | Asset Management Services | Takaful Annuity Plans | Home Takaful Coverage | Investment-linked Plans | Education Takaful Solutions | Islamic Insurance Provider | Personal Accident Takaful | Motor Takaful Insurance | Health Takaful Coverage | Retirement Planning Services</t>
  </si>
  <si>
    <t>Learn about our values, mission, and commitment to providing reliable insurance solutions. With our of trust, we prioritize customer satisfaction. Visit us now !</t>
  </si>
  <si>
    <t>Syarikat Takaful Malaysia Keluarga Berhad (Takaful Malaysia or Takaful Malaysia Keluarga) is the first takaful operator in Malaysia. Takaful Malaysia Keluarga is the holding company that manages the Family Takaful business and owns 100% equity of Syarikat Takaful Malaysia Am Berhad (Takaful Malaysia Am), which operates the General Takaful business. Providing a comprehensive and affordable range of family takaful and general takaful solutions, both companies operate under the Takaful Malaysia brand with a combined network of branches in 24 locations nationwide. In addition, Takaful Malaysia has two subsidiary companies in Indonesia, PT Asuransi Takaful Keluarga and PT Syarikat Takaful Indonesia.</t>
  </si>
  <si>
    <t>Total And Permanent Disability Tpd</t>
  </si>
  <si>
    <t>Building Owner - Multiple Occupancy - Mixed-Use Commercial | Inspection Services - Not Otherwise Classified | Insurance Agents / Brokers / Adjusters | Insurance Companies | Insurance Inspection Services</t>
  </si>
  <si>
    <t>399101 | 891702 | 641201 | 631001 | 891701</t>
  </si>
  <si>
    <t>03-2268 1984</t>
  </si>
  <si>
    <t>+60378864916 | +60327120866 | +60361418533 | +601800888788 | +60326931007 | +60322740237 | +60327870500</t>
  </si>
  <si>
    <t>employee.screening@takaful-malaysia.com.my</t>
  </si>
  <si>
    <t>csu@takaful-malaysia.com.my</t>
  </si>
  <si>
    <t>https://www.takaful-malaysia.com.my/</t>
  </si>
  <si>
    <t>https://www.facebook.com/takafulmalaysia.official/</t>
  </si>
  <si>
    <t>https://twitter.com/takafulmsia/</t>
  </si>
  <si>
    <t>https://www.instagram.com/takafulmalaysia.official/</t>
  </si>
  <si>
    <t>https://www.linkedin.com/company/syarikat-takaful-malaysia-berhad/</t>
  </si>
  <si>
    <t>https://apps.apple.com/us/app/tele-bantuan/id1555451352</t>
  </si>
  <si>
    <t>https://play.google.com/store/apps/details?id=com.fusionex.takaful.towing&amp;hl=ms</t>
  </si>
  <si>
    <t>https://youtube.com/TakafulMalaysiaOfficial</t>
  </si>
  <si>
    <t>javascript libraries: axios | javascript libraries: core-js | caching: wp rocket | hosting: kinsta | paas: kinsta | analytics: facebook custom audiences | javascript libraries: aos | ui frameworks: bootstrap | cdn: unpkg | performance: priority hints | web frameworks: bootstrap | javascript libraries: swiper | ssl/tls certificate authorities: digicert | web frameworks: microsoft asp.net | cms: microsoft sharepoint | security: hsts | ui frameworks: tailwind css | miscellaneous: http/3 | databases: mysql | javascript frameworks: moment.js | widgets: facebook | retargeting: facebook custom audiences | miscellaneous: open graph | cdn: jsdelivr | font scripts: font awesome | javascript libraries: jquery ui | translation: wpml | operating systems: windows server | cms: wordpress | blogs: wordpress | javascript frameworks: jquery ui | web servers: iis | tag managers: google tag manager | javascript libraries: jquery | widgets: owl carousel | wordpress plugins: wpml | retargeting: facebook | analytics: facebook pixel | wordpress plugins: wp rocket | cdn: cloudflare | programming languages: php | javascript libraries: jquery migrate | javascript libraries: moment.js | javascript frameworks: jquery | analytics: google analytics</t>
  </si>
  <si>
    <t>2019-11-24T12:39:12.000Z</t>
  </si>
  <si>
    <t>SYNIVERSE COMMUNICATIONS, LLC</t>
  </si>
  <si>
    <t>84e29359-93e4-11eb-a33a-a3dfba582839</t>
  </si>
  <si>
    <t>Syniverse Technologies</t>
  </si>
  <si>
    <t>Syniverse Technologies GmbH | Syniverse Technologies BV. | Syniverse Technologies LLC. | Syniverse Technologies Messaging ApS. | Syniverse Technologies Solutions Limited</t>
  </si>
  <si>
    <t>Syniverse | Syniverse Technologies | Syniverse Exchange</t>
  </si>
  <si>
    <t>Florida</t>
  </si>
  <si>
    <t>Tampa</t>
  </si>
  <si>
    <t>Highwoods Palm Way</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</si>
  <si>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JosÃ©, 10203, Avenida EscazÃº, , 9.9395132, -84.1421736 | IN, India, Haryana, Gurugram, , , , 28.686335800000002, 77.18511708965454</t>
  </si>
  <si>
    <t>The world's most connected company. Explore Syniverse's secure, scalable solutions for mobile operators &amp; businesses worldwide.</t>
  </si>
  <si>
    <t>roaming; SMS; messaging; interconnect; clearing; mobile services</t>
  </si>
  <si>
    <t>Tampa-based provider of roaming, messaging and interconnect solutions for mobile operators.</t>
  </si>
  <si>
    <t>Syniverse Technologies, LLC is a US-based company that delivers roaming, messaging, interconnect and clearinghouse services, as well as CPaaS and engagement solutions, enabling mobile operators and enterprises to connect and exchange traffic globally.</t>
  </si>
  <si>
    <t>roaming hub; SMS hubbing; IPX; clearing and settlement; enterprise messaging; CPaaS</t>
  </si>
  <si>
    <t>Telecom Interconnect &amp; Messaging Services</t>
  </si>
  <si>
    <t>Roaming, messaging and interconnect services for telecoms</t>
  </si>
  <si>
    <t>Communication Equipment Installation - Residential | Communication Equipment Installation - Commercial | Software Developers (Pre-Packaged) | Software Developers (Custom) | Technology Customer Support Services (For others)</t>
  </si>
  <si>
    <t>153401 | 153402 | 891801 | 891802 | 740809</t>
  </si>
  <si>
    <t>(813) 637-5000</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</si>
  <si>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</si>
  <si>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</si>
  <si>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</si>
  <si>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</si>
  <si>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https://www.syniverse.com/?utm_source=localsearch&amp;utm_medium=organic&amp;utm_campaign=googlemybusiness</t>
  </si>
  <si>
    <t>https://www.facebook.com/Syniverse.Technologies</t>
  </si>
  <si>
    <t>https://twitter.com/syniverse?mx=2</t>
  </si>
  <si>
    <t>https://linkedin.com/company/syniverse/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</si>
  <si>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</si>
  <si>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</si>
  <si>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2019-11-24T03:05:03.000Z</t>
  </si>
  <si>
    <t>Systems Limited</t>
  </si>
  <si>
    <t>89ddebb2-2d1c-11ed-b4b4-db89613290cb</t>
  </si>
  <si>
    <t>B2B SYSTEMS LIMITED</t>
  </si>
  <si>
    <t>B2B Systems</t>
  </si>
  <si>
    <t>Stadium Road</t>
  </si>
  <si>
    <t>PK, Pakistan, Punjab, Multan, 60700, , , 30.197838, 71.4719683</t>
  </si>
  <si>
    <t>Systems Limited, a global SL company, embraces the power of innovation and technology to drive meaningful change for our clients, partners, and shareholders.</t>
  </si>
  <si>
    <t>Technology-driven Business Solutions | After-sales Support | Harvard Business School Data Analytics | Software Development Services | Innovation Delivery | Artificial Intelligence Consulting Services | Round-the-clock Support | Data Analytics Consulting | Technical Expertise | Process Optimization</t>
  </si>
  <si>
    <t>We are B2B Systems and we would like to introduce ourselves as a Software Development Company that provides software solutions focusing on all business fields all over the world.</t>
  </si>
  <si>
    <t>Preparing for your success, we provide truly IT solutions. We are B2B Systems. and we would like to introduce ourselves as software Development Company that provides software solutions focusing on all business fields in all over the world. We understand that each organization is unique in its culture, environment, leadership and vision. Each client is a unique individual, capable of achieving extraordinary heights in a suitable work environment. Our untiring passion for brilliance is our Endeavour to emerge as one of the world's key software resources. We are committed to continuously improve and to exceed client expectations with respect to timelines, quality of our products &amp; services and ensuring minimal efforts by the client to run their business process. At B2B Systems we deliver technology-driven business solutions that complement the business strategic objectives of our clients. While maintaining a fundamental commitment to services excellence in everything we do, we deliver unmatched business value to customers through a combination of process optimization, technical expertise and delivery innovation.</t>
  </si>
  <si>
    <t>Android Development | Software Development | Website Designing | Analytics And Consulting | Website Development | Software Resources | Digital Marketing | Marketing And Advertising | Enterprise Software Solution | Web Designing</t>
  </si>
  <si>
    <t>(042) 111 797 836</t>
  </si>
  <si>
    <t>+923306000363 | +971589852822</t>
  </si>
  <si>
    <t>https://www.systemsltd.com/</t>
  </si>
  <si>
    <t>https://facebook.com/Systemslimited/</t>
  </si>
  <si>
    <t>https://twitter.com/SystemsLtd</t>
  </si>
  <si>
    <t>https://instagram.com/systems_limited/</t>
  </si>
  <si>
    <t>https://linkedin.com/company/systems-limited/</t>
  </si>
  <si>
    <t>https://www.youtube.com/@Systemsltd-officialpage</t>
  </si>
  <si>
    <t>2022-09-02T14:10:08.000Z</t>
  </si>
  <si>
    <t>Systemteknik af 2021 A/S</t>
  </si>
  <si>
    <t>af498674-93e4-11eb-b5f6-816dd10ac7b0</t>
  </si>
  <si>
    <t>SystemTeknik A/S</t>
  </si>
  <si>
    <t>AAG Aalborg Gummivarefabrik A/S.</t>
  </si>
  <si>
    <t>Aalborg Gummivarefabrik</t>
  </si>
  <si>
    <t>Sundsholmen</t>
  </si>
  <si>
    <t>DK, Denmark, North Denmark Region, NÃ¸rresundby, 9400, Sundsholmen, 3, 57.06780320000001, 9.9535496</t>
  </si>
  <si>
    <t>Aalborg Gummivarefabrik A/S is a company based in NÃ¸rresundby, Denmark, specializing in the supply of rubber products. The company operates within the e-commerce sector.</t>
  </si>
  <si>
    <t>Rubber Technology Solutions | Online Marketing Support | Website Optimization | Rental Services | Durable and Efficient Rubber Products | Rubber Products Manufacturing | Third-party Platform Integration | Electronics Recycling | Website User Experience Enhancement | E-commerce Services | Product Development Services | User Behavior Tracking | E-commerce Platform for Rubber Products</t>
  </si>
  <si>
    <t>Find solutions in technical rubber. Experience what our durable rubber can do for you. We solve every need of technical rubber across all industries. Read more.</t>
  </si>
  <si>
    <t>Det gÃ¸r vi for at kunne optimere design, brugervenlighed og styrke effektiviteten af hjemmesiden. FormÃ¥l: Samler information om brugerne og deres aktivitet pÃ¥ websitet. FormÃ¥l: StÃ¸tter online markedsfÃ¸ring ved at indsamle oplysninger om brugerne til at promovere produkter gennem partnere og andre platforme. AAG | Aalborg Gummivarefabrik A/S er en af Danmarks fÃ¸rende leverandÃ¸rer af lÃ¸sninger i teknisk gummi, plast og skum pÃ¥ tvÃ¦rs af industrierne vind, olie og gas, maritim, transport, byggeri, maskinindustri, elektronik, ventilation (HVAC), landbrug, fÃ¸devarer, medicinal samt sundhed og sport. AAG producerer, forhandler og bearbejder produkter i teknisk gummi, plast og skum. Med mere end 90 Ã¥rs erfaring er vores innovative og kundetilpassede lÃ¸sninger med til at give dig flere fordele i Ã©n lÃ¸sning. AAG tilfÃ¸rer viden til gummi, plast og skum. AAG er sÃ¥ meget mere end gummi, plast og skum. Vi har en bred viden inden for teknisk gummi, plast og skum samt et stort kendskab til din industri, hvilket gÃ¸r os i stand til at give dig en unik rÃ¥dgivning til lÃ¸sning af dit projekt.</t>
  </si>
  <si>
    <t>Targeted Advertising | Online Marketing | Oil And Gas | Merchandise &amp; Products | Transportations&amp; Logistics | Offshore Oil &amp; Gas | Medical Suppliers | Field Development | Protection And Security | Wholesale</t>
  </si>
  <si>
    <t>Fabricated Rubber Products</t>
  </si>
  <si>
    <t>Rubber &amp; Plastics</t>
  </si>
  <si>
    <t>Molded, Extruded, and Lathe-Cut Mechanical Rubber Goods</t>
  </si>
  <si>
    <t>Manufacture of other rubber products</t>
  </si>
  <si>
    <t>96 31 73 33</t>
  </si>
  <si>
    <t>+4598158022 | +4596352115 | +4540102493 | +4596350483 | +4570800123 | +4596352117 | +4570777862 | +4596352110 | +4596350471 | +4596352112 | +4596350481 | +4596350475 | +4596771345 | +4529471775 | +4596771347 | +4570800128 | +4596350474 | +4596771344 | +4596771346 | +4570800127 | +4523203828 | +4596771343 | +4596350472 | +4529471539 | +4596350482 | +4596352119 | +4542773282 | +4522992033</t>
  </si>
  <si>
    <t>info@aag.world</t>
  </si>
  <si>
    <t>http://www.systemteknik.dk/</t>
  </si>
  <si>
    <t>https://www.facebook.com/aagaalborggummivarefabrik/</t>
  </si>
  <si>
    <t>https://www.linkedin.com/company/a-a-g--aalborg-gummivarefabrik-a-s</t>
  </si>
  <si>
    <t>cookie compliance: cookie information | javascript libraries: jquery ui - 1.13.1 | javascript libraries: core-js | javascript libraries: owl carousel | analytics: hotjar | ui frameworks: bootstrap | reviews: trustpilot | ecommerce: dandomain webshop | web servers: empathy platform | analytics: google universal analytics | analytics: leadinfo | issue trackers: sentry | widgets: css | analytics: albacross | ui frameworks: bootstrap - 5 | miscellaneous: pwa | font scripts: google font api | cache tools: varnish | analytics: google analytics - GA4 | security: hsts | reverse proxies: nginx | analytics: google analytics enhanced ecommerce | reverse proxy: nginx | analytics: google call conversion tracking | cms: site.com | cdn: owl carousel | web frameworks: zurb foundation | network devices: html | miscellaneous: jquery easing | javascript libraries: jquery ui | javascript frameworks: jquery migrate | network devices: html5 | ui frameworks: zurb foundation | miscellaneous: facebook | analytics: linkedin insight tag | javascript libraries: jquery - 3.6.0 | caching: varnish - 6.0 | javascript frameworks: jquery ui | ecommerce: cart functionality | retargeting: albacross | caching: varnish | lead generation: mailchimp | tag managers: google tag manager | miscellaneous: linkedin | javascript libraries: jquery | widgets: owl carousel | widgets: javascript | javascript libraries: jquery.scrollto | email: mailchimp | ssl/tls certificate authorities: sectigo | javascript libraries: jquery migrate - 3.0.1 | ui frameworks: zurb foundation - 6.2.4 | web servers: nginx | marketing automation: mailchimp | javascript libraries: jquery migrate | javascript frameworks: jquery | analytics: google analytics</t>
  </si>
  <si>
    <t>2020-02-17T17:52:53.000Z</t>
  </si>
  <si>
    <t>T/A POL AS</t>
  </si>
  <si>
    <t>5249c192-12c7-11ec-bada-99fbd772d3aa</t>
  </si>
  <si>
    <t>T / a Pol AS</t>
  </si>
  <si>
    <t>iSEKK AS | ISEKK</t>
  </si>
  <si>
    <t>NO, Norway, Oslo, Oslo, 0164, Kristian Augusts gate, 5, 59.91612, 10.739905</t>
  </si>
  <si>
    <t>Isekk, legally known as Private Business Housing association, is a company based in Oslo, Norway. It specializes in providing tailored waste management solutions and waste containers for professionals and companies. The company offers a range of waste products, including bags and containers, and ensures efficient waste collection services. ISEKK focuses on delivering waste management solutions for construction projects, providing waste reporting and documentation to meet regulatory requirements. The company is recognized for its seamless and flexible waste collection services, catering to various waste types and project sizes.</t>
  </si>
  <si>
    <t>Recycling Containers for Construction Waste Processing | Construction and Demolition Waste Disposal | Waste Management Services | Construction Waste Management Services | Waste Secateurs and Containers | Quick Collection Service</t>
  </si>
  <si>
    <t>ISEKK offers professionals and companies tailor-made waste solutions and waste containers. Order easily and get quick collection to the desired address in Oslo and the surrounding area.</t>
  </si>
  <si>
    <t>Webshop.isekk.no user Unique id that identifies the user's session. Fast delivery of bags and containers, excellent prices and everything in waste management from one provider. For large projects, the best solution may be a combination of bags and containers. We deliver everything at a great price. We deliver waste reports for all construction projects. Perfect for all types of renovation projects where you need construction waste collected from site. iSEKK offers waste containers in all sizes, but in combination with iSEKK bags you have everything you need for a smooth and efficient construction project. We offer collection every day and work to provide the best service and quality in the industry. Vi har alt du trenger for enkel avfallshÃ¥ndtering enten det er for bedrift, borettslag eller privat.</t>
  </si>
  <si>
    <t>Construction Waste | Waste Containers | Waste Solutions | Crane Truck | Container Rentals | Dangerous Waste | Debt Leads | Environment &amp; Renewables | Environmental Services</t>
  </si>
  <si>
    <t>Waste Management</t>
  </si>
  <si>
    <t>IF-WM</t>
  </si>
  <si>
    <t>IF.4</t>
  </si>
  <si>
    <t>92 60 24 75</t>
  </si>
  <si>
    <t>post@isekk.no</t>
  </si>
  <si>
    <t>https://www.pol.no/kontakt</t>
  </si>
  <si>
    <t>https://www.facebook.com/isekk.no/</t>
  </si>
  <si>
    <t>https://www.instagram.com/polsiden/</t>
  </si>
  <si>
    <t>http://www.linkedin.com/company/isekk-as</t>
  </si>
  <si>
    <t>static site generator: next.js | web servers: empathy platform | miscellaneous: webpack | issue trackers: sentry | javascript frameworks: react | security: hsts | miscellaneous: module federation | network devices: html | web servers: schannel | programming languages: node.js | network devices: html5 | web servers: next.js | web frameworks: next.js | paas: vercel | widgets: javascript | javascript frameworks: next.js</t>
  </si>
  <si>
    <t>2021-09-11T04:46:42.000Z</t>
  </si>
  <si>
    <t>TALEND SINGAPORE PTE. LTD.</t>
  </si>
  <si>
    <t>00cfe2f8-93e5-11eb-b997-8dd98d09cf25</t>
  </si>
  <si>
    <t>Qlik / Talend</t>
  </si>
  <si>
    <t>Reed Tan Digital Pte. Ltd.</t>
  </si>
  <si>
    <t>Reed Tan Digital</t>
  </si>
  <si>
    <t>Suresnes</t>
  </si>
  <si>
    <t>Rue Salomon de Rothschild</t>
  </si>
  <si>
    <t>SG, Singapore, Central, Singapore, 039190, Temasek Avenue, 3, 1.2934138499999999, 103.86028668691475</t>
  </si>
  <si>
    <t>Talend is now part of Qlik. Seamlessly integrate, transform, and govern data across any environment with Qlik Talend Cloud — built for AI, analytics, and trusted decisions.</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</si>
  <si>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</si>
  <si>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</si>
  <si>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</si>
  <si>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</si>
  <si>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</si>
  <si>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</si>
  <si>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01 46 25 06 00</t>
  </si>
  <si>
    <t>marketing@reedtan.com</t>
  </si>
  <si>
    <t>http://www.talend.com/</t>
  </si>
  <si>
    <t>https://www.instagram.com/reedt_/</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</si>
  <si>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</si>
  <si>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2019-11-24T00:45:42.000Z</t>
  </si>
  <si>
    <t>Talend Sweden AB</t>
  </si>
  <si>
    <t>4ccb39c7-c026-11ec-9880-5b9f9a6d0d58</t>
  </si>
  <si>
    <t>Talenom</t>
  </si>
  <si>
    <t>111 23</t>
  </si>
  <si>
    <t>Torsgatan</t>
  </si>
  <si>
    <t>SE, Sweden, VÃ¤stra GÃ¶taland County, Gothenburg, 411 10, , , 57.7072326, 11.9670171</t>
  </si>
  <si>
    <t>Redovisningsbyrå i Stockholm med auktoriserade konsulter och enkelt bokföringsprogram. Talenom stödjer små och medelstora företag.</t>
  </si>
  <si>
    <t>Globalists and Skeptics Services | Styling Services | Caddy Tig 1500i/2200i Services | Crisis Management Services | District Nurses | Argentine Economy Services | Wacom Tablet Photoshop | Concept Art Services | Restaurant Gymnasium School Services | Diabetes Center Salinas Services | Health Center of The Northwest Services | Art Direction Services | Content Creation Services | Holiday Home Tax Selling Services</t>
  </si>
  <si>
    <t>Wacom intous5 fungerar dÃ¥ligt pÃ¥ ny dator - Medlem.</t>
  </si>
  <si>
    <t>Salja fritidshus skatt - investerarpengarskpj.web.appVi borde prata mindre om krishantering och mer om</t>
  </si>
  <si>
    <t>Concept Arts | Content Creation | Art Directing</t>
  </si>
  <si>
    <t>Accountants / Auditors | Professional Associations | Financial Planners / Advisors | Real Estate Agents (No Property Management, No Real Estate Management) | Building Management / Property Management</t>
  </si>
  <si>
    <t>641101 | 862001 | 641501 | 658001 | 739301</t>
  </si>
  <si>
    <t>08-505 736 10</t>
  </si>
  <si>
    <t>cecilia.gasslander@talenom.se</t>
  </si>
  <si>
    <t>https://talenom.com/sv-se/varakontor/stockholm/</t>
  </si>
  <si>
    <t>https://www.facebook.com/Talenom.Sweden/</t>
  </si>
  <si>
    <t>https://www.instagram.com/talenom_sweden/</t>
  </si>
  <si>
    <t>https://se.linkedin.com/company/talenom-sweden</t>
  </si>
  <si>
    <t>https://www.youtube.com/channel/UCdox1YBTAIxZVPn747x0QGg</t>
  </si>
  <si>
    <t>2022-04-19T20:05:18.000Z</t>
  </si>
  <si>
    <t>Talentech ApS</t>
  </si>
  <si>
    <t>14426861-22ee-11ec-9e3b-1143ee662a91</t>
  </si>
  <si>
    <t>Talentech Denmark</t>
  </si>
  <si>
    <t>Gothersgade</t>
  </si>
  <si>
    <t>DK, Denmark, Capital Region of Denmark, Copenhagen, 1123, Gothersgade, 14, 55.682038, 12.583943299999998</t>
  </si>
  <si>
    <t>Talentechs HR-platform er den foretrukne platform i hele Norden med over 600.000 brugere. Læs mere om vores HR-platform og book en demo.</t>
  </si>
  <si>
    <t>HR software; recruitment; ATS; onboarding; talent management; SaaS</t>
  </si>
  <si>
    <t>Copenhagen-based provider of cloud HR and recruitment platforms.</t>
  </si>
  <si>
    <t>Talentech ApS is a Danish HR tech company offering cloud-based platforms for applicant tracking, recruitment marketing, onboarding and talent management, helping organisations streamline and digitise their hiring processes.</t>
  </si>
  <si>
    <t>applicant tracking; e-recruitment; onboarding workflows; employer branding; HR SaaS</t>
  </si>
  <si>
    <t>HR &amp; Recruitment Software</t>
  </si>
  <si>
    <t>Cloud-based recruitment and HR process platforms</t>
  </si>
  <si>
    <t>72 44 06 44</t>
  </si>
  <si>
    <t>https://www.talentech.dk/</t>
  </si>
  <si>
    <t>https://www.facebook.com/TalentechDanmark/</t>
  </si>
  <si>
    <t>https://www.linkedin.com/company/talentech-denmark</t>
  </si>
  <si>
    <t>2021-10-01T19:18:53.000Z</t>
  </si>
  <si>
    <t>TAMPNET AS</t>
  </si>
  <si>
    <t>ef6e1e50-93e4-11eb-8ad6-7326edce8d21</t>
  </si>
  <si>
    <t>Tampnet AS</t>
  </si>
  <si>
    <t>Tampnet Inc. | Tampnet UK Ltd. | Tampnet Germany GmbH | Tampnet Ltd. | Tampnet Netherlands B.V.</t>
  </si>
  <si>
    <t>Stavanger</t>
  </si>
  <si>
    <t>Risavika Havnering</t>
  </si>
  <si>
    <t>NO, Norway, Rogaland, Stavanger, 4020, JÃ¥ttÃ¥vÃ¥gveien,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NeulehenstraÃŸe, 8a, 52.0478163, 8.3748557 | SE, Sweden, Stockholm County, Stockholms kommun, 125 45, Glasfibergatan, 8, 59.28091, 18.0026989 | FI, Finland, Pirkanmaa, Tampere, 33720, Visiokatu, 3, 61.44725055, 23.865193244812843</t>
  </si>
  <si>
    <t>Tampnet is the largest offshore high capacity communication network in the world</t>
  </si>
  <si>
    <t>offshore telecom; LTE; 4G/5G; subsea fibre; connectivity; maritime</t>
  </si>
  <si>
    <t>Stavanger-based provider of offshore fibre and wireless communication services.</t>
  </si>
  <si>
    <t>Tampnet AS is a Norwegian telecommunications company that operates the world’s largest offshore high-capacity communication network, combining subsea fibre and 4G/5G LTE coverage to deliver connectivity to oil and gas platforms, offshore wind farms and maritime customers in the North Sea and Gulf of Mexico.</t>
  </si>
  <si>
    <t>offshore connectivity; subsea fibre; LTE offshore; critical communications; maritime broadband</t>
  </si>
  <si>
    <t>Offshore Telecommunications Services</t>
  </si>
  <si>
    <t>Offshore fibre and wireless communication services</t>
  </si>
  <si>
    <t>90 80 38 03</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</si>
  <si>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</si>
  <si>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</si>
  <si>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</si>
  <si>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</si>
  <si>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</si>
  <si>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</si>
  <si>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</si>
  <si>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</si>
  <si>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</si>
  <si>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</si>
  <si>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</si>
  <si>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</si>
  <si>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Tata Communications International Pte. Ltd.</t>
  </si>
  <si>
    <t>07b1780d-05c5-11ec-abfc-31972501e45a</t>
  </si>
  <si>
    <t>Tata Communications</t>
  </si>
  <si>
    <t>Tamita Singapore Advisors Pte Ltd. | Tamita Singapore Advisors Pte. Limited</t>
  </si>
  <si>
    <t>Tai Seng Street</t>
  </si>
  <si>
    <t>SG, Singapore, Central, Singapore, 068815, Shenton Way, 5, 1.2778152999999999, 103.84962024588158</t>
  </si>
  <si>
    <t>Enable your enterprise's digital transformation. Tata Communications delivers integrated global solutions for connectivity, cloud, security &amp; collaboration.</t>
  </si>
  <si>
    <t>Secondary Private Equity Investments | Media Securities | M&amp;A Projects | Distressed Credit | TMT Securities Advisory | Telecom Financial Services | Venture and Growth Capital | Commercial Due Diligence | Financial Advisory Services | Alternative Investments Advisory | TMT Investments | Portfolio Management | Leveraged Buyout | Strategic Market Development</t>
  </si>
  <si>
    <t>Tamita Tamita is an international firm, based in Singapore, which consultscorporate and financial investors and advises a single-family office on global Telecoms, Media and Technology (â€œTMTâ€) securities and alternative investments.</t>
  </si>
  <si>
    <t>Tamita is an international firm, based in Singapore, which consults corporate and financial investors and advises a single-family office on global Telecoms, Media and Technology ("TMT") securities and alternative investments.</t>
  </si>
  <si>
    <t>Alternative Investing | Investment Analyst | Corporate And Financial | Alternative Asset Management | Private Equity Firm | Compounding Interest | Commercial Broadcasting | Portfolio Management | Strategic Marketing | Direct Investments</t>
  </si>
  <si>
    <t>6211 | 6211</t>
  </si>
  <si>
    <t>Security Brokers, Dealers, and Flotation Companies (security dealers and underwriters) | Security Brokers, Dealers, and Flotation Companies (security brokers, note brokers)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</si>
  <si>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</si>
  <si>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</si>
  <si>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</si>
  <si>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</si>
  <si>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6632 6700</t>
  </si>
  <si>
    <t>https://www.tatacommunications.com/?utm_source=GMB_Listing&amp;utm_medium=organic&amp;utm_campaign=Singapore</t>
  </si>
  <si>
    <t>https://x.com/tata_comm?mx=2</t>
  </si>
  <si>
    <t>https://www.instagram.com/tata_comm/</t>
  </si>
  <si>
    <t>https://www.linkedin.com/company/tata-communication/posts/</t>
  </si>
  <si>
    <t>https://www.youtube.com/user/tatacomms</t>
  </si>
  <si>
    <t>javascript libraries: core-js | miscellaneous: rss | maps: google maps | web servers: empathy platform | performance: priority hints | javascript libraries: swiper | wordpress plugins: elementor | seo: yoast seo | widgets: css | photo galleries: slider revolution | font scripts: google font api | databases: mysql | issue trackers: really simple discovery | wordpress themes: oceanwp | cms: site.com | miscellaneous: open graph | network devices: html | miscellaneous: jquery easing | font scripts: font awesome | javascript libraries: jquery ui | network devices: html5 | web servers: apache http server | javascript libraries: imagesloaded | javascript frameworks: gsap | cms: wordpress | blogs: wordpress | miscellaneous: linkedin | web frameworks: jquery waypoints | javascript libraries: jquery | widgets: slider revolution | wordpress plugins: essential addons for elementor | widgets: javascript | wordpress plugins: yoast seo | programming languages: php | javascript libraries: jquery migrate | page builders: elementor | javascript libraries: flickity</t>
  </si>
  <si>
    <t>2021-08-25T06:01:01.000Z</t>
  </si>
  <si>
    <t>TATA COMMUNICATIONS INTERNATIONAL PTE. LTD.</t>
  </si>
  <si>
    <t>2b145a02-93e5-11eb-8859-29e7c34dee35</t>
  </si>
  <si>
    <t>TATA COMMUNICATIONS DIGO</t>
  </si>
  <si>
    <t>Tata Communications Limited | Tata Communications Pte Ltd. | Tata Communications International Pte Ltd. | Tata Communications UK Ltd.</t>
  </si>
  <si>
    <t>TATA COMMUNICATIONS DIGO | Tata Communications</t>
  </si>
  <si>
    <t>Southeast</t>
  </si>
  <si>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</si>
  <si>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</si>
  <si>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</si>
  <si>
    <t>We are the partner of choice for Communication Service Providers globally in building smarter, faster, efficient and virtualised communication networks.</t>
  </si>
  <si>
    <t>Tata Communications Transformation Services (TCTS), a 100% subsidiary of Tata Communications Ltd, provides business transformation, managed network operations, network outsourcing, and consultancy services to telecommunication companies around the world.</t>
  </si>
  <si>
    <t>Ip Network | Transformer Services | Tooling &amp; Automation | Network And Servers | Professional Services &amp; Business | Network Planning &amp; Design | Business Process Consultancy | Professional Services | Network Engineering | Operations Transformation</t>
  </si>
  <si>
    <t>Marketing Consultants | Information Technology Consultants | Communication Equipment Installation - Commercial | Management Consultants | Communication Equipment Installation - Residential</t>
  </si>
  <si>
    <t>641405 | 641411 | 153402 | 641401 | 153401</t>
  </si>
  <si>
    <t>+6566348570 | +912067210000 | +919673235599</t>
  </si>
  <si>
    <t>digo@tatacommunications.com</t>
  </si>
  <si>
    <t>https://www.tatacommunications-ts.com/</t>
  </si>
  <si>
    <t>https://www.facebook.com/Tata-Communications-Transformation-Services-1396485270368857/</t>
  </si>
  <si>
    <t>https://twitter.com/Tata_TCTSL</t>
  </si>
  <si>
    <t>https://www.instagram.com/tata_tctsl/</t>
  </si>
  <si>
    <t>https://www.linkedin.com/company/tata-tcts</t>
  </si>
  <si>
    <t>https://www.youtube.com/@tctsl</t>
  </si>
  <si>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</si>
  <si>
    <t>2019-11-24T11:08:52.000Z</t>
  </si>
  <si>
    <t>TATA CONSULTANCY SERVICES LIMITED, FILIAL AF TATA CONSULTANCY SERVICES LTD.,INDIEN</t>
  </si>
  <si>
    <t>f875b097-bf89-11ec-a505-d94087b31ae6</t>
  </si>
  <si>
    <t>Tata Consultancy Services</t>
  </si>
  <si>
    <t>TATA SKO</t>
  </si>
  <si>
    <t>Kalvebod Brygge</t>
  </si>
  <si>
    <t>DK, Denmark, Capital Region of Denmark, Copenhagen, 1440, , , 55.67477721658986, 12.603427345391706</t>
  </si>
  <si>
    <t>TCS, a global leader in IT services, consulting, and business solutions, leverages technology for business transformation and helps catalyze change. Learn more.</t>
  </si>
  <si>
    <t>Cause every step leeds to Heaven</t>
  </si>
  <si>
    <t>Retail | Retail Art Supplies</t>
  </si>
  <si>
    <t>88 20 69 00</t>
  </si>
  <si>
    <t>http://www.tcs.com/</t>
  </si>
  <si>
    <t>https://www.facebook.com/TataConsultancyServices</t>
  </si>
  <si>
    <t>https://twitter.com/TCS</t>
  </si>
  <si>
    <t>https://www.instagram.com/tcsglobal/</t>
  </si>
  <si>
    <t>https://www.linkedin.com/company/tata-consultancy-services/</t>
  </si>
  <si>
    <t>https://www.youtube.com/user/TCSGlobal</t>
  </si>
  <si>
    <t>2022-04-19T02:36:20.000Z</t>
  </si>
  <si>
    <t>TATA CONSULTANCY SERVICES SVERIGE AB</t>
  </si>
  <si>
    <t>0fb6f630-08ac-11ee-8fff-592c90920b7e</t>
  </si>
  <si>
    <t>Tata Consultancy Services Sverige AB</t>
  </si>
  <si>
    <t>FORMBY MINI-GOLF LTD.</t>
  </si>
  <si>
    <t>Tata Consultancy Services. Sep</t>
  </si>
  <si>
    <t>111 57</t>
  </si>
  <si>
    <t>Mäster Samuelsgatan</t>
  </si>
  <si>
    <t>Sports Facility Operation | Affordable Home Ownership</t>
  </si>
  <si>
    <t>FORMBY HALL GOLF CLUB LIMITED is a Private limited company (Ltd.) company based in FORMBY HALL GOLF RESORT &amp; SPA SOUTHPORT OLD ROAD, United Kingdom, which employs 184 people.</t>
  </si>
  <si>
    <t>A great opportunity to â€¦ Oldham County, KY Homeless Shelters - Shelter Listings. Oldham County, KY list of housing resources we have uncovered: Homeless Shelters, Supportive Housing, Halfway Housing, Transitional Housing, Day Shelters, Low Income â€¦ Chi nhÃ¡nh NgÃ¢n hÃ ng Äáº§u tÆ° vÃ  PhÃ¡t triá»ƒn Viá»‡t Nam táº¡i Thanh HÃ³a. Navigate to Groups and settings &gt; All Settings &gt; Devices &amp; Users &gt; General &gt; Shared Device. Set the destination Organization Group for the device. This provides the â€¦ UF Health Shands Hospital - University of Florida Health. The World of EDC; Stages; EDC Orlando Downtown Takeover; The Headliner's Handbook; Lineup; Travel. Register with Share to Buy Jargon busting with Share to Buy: Shared Ownership Shared â€¦ Affordable home ownership â€“ Broadland and South Norfolk. FORMBY MINI-GOLF LTD is a Private limited company (Ltd.) company based in FORMBY GOLF RANGE MOSS SIDE FORMBY, United Kingdom, which employs 2 people. The company started trading on 15 May 2014. The company registration number is 09040743, It's main line of business activity is Operation of sports facilities, and the â€¦ Here Are the EDC Orlando 2021 Set Times and Schedule.</t>
  </si>
  <si>
    <t>Semi-Detached House | Home For Rent | Two Bedrooms | Property For Sale | Home &amp; House | Savings And Mortgages | Terrace | Affordable Housing | Two Bedroom Apartment | Real Estate Home</t>
  </si>
  <si>
    <t>Housing Programs</t>
  </si>
  <si>
    <t>Individual and Family Social Services (housing services except temporary shelter)</t>
  </si>
  <si>
    <t>Other social work activities without accommodation</t>
  </si>
  <si>
    <t>88.99 | 88.91</t>
  </si>
  <si>
    <t>Other social work activities without accommodation n.e.c. | Child day-care activities</t>
  </si>
  <si>
    <t>08-410 095 00</t>
  </si>
  <si>
    <t>+33756491209 | +33756491207 | +33756491208 | +447444876846 | +62351451953 | +33756490430 | +33757050129 | +33758915327</t>
  </si>
  <si>
    <t>https://www.tcs.com/se-sv</t>
  </si>
  <si>
    <t>sq</t>
  </si>
  <si>
    <t>2023-06-11T22:07:50.000Z</t>
  </si>
  <si>
    <t>TCT MOBILE INTERNATIONAL LTD.</t>
  </si>
  <si>
    <t>bfd2a03d-25a1-11ef-9c00-eb076db19bab</t>
  </si>
  <si>
    <t>China Mobile International Limited</t>
  </si>
  <si>
    <t>TCT Asia Limited</t>
  </si>
  <si>
    <t>TCT Asia</t>
  </si>
  <si>
    <t>New Territories</t>
  </si>
  <si>
    <t>Kwai Cheong Road</t>
  </si>
  <si>
    <t>HK, Hong Kong, Hong Kong, Hong Kong Island, , , , 22.2793278, 114.1628131</t>
  </si>
  <si>
    <t>Hong Kong-based mobile device company behind TCL and Alcatel branded phones and tablets.</t>
  </si>
  <si>
    <t>mobile phones; smartphones; tablets; consumer electronics; devices</t>
  </si>
  <si>
    <t>TCT Mobile entity responsible for TCL and Alcatel mobile devices internationally.</t>
  </si>
  <si>
    <t>TCT Mobile International Ltd. is part of TCL Communication and is involved in the design, marketing and distribution of mobile phones and connected devices sold under the TCL and Alcatel brands in international markets.</t>
  </si>
  <si>
    <t>Android smartphones; feature phones; tablets; operator-branded devices; consumer devices</t>
  </si>
  <si>
    <t>Mobile Devices &amp; Handsets</t>
  </si>
  <si>
    <t>Design and distribution of mobile phones and connected devices</t>
  </si>
  <si>
    <t>Manufacturing / ICT</t>
  </si>
  <si>
    <t>3975 6688</t>
  </si>
  <si>
    <t>+16145375834 | +8675523611293 | +8675523611301</t>
  </si>
  <si>
    <t>info@tct-electronics.com</t>
  </si>
  <si>
    <t>http://tct-electronics.com/</t>
  </si>
  <si>
    <t>https://www.linkedin.com/company/tctelectronic</t>
  </si>
  <si>
    <t>2024-03-22T23:12:27.857Z</t>
  </si>
  <si>
    <t>TD SYNNEX Denmark ApS</t>
  </si>
  <si>
    <t>371ded3a-050b-11ec-b7e0-8fc0efd30565</t>
  </si>
  <si>
    <t>Tech Data Denmark ApS</t>
  </si>
  <si>
    <t>Den Rullende Koks | Den Rullende Kok</t>
  </si>
  <si>
    <t>Birkerød</t>
  </si>
  <si>
    <t>Banevænget</t>
  </si>
  <si>
    <t>DK, Denmark, Central Denmark Region, Viborg, 9632, Hovedvejen, 1, 56.5856049, 9.498810899999997</t>
  </si>
  <si>
    <t>Den Rullende Koks, legally known as Den Rullende Kok v B M., is a cafeteria and dining establishment located in MÃ¸ldrup, near Viborg and Himmerland in the Central Denmark Region. The company specializes in providing home-cooked meals and catering services for events and celebrations. Known for its delicious and well-prepared dishes, Den Rullende Kok has received positive feedback from customers for its friendly service and quality food.</t>
  </si>
  <si>
    <t>Cafeteria Services | Blood Sausage with Apple Pork Tenderloin | Takeout Services | Herring and Curry Salad | Rice with Cherry Tomatoes | Marinated Duck Breast Salad | Credit Card Payment Options | Red Cabbage-green Kale and Browned Potatoes | Jams and Mustards | Catering Services | Festive Menu | Take-away Services | Dine-in Service | Plaice Fillet with Remoulade | Christmas and New Year Menus | Homemade Food | Wheelchair Accessible Entrance</t>
  </si>
  <si>
    <t>Den Rullende Kok â€“ Cafeteria og spisested i MÃ¸ldrup, nÃ¦r Viborg og Himmerland</t>
  </si>
  <si>
    <t>Den Rullende Kok er et firma, der sÃ¦tter rÃ¥varer i hÃ¸jsÃ¦de. Fisketallerken med bla. Ã¸rredroulade, rejer, havtangsalat, torsk, krebs, Ã¦ggemousse, caviart, flute mm. Dessert 3 slags is i fragilite bund-overlÃ¸dighedshorn med frisk frugt og brownies. Vi kan tilbyde mindre fest/mÃ¸delokale til ca. 40 personer her i cafeteriaet. hvor sovsen ikke bare er brun - men ogsÃ¥ smager som et lille stykke af noget himmelsk... Den Rullende Koks Cafeteria SE FESTMENU. Cafeteria og spisested i MÃ¸ldrup, nÃ¦r Viborg og Himmerland.</t>
  </si>
  <si>
    <t>Cafeteria | Live Food | Order Food | Menu Sample | Fresh Fruit</t>
  </si>
  <si>
    <t>Catering &amp; Delivery</t>
  </si>
  <si>
    <t>Eating Places (caterers)</t>
  </si>
  <si>
    <t>Restaurants (Liquor License - No Live Entertainment / Dancing) | Retail - Bakeries | Restaurants (No Liquor License) | Catering (No Liquor Serving) | Baked Goods / Pasta Manufacturing</t>
  </si>
  <si>
    <t>Event catering</t>
  </si>
  <si>
    <t>Event catering activities</t>
  </si>
  <si>
    <t>581201 | 542101 | 581101 | 740201 | 205101</t>
  </si>
  <si>
    <t>44 88 75 75</t>
  </si>
  <si>
    <t>+4520638838 | +4527659055 | +4553731112</t>
  </si>
  <si>
    <t>denrullendekok@mail.dk</t>
  </si>
  <si>
    <t>https://dk.tdsynnex.com/</t>
  </si>
  <si>
    <t>https://www.facebook.com/Den-Rullende-Koks-Cafeteria-519064494877496/</t>
  </si>
  <si>
    <t>javascript frameworks: requirejs | wordpress plugins: wpbakery | caching: wp rocket | miscellaneous: rss | maps: google maps | wordpress plugins: moove gdpr consent | cookie compliance: moove gdpr consent | photo galleries: slider revolution | cdn: cdnjs | font scripts: google font api | javascript libraries: modernizr | databases: mysql | page builders: wpbakery | authentication: facebook login | font scripts: font awesome | javascript libraries: jquery ui | web servers: apache http server | javascript frameworks: gsap | cms: wordpress | blogs: wordpress | tag managers: google tag manager | javascript libraries: jquery | widgets: slider revolution | form builders: contact form 7 | wordpress plugins: wp rocket | cdn: cloudflare | programming languages: php | javascript libraries: jquery migrate | wordpress plugins: contact form 7 | analytics: google analytics</t>
  </si>
  <si>
    <t>2021-08-24T06:46:23.000Z</t>
  </si>
  <si>
    <t>TEALIUM INC.</t>
  </si>
  <si>
    <t>e99d2a75-93e4-11eb-9937-4fab995bf8ff</t>
  </si>
  <si>
    <t>Tealium</t>
  </si>
  <si>
    <t>Torreyana Road</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</si>
  <si>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StraÃŸe, 44-48, 50.0777541, 8.6282341</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</si>
  <si>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</si>
  <si>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</si>
  <si>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</si>
  <si>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</si>
  <si>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</si>
  <si>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+815017465130 | +6566318912 | +33187167309 | +18587791344 | +61285992863 | +442081919408 | +4989208027450 | +4969222224804</t>
  </si>
  <si>
    <t>dpo@tealium.com</t>
  </si>
  <si>
    <t>dpo@tealium.com | legal@tealium.com | privacy@tealium.com</t>
  </si>
  <si>
    <t>https://tealium.com/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</si>
  <si>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</si>
  <si>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</si>
  <si>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</si>
  <si>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</si>
  <si>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</si>
  <si>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2019-11-24T00:41:27.000Z</t>
  </si>
  <si>
    <t>TEAM INTERNATIONAL SERVICES, INC.</t>
  </si>
  <si>
    <t>2d63c842-93e5-11eb-b997-8dd98d09cf25</t>
  </si>
  <si>
    <t>TEAM International</t>
  </si>
  <si>
    <t>TEAM International Services Inc.</t>
  </si>
  <si>
    <t>Lake Mary</t>
  </si>
  <si>
    <t>Townpark Avenue</t>
  </si>
  <si>
    <t>US, United States, Florida, Lake Mary, 32746, Village Oak Lane, 1145, 28.787990100000002, -81.35509585831394 | US, United States, Florida, Orlando, , , , 28.5421109, -81.3790304 | CO, Colombia, Antioquia, MedellÃ­n, 050015, , , 6.2443382, -75.573553 | CO, Colombia, Bogota\, Capital District, Bogota, , , , 4.711011, -74.0720917 | UA, Ukraine, Lviv Oblast, Lviv, , , , 49.841952, 24.0315921 | UA, Ukraine, Kyiv, Kyiv, , , , 50.4500336, 30.5241361 | MX, Mexico, Nuevo LeÃ³n, Monterrey, , , , 25.6802019, -100.315258 | AR, Argentina, Autonomous City of Buenos Aires, Buenos Aires, , , , -34.6083696, -58.4440583 | PT, Portugal, Lisbon, Lisbon, , , , 38.7077507, -9.1365919 | PL, Poland, Masovian Voivodeship, Warsaw, , , , 52.2337172, 21.071432235636493</t>
  </si>
  <si>
    <t>Unlock your business's full potential with TEAM International. Our digital transformation services include innovative technology solutions, digitalization strategy consulting, user-centric UX design, and efficient process optimization. Contact us to start leveraging transformative solutions today.</t>
  </si>
  <si>
    <t>IT services; software development; nearshore; outsourcing; consulting</t>
  </si>
  <si>
    <t>Florida-headquartered IT services and software development company.</t>
  </si>
  <si>
    <t>TEAM International Services, Inc. delivers custom software development, data and cloud services and dedicated engineering teams through nearshore delivery centres, helping clients build and modernise digital solutions.</t>
  </si>
  <si>
    <t>custom applications; cloud &amp; data; nearshore delivery; dedicated teams; IT consulting</t>
  </si>
  <si>
    <t>IT Services &amp; Software Engineering</t>
  </si>
  <si>
    <t>Custom software development and IT consulting</t>
  </si>
  <si>
    <t>Management Consultants | Information Technology Consultants | Operations Consultants | Software Developers (Custom) | Software Developers (Pre-Packaged)</t>
  </si>
  <si>
    <t>641401 | 641411 | 641403 | 891802 | 891801</t>
  </si>
  <si>
    <t>(321) 300-0087</t>
  </si>
  <si>
    <t>sales@teaminternational.com</t>
  </si>
  <si>
    <t>https://www.teaminternational.com/</t>
  </si>
  <si>
    <t>https://www.facebook.com/teamintl</t>
  </si>
  <si>
    <t>https://twitter.com/team_intl</t>
  </si>
  <si>
    <t>https://instagram.com/teamintl.global</t>
  </si>
  <si>
    <t>https://www.linkedin.com/company/team-international</t>
  </si>
  <si>
    <t>https://www.youtube.com/@teaminternationalglobal</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</si>
  <si>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</si>
  <si>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</si>
  <si>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TECH MAHINDRA (THAILAND) COMPANY LIMITED</t>
  </si>
  <si>
    <t>3a4aebf1-a7f8-11ed-9820-c3fbe67bcd68</t>
  </si>
  <si>
    <t>HCL Technologies (Thailand) Limited</t>
  </si>
  <si>
    <t>Pure Tech Thailand Company Limited</t>
  </si>
  <si>
    <t>TH, Thailand, Bangkok, , , , , 13.8245796, 100.6224463</t>
  </si>
  <si>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</si>
  <si>
    <t>Electrostatic Precipitator Smoke Trap Manufacturer | Installation Services | High-intensity Electric Field | Condensing Oils | Dust and Particulate Capture | Design Services | Drainage Outlets | Air Pollution Treatment Systems Manufacturer</t>
  </si>
  <si>
    <t>Pure Tech Thailand Company Limited is an industrial air solutions company based in Thailand.</t>
  </si>
  <si>
    <t>Electrostatic Precipitation</t>
  </si>
  <si>
    <t>3564 | 3564</t>
  </si>
  <si>
    <t>Industrial and Commercial Fans and Blowers and Air Purification Equipment (air purification equipment) | Industrial and Commercial Fans and Blowers and Air Purification Equipment (fans and blowers)</t>
  </si>
  <si>
    <t>Manufacture of other general-purpose machinery</t>
  </si>
  <si>
    <t>28.29 | 28.25</t>
  </si>
  <si>
    <t>Manufacture of other general-purpose machinery n.e.c. | Manufacture of non-domestic cooling and ventilation equipment</t>
  </si>
  <si>
    <t>+6628709184 | +66834980481</t>
  </si>
  <si>
    <t>kleanland.thai@gmail.com</t>
  </si>
  <si>
    <t>https://klean-espthailand.com/</t>
  </si>
  <si>
    <t>https://www.facebook.com/Puritek.AirpollutionControl/</t>
  </si>
  <si>
    <t>https://www.youtube.com/shorts/nfjdgjj_GHo</t>
  </si>
  <si>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</si>
  <si>
    <t>2023-01-13T15:09:18.000Z</t>
  </si>
  <si>
    <t>Tech Mahindra Ict Services (Malaysia) Sdn. Bhd.</t>
  </si>
  <si>
    <t>006c62bb-0656-11ec-a9c1-afeb74140bec</t>
  </si>
  <si>
    <t>Tech Mahindra ICT Services ( Malaysia ) SDN. BHD.</t>
  </si>
  <si>
    <t>Munchkin Childcare Centre | Munchkin Childcare | Munchkin | Munchkin Childcare Centre Cyberjaya</t>
  </si>
  <si>
    <t>Persiaran APEC</t>
  </si>
  <si>
    <t>Lot 12122</t>
  </si>
  <si>
    <t>MY, Malaysia, Selangor, Cyberjaya, 63000, Persiaran APEC, , 2.9264497, 101.65629009999999</t>
  </si>
  <si>
    <t>We offer technology consulting and digital solutions to global enterprises across industries, enabling transformative scale at unparalleled speed.</t>
  </si>
  <si>
    <t>Mental Health in Education | Peace / Harmony | Child Development Support | Child Care Providers | Home-like Environment | Safe and Hygienic Childcare Services | Field Trips | Cleanliness and Hygiene | Life Growth and Ethics | Safe and Secure Environment | Love and Care | Peace of Mind | Childcare Services | Early Childhood Education</t>
  </si>
  <si>
    <t>Childcare Centre in Cyberjaya and Aman Putra providing HYGIENIC, COMFORT and CARE to your children. A place where your children call HOME</t>
  </si>
  <si>
    <t>Children are the world's most valuable resource and its best hope for the future. Established in 2010, led and managed by a group of Super Moms, our mission is to provide a HYGIENIC, COMFORT AND CARE to your children. Don't forget to watch all ofâ€¦. Highly Focus on Cleanliness &amp; Hygiene - Our center is equipment with air purifier andâ€¦. Our vision at Munchkin Childcare Centre is to always strive to make our centre a place called HOME while nurturing the children with a lifelong learning. Parents are able to view &amp; track their children's growth development as it will be recorded in a personalised app. All learning materials are customised according to the children's age and development. At Munchkin we promote lifelong learning which is a form of self-initiated education that is focused on personal development. Munchkin strives to share and upgrade our knowledge as parents by inviting subject matter experts to share their knowledge. We always embed and surround ourselves, our educators and our children with positive vibes.</t>
  </si>
  <si>
    <t>Early Childhood Education | Parenting Education | Childcare Programs | Childhood Education | Early Intervention | Mental Health | Infant Boys | Fire Stations | Air Purifying</t>
  </si>
  <si>
    <t>Daycare Centers</t>
  </si>
  <si>
    <t>Child Day Care Services</t>
  </si>
  <si>
    <t>Day Care / Nursery / Preschool | Community / Civic / Special Interest Groups (Non-Medical) | Social / Counselling / Consulting Services | Schools - Not Otherwise Classified (incl Business Colleges) | Medical / Health Services - Not Otherwise Classified</t>
  </si>
  <si>
    <t>830101 | 864401 | 808501 | 832301 | 808001</t>
  </si>
  <si>
    <t>03-8882 8001</t>
  </si>
  <si>
    <t>munchkin.cyberjaya@gmail.com</t>
  </si>
  <si>
    <t>https://www.techmahindra.com/</t>
  </si>
  <si>
    <t>https://www.facebook.com/TechMahindra</t>
  </si>
  <si>
    <t>https://www.x.com/Tech_Mahindra</t>
  </si>
  <si>
    <t>https://www.instagram.com/techmahindra_official/</t>
  </si>
  <si>
    <t>https://www.linkedin.com/company/tech-mahindra</t>
  </si>
  <si>
    <t>https://www.youtube.com/user/techmahindra09</t>
  </si>
  <si>
    <t>web servers: litespeed | wordpress plugins: rankmath seo | seo: rankmath seo | caching: wp rocket | miscellaneous: rss | photo galleries: slider revolution | font scripts: google font api | analytics: google analytics - GA4 | miscellaneous: http/3 | databases: mysql | analytics: facebook pixel - 2.9.134 | miscellaneous: open graph | javascript libraries: core-js - 3.0.0 | javascript libraries: fancybox - 3.5.7 | javascript libraries: lightbox | javascript frameworks: gsap | javascript libraries: jquery - 3.6.0 | cms: wordpress | blogs: wordpress | widgets: slider revolution | javascript libraries: jquery migrate - 3.3.2 | wordpress plugins: wp rocket | programming languages: php</t>
  </si>
  <si>
    <t>2021-08-25T23:15:12.000Z</t>
  </si>
  <si>
    <t>Tecnotree Oyj</t>
  </si>
  <si>
    <t>bd9ea750-93e4-11eb-be5a-4f810ab55f2e</t>
  </si>
  <si>
    <t>Tecnotree Corporation | Tecnotree Oyj.</t>
  </si>
  <si>
    <t>Tecnotree</t>
  </si>
  <si>
    <t>Tekniikantie</t>
  </si>
  <si>
    <t>FI, Finland, Mainland Finland, Espoo, 02150, Tekniikantie, 14, 60.1853751, 24.812259055219776 | IN, India, Karnataka, Indiranagar, 560038, Swamy Vivekananda Road, , 12.9829621, 77.6374382 | US, United States, Texas, Plano, 75024, Windrose Avenue, 7700, 33.0819414, -96.8258952 | AR, Argentina, CÃ³rdoba, Cordoba, X5000, Avenida La Voz del Interior, 7000, -31.3336194, -64.2092796 | FI, Finland, Pirkanmaa, Tampere, 33720, InsinÃ¶Ã¶rinkatu,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</si>
  <si>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Finnish software company providing business support systems (BSS) and digital platforms for communication service providers.</t>
  </si>
  <si>
    <t>BSS; telecom software; charging; CRM; digital stack; CSP</t>
  </si>
  <si>
    <t>Espoo-based provider of BSS and digital platforms for telecom operators.</t>
  </si>
  <si>
    <t>Tecnotree Oyj is a Finland-headquartered software company delivering business support systems (BSS), including billing, charging, customer care, product catalog and digital customer lifecycle solutions for communication service providers globally.</t>
  </si>
  <si>
    <t>billing &amp; charging; CRM; order management; digital BSS; telecom monetisation</t>
  </si>
  <si>
    <t>Telecom BSS &amp; Digital Platforms</t>
  </si>
  <si>
    <t>Business support systems software for telecom operators</t>
  </si>
  <si>
    <t>Information Technology Consultants | Wholesale - Hardware / Plumbing Supplies / Electrical Supplies | Communication Equipment Installation - Commercial | Software Developers (Pre-Packaged) | Software Developers (Custom)</t>
  </si>
  <si>
    <t>641411 | 509201 | 153402 | 891801 | 891802</t>
  </si>
  <si>
    <t>09 804781</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</si>
  <si>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</si>
  <si>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</si>
  <si>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</si>
  <si>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</si>
  <si>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http://tecnotree.com/</t>
  </si>
  <si>
    <t>https://www.facebook.com/TecnotreeCorporation/</t>
  </si>
  <si>
    <t>https://twitter.com/Tecnotree</t>
  </si>
  <si>
    <t>https://www.linkedin.com/company/tecnotree-corporation</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</si>
  <si>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</si>
  <si>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</si>
  <si>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</si>
  <si>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TELECOM EQUIPMENT PTE LTD</t>
  </si>
  <si>
    <t>04a78940-19a9-11ee-aec0-a1af3c434505</t>
  </si>
  <si>
    <t>Telecom Equipment Pte Ltd</t>
  </si>
  <si>
    <t>Telecom Equipment Pte Ltd.</t>
  </si>
  <si>
    <t>Serangoon North Avenue 5</t>
  </si>
  <si>
    <t>SG, Singapore, Central, Singapore, 554915, Serangoon North Avenue 5, 1, 1.3723509999999997, 103.8674714</t>
  </si>
  <si>
    <t>Telecom Equipment Pte Ltd is a company based in Singapore that operates in the fields of computer repair services and manufacturing.</t>
  </si>
  <si>
    <t>Telecomputers | Manufacturing Services | Telecommunications Equipment Manufacturing | Computer Repair Services</t>
  </si>
  <si>
    <t>Telecom Equipment Pte Ltd. is a computer repair &amp; service company based in Singapore.</t>
  </si>
  <si>
    <t>6481 8181</t>
  </si>
  <si>
    <t>2023-07-03T13:51:33.648Z</t>
  </si>
  <si>
    <t>Telekom Malaysia Berhad</t>
  </si>
  <si>
    <t>1b0fb400-a7d5-11ed-9228-6df634a34cc8</t>
  </si>
  <si>
    <t>Telekom Malaysia UK Ltd.</t>
  </si>
  <si>
    <t>TM Global</t>
  </si>
  <si>
    <t>MY, Malaysia, Kuala Lumpur, Kuala Lumpur, 50603, Jalan Pantai Baharu, , 3.1171399, 101.66279 | HK, Hong Kong, Hong Kong, Hong Kong Island, , Hennessy Road, 303, 22.2783777, 114.17768699999999 | US, United States, Virginia, Fairfax County, 22102, Jones Branch Drive, 7925, 38.9319075, -77.2329613 | GB, United Kingdom, England, London, EC1A 2AY, Snow Hill, 6, 51.51716815, -0.10291161280887087 | US, United States, California, Danville, 94526, Railroad Avenue, 15, 37.82382523255239, -122.0035083334933 | US, United States, Nevada, Las Vegas, 89102, West Sahara Avenue, 2300, 36.1449209, -115.1738215 | SG, Singapore, Central, Singapore, 178957, , , 1.33041305, 104.40611358446014 | US, United States, California, Los Angeles, 90071, Fifth Street, 633, 34.1688407, -118.283752 | AU, Australia, New South Wales, Chatswood, 2067, Victoria Avenue, 465, -33.7968932, 151.1798797005435 | MY, Malaysia, Johor, Pasir Gudang, 81700, Jalan Sentosa 27, , 1.4973414, 103.8997701</t>
  </si>
  <si>
    <t>Telecommunications Services | Web Hosting Services | Data Centers | Data Processing Services | GPU Services | Gaming Edge | Wholesale Arm | Global IP VPN | Edge Computing | Voice Messaging | Mobile and Wireless Solutions | Connectivity Solutions | Global SD-WAN | IP Transit | Messaging Services | Edge Facilities | Final Mile Delivery | Digital Connectivity Solutions | TM Edge | International Ethernet Private Line | Wholesale Internet Services | Wireless Communication | Wholesale Telecommunications Services | Content Delivery | Data Center Solutions | Retail and Wholesaler Communication Services</t>
  </si>
  <si>
    <t>TM Global, Malaysia's leading wholesale telecommunications provider, connects global markets with a comprehensive suite of digital and connectivity solutions.</t>
  </si>
  <si>
    <t>TM Global is the wholesale business arm of Telekom Malaysia Berhad (TM) for domestic and international segments, offering a comprehensive range of wholesale communication services and solutions in connectivity and beyond.</t>
  </si>
  <si>
    <t>Mobile Wireless | Wholesale | Delivery Service | Network Coverage | Ethernet Private Lines | Consumer Forum | Targeted Advertising | Internet Service Providers | IP Transit | Hosted Solutions</t>
  </si>
  <si>
    <t>03-2240 9494</t>
  </si>
  <si>
    <t>+442070027830 | +6565326369 | +85229920190 | +17034675966 | +60133245771 | +61408885752 | +85229920570 | +971503180383 | +17034675962</t>
  </si>
  <si>
    <t>general@telekommalaysia.com.hk</t>
  </si>
  <si>
    <t>https://tmglobal.com.my/</t>
  </si>
  <si>
    <t>https://www.facebook.com/myTMgroup/</t>
  </si>
  <si>
    <t>https://twitter.com/myTMgroup</t>
  </si>
  <si>
    <t>https://www.linkedin.com/company/tmglobal</t>
  </si>
  <si>
    <t>https://www.youtube.com/c/myTMgroup</t>
  </si>
  <si>
    <t>web servers: ibm websphere application server | javascript libraries: core-js | web servers: imperva securesphere | static site generator: next.js | ui frameworks: bootstrap | advertising: linkedin ads | web servers: empathy platform | advertising: outbrain | javascript libraries: swiper | miscellaneous: webpack | security: recaptcha | widgets: css | javascript frameworks: emotion | javascript frameworks: react | ui frameworks: animate.css | cdn: cdnjs | miscellaneous: pwa | security: hsts | crm: salesforce | video players: youtube | javascript libraries: modernizr | font scripts: youtube iframe embed | advertising: doubleclick floodlight | cms: site.com | font scripts: adobe fonts | font scripts: typekit | development: emotion | marketing automation: salesforce marketing cloud account engagement | miscellaneous: open graph | network devices: html | miscellaneous: jquery easing | cdn: jsdelivr | security: imperva | web servers: schannel | javascript libraries: goober | cdn: imperva | cms: drupal | network devices: html5 | miscellaneous: facebook | analytics: linkedin insight tag | web servers: next.js | tag managers: google tag manager | miscellaneous: linkedin | analytics: google campaign manager 360 | web frameworks: next.js | javascript libraries: jquery | widgets: javascript | widgets: outbrain | javascript frameworks: next.js | cdn: cloudflare | programming languages: php | analytics: google analytics</t>
  </si>
  <si>
    <t>2021-10-01T03:34:57.000Z</t>
  </si>
  <si>
    <t>TELENOR SHARED SERVICES DENMARK A/S</t>
  </si>
  <si>
    <t>bb9fa300-93e4-11eb-a33a-a3dfba582839</t>
  </si>
  <si>
    <t>Telenor/Erhvervsbutik</t>
  </si>
  <si>
    <t>Sonofon A/S.</t>
  </si>
  <si>
    <t>Telenor | Telenor Denmark | Sonofon</t>
  </si>
  <si>
    <t>Skelagervej</t>
  </si>
  <si>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AllÃ©, 150, 55.37704849243164, 10.432012557983398 | DK, Denmark, Region Zealand, NÃ¦stved, 4700, , , ,  | DK, Denmark, Central Denmark Region, Tilst, 8381, AgerÃ¸vej, 7, 56.182395935058594, 10.104931831359863 | DK, Denmark, Central Denmark Region, Silkeborg, 8600, , , 56.1727400444009, 9.556696599794101 | DK, Denmark, North Denmark Region, Frederikshavn, 9900, Danmarksgade, 77A, 57.43849182128906, 10.535367012023926 | DK, Denmark, Capital Region of Denmark, HillerÃ¸d, 3400, Slotsarkaderne, 26, 55.928672790527344, 12.298418045043945 | DK, Denmark, Region Zealand, Greve Strand, 2670, Over BÃ¸lgen, 1, 55.59906768798828, 12.324702262878418</t>
  </si>
  <si>
    <t>Danish shared services company in the Telenor Group providing finance, HR and back-office services.</t>
  </si>
  <si>
    <t>shared services; finance operations; HR services; back office; telecom group</t>
  </si>
  <si>
    <t>Aarhus-based Telenor entity delivering shared services for the group.</t>
  </si>
  <si>
    <t>Telenor Shared Services Denmark A/S is part of the Telenor Group and provides shared services such as finance, HR, procurement and other support processes to Telenor’s Nordic and international business units.</t>
  </si>
  <si>
    <t>finance shared services; HR operations; procurement support; process optimisation; telecom support</t>
  </si>
  <si>
    <t>Shared Services &amp; Business Support</t>
  </si>
  <si>
    <t>Back-office and shared service centre operations</t>
  </si>
  <si>
    <t>Communication Equipment Installation - Commercial | Communications Equipment Manufacturing (Outside) | Communication Equipment Installation - Residential | Underground Cable / Conduit Installation | Software Developers (Custom)</t>
  </si>
  <si>
    <t>Combined office administrative service activities</t>
  </si>
  <si>
    <t>153402 | 349401 | 153401 | 173301 | 891802</t>
  </si>
  <si>
    <t>60 50 42 00</t>
  </si>
  <si>
    <t>+4523042024 | +4539900900 | +4572100100</t>
  </si>
  <si>
    <t>kundeservice@telenor.dk</t>
  </si>
  <si>
    <t>https://www.telenor.dk/find-butik/skelagervej/</t>
  </si>
  <si>
    <t>https://www.facebook.com/telenordanmark/</t>
  </si>
  <si>
    <t>https://twitter.com/telenordanmark</t>
  </si>
  <si>
    <t>https://www.linkedin.com/company/telenor-group</t>
  </si>
  <si>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</si>
  <si>
    <t>2019-11-24T12:39:52.000Z</t>
  </si>
  <si>
    <t>TELENOR ASA</t>
  </si>
  <si>
    <t>18792b00-93e5-11eb-8859-29e7c34dee35</t>
  </si>
  <si>
    <t>Telenor ASA</t>
  </si>
  <si>
    <t>Telenor ASA. | Telenor AB.</t>
  </si>
  <si>
    <t>Telenor | Telenor Group | Telenor Mobil | Telenor Nordic</t>
  </si>
  <si>
    <t>Østre Aker vei</t>
  </si>
  <si>
    <t>NO, Norway, Viken, BÃ¦rum, 1364, SnarÃ¸yveien,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</si>
  <si>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multinational telecommunications company</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</si>
  <si>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</si>
  <si>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</si>
  <si>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BÃ¦rum,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</si>
  <si>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</si>
  <si>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</si>
  <si>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</si>
  <si>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22 65 77 29</t>
  </si>
  <si>
    <t>+4793467224 | +4781077000 | +4796232017 | +923142622251 | +923127777974</t>
  </si>
  <si>
    <t>david.fidjeland@telenor.com</t>
  </si>
  <si>
    <t>webmaster@telenor.com</t>
  </si>
  <si>
    <t>david.fidjeland@telenor.com | thomas.midteide@telenor.com</t>
  </si>
  <si>
    <t>http://www.telenor.com/</t>
  </si>
  <si>
    <t>https://www.facebook.com/telenorgroup/</t>
  </si>
  <si>
    <t>https://twitter.com/telenorgroup</t>
  </si>
  <si>
    <t>https://www.instagram.com/telenor/</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</si>
  <si>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</si>
  <si>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</si>
  <si>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</si>
  <si>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TELENOR BROADCAST HOLDING AS</t>
  </si>
  <si>
    <t>342de933-93e5-11eb-9937-4fab995bf8ff</t>
  </si>
  <si>
    <t>Telenor Broadcast Holding AS</t>
  </si>
  <si>
    <t>Telenor Satellite AS | Telenor Satellite | Telenor Broadcast Holding AS</t>
  </si>
  <si>
    <t>Hakadal</t>
  </si>
  <si>
    <t>Passoppveien</t>
  </si>
  <si>
    <t>NO, Norway, Viken, BÃ¦rum, 1360, SnarÃ¸yveien, 30, 59.899669700000004, 10.629626199999997 | NO, Norway, Viken, Nittedal, 1488, Myraveien, 1, 60.1436741, 10.806244699999999 | GB, United Kingdom, England, London, WC1V 6PX, High Holborn, 90, 51.518151599999996, -0.11810009999999997</t>
  </si>
  <si>
    <t>Norwegian holding company</t>
  </si>
  <si>
    <t>broadcast; satellite; TV distribution; DTH; media services</t>
  </si>
  <si>
    <t>Oslo-based holding company for Telenor’s broadcast business.</t>
  </si>
  <si>
    <t>Telenor Broadcast Holding AS is a Norwegian company within the Telenor Group that holds interests in Telenor’s broadcast and satellite TV activities, including distribution of television and broadcasting services in the Nordics and CEE.</t>
  </si>
  <si>
    <t>satellite capacity; TV platforms; cable &amp; DTH distribution; media services; broadcasting infrastructure</t>
  </si>
  <si>
    <t>Broadcast &amp; Satellite TV</t>
  </si>
  <si>
    <t>Broadcasting and TV distribution holding activities</t>
  </si>
  <si>
    <t>Cable and Other Pay Television Services</t>
  </si>
  <si>
    <t>67 07 34 70</t>
  </si>
  <si>
    <t>+442079236500 | +4767073470</t>
  </si>
  <si>
    <t>infosatellite@telenor.com</t>
  </si>
  <si>
    <t>dataservices@spacenorway.com</t>
  </si>
  <si>
    <t>https://www.spacenorway.com/</t>
  </si>
  <si>
    <t>https://twitter.com/TelenorSat</t>
  </si>
  <si>
    <t>https://www.linkedin.com/company/telenor-satellite-broadcasting</t>
  </si>
  <si>
    <t>https://www.youtube.com/user/TelenorSatellite</t>
  </si>
  <si>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</si>
  <si>
    <t>2019-11-24T00:30:09.000Z</t>
  </si>
  <si>
    <t>Telenor Connexion AB</t>
  </si>
  <si>
    <t>060fe172-93e5-11eb-aa66-9b8d95e2171b</t>
  </si>
  <si>
    <t>Telenor Connexion</t>
  </si>
  <si>
    <t>Telenor Sverige AB.</t>
  </si>
  <si>
    <t>Telenor | Telenor Sverige | Telenor Sweden | Telenor Express</t>
  </si>
  <si>
    <t>169 51</t>
  </si>
  <si>
    <t>SE, Sweden, Stockholm County, Solna, 169 41, Garvis Carlssons Gata, 3, 59.3622224, 17.9978427 | SE, Sweden, VÃ¤stra GÃ¶taland County, Gothenburg, 417 05, , , 57.73217341382979, 11.948773782978725 | SE, Sweden, VÃ¤stra GÃ¶taland County, Gothenburg, 421 44, NÃ¤verlursgatan, 36, 57.651729583740234, 11.91097640991211 | SE, Sweden, SkÃ¥ne County, Malmo, 212 35, Amiralsgatan, , 55.57843780517578, 13.074040412902832 | SE, Sweden, Ã–stergÃ¶tland County, LinkÃ¶ping, 581 11, VÃ¤stra Svedengatan, 7, 58.43354797363281, 15.58535099029541 | SE, Sweden, VÃ¤stra GÃ¶taland County, Gothenburg, 422 46, Transportgatan, 1, 57.7587890625, 11.99346923828125 | SE, Sweden, VÃ¤stra GÃ¶taland County, BorÃ¥s, 503 37, , , 57.7192902, 12.9424869 | SE, Sweden, VÃ¤stra GÃ¶taland County, TrollhÃ¤ttans kommun, 461 70, LadugÃ¥rdsvÃ¤gen, 14, 58.313568115234375, 12.296398162841797 | SE, Sweden, VÃ¤stra GÃ¶taland County, SkÃ¶vde, 541 45, KÃ¶pmannagatan, 3, 58.4051628112793, 13.85602855682373 | SE, Sweden, Stockholm County, Stockholm, 164 53, HanstavÃ¤gen, 55F, 59.40317916870117, 17.944307327270508</t>
  </si>
  <si>
    <t>Telenor, legally known as Telenor Sverige AB., based in Gothenburg, VÃ¤stra GÃ¶taland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</si>
  <si>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</si>
  <si>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vÃ¥ra kampanjer pÃ¥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</si>
  <si>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MalmÃ¶,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</si>
  <si>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</si>
  <si>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</si>
  <si>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</si>
  <si>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08-410 338 00</t>
  </si>
  <si>
    <t>+46200114115 | +46770777010 | +46708222888 | +46774466060 | +46708222222</t>
  </si>
  <si>
    <t>personuppgifter@telenor.se</t>
  </si>
  <si>
    <t>https://iot.telenor.com/</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</si>
  <si>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</si>
  <si>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</si>
  <si>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</si>
  <si>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</si>
  <si>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</si>
  <si>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</si>
  <si>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</si>
  <si>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</si>
  <si>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2019-11-24T00:33:16.000Z</t>
  </si>
  <si>
    <t>TELENOR D.O.O. BEOGRAD</t>
  </si>
  <si>
    <t>8fff5635-4338-11ef-a037-c55803b26056</t>
  </si>
  <si>
    <t>Yettel - TC "Delta City" (Novi Beograd)</t>
  </si>
  <si>
    <t>Yettel DOO</t>
  </si>
  <si>
    <t>Yettel Bank | Yettel Bank a.d. | Mobi Banka | Telenor Banka</t>
  </si>
  <si>
    <t>RS</t>
  </si>
  <si>
    <t>Serbia</t>
  </si>
  <si>
    <t>Beograd</t>
  </si>
  <si>
    <t>Jurija Gagarina</t>
  </si>
  <si>
    <t>RS, Serbia, City of Belgrade, New Belgrade, 11070, ÐžÐ¼Ð»Ð°Ð´Ð¸Ð½ÑÐºÐ¸Ñ… Ð±Ñ€Ð¸Ð³Ð°Ð´Ð°, 88, 44.8108, 20.400172 | RS, Serbia, City of Belgrade, Belgrade, 11000, Maksima Gorkog, 19, 44.7989648, 20.476597 | RS, Serbia, City of Belgrade, Belgrade, 11000, Francuska, 37a, 44.8197804, 20.4657054 | RS, Serbia, South Backa Administrative District, Novi Sad, 21101, Ognjena Price, 11, 45.2526537, 19.836243 | RS, Serbia, City of Belgrade, Belgrade, 11000, Knez Mihailova, 24, 44.8169575, 20.4580818 | RS, Serbia, City of Belgrade, Belgrade, 11040, Vojvode Stepe, 197, 44.7739067, 20.4765656 | RS, Serbia, South Backa Administrative District, Novi Sad, 21101, Bulevar oslobodjenja, 30, 45.2598525, 19.8321837 | RS, Serbia, City of Belgrade, Belgrade, 11000, Kneza Viseslava, 63, 44.7437548, 20.4268823 | RS, Serbia, City of Belgrade, Belgrade, 11000, Ð£Ð¶Ð¸Ñ‡ÐºÐ°, 16, 44.786111000000005, 20.44848565159159 | RS, Serbia, City of Belgrade, Belgrade, 11040, Vojislava Ilica, 141, 44.7871719, 20.5034791</t>
  </si>
  <si>
    <t>Yettel je prva mobilna mreža u Srbiji. Od početka komercijalnog poslovanja, 1994. godine, poverenje nam je ukazalo više od 3 miliona zadovoljnih korisnika.</t>
  </si>
  <si>
    <t>Sending and Receiving Money | Deposit-free Deposit Service | 5+ Offers | Google Pay | Financial Services Provider | Apple Pay | Bills on Click | Mobile 1St Online Bank | First Digital Bank in Serbia | Reset Data Instructions | Transparent Products and Services | Credit Cards | Financial Technology | Instant Payment with IPS QR | Savings Accounts | Currency Exchange | Current Accounts | Exceptional Customer Experience | Tailor-made Banking Services | Live Chat</t>
  </si>
  <si>
    <t>Yettel Bank is the first real mobile and digital bank in the region, which is completely designed for you, and that's why we always strive to provide you with unique offers on the market and enable sustainable development.</t>
  </si>
  <si>
    <t>Yettel Bank, known from 2014 to 2019 as Telenor Banka and from 2019 to 2024 as Mobi Banka. is a commercial bank based in Belgrade, Serbia. It originated from the 2014 acquisition of KBC Group's subsidiary in Serbia by Telenor Serbia (subsequently renamed Yettel Serbia), one of the largest telecommunications operators in the country.</t>
  </si>
  <si>
    <t>Banks &amp; ATMs</t>
  </si>
  <si>
    <t>6029 | 6021 | 6022 | 6081</t>
  </si>
  <si>
    <t>Commercial Banks, NEC | National Commercial Banks (banking) | State Commercial Banks (commercial banking) | Branches and Agencies of Foreign Banks (branches)</t>
  </si>
  <si>
    <t>officebanka@yettelbank.rs</t>
  </si>
  <si>
    <t>banka@yettelbank.rs | zarada@yettelbank.rs | kredit@yettelbank.rs | zastitapodataka.banka@yettelbank.rs</t>
  </si>
  <si>
    <t>https://www.yettel.rs/</t>
  </si>
  <si>
    <t>https://www.facebook.com/yettelbank/</t>
  </si>
  <si>
    <t>https://twitter.com/yettelbank_rs</t>
  </si>
  <si>
    <t>https://www.instagram.com/yettelbank/</t>
  </si>
  <si>
    <t>https://www.linkedin.com/company/yettel-bank</t>
  </si>
  <si>
    <t>https://www.youtube.com/@yettelbank_rs</t>
  </si>
  <si>
    <t>analytics: matomo analytics | operating systems: centos | javascript libraries: lit-html | javascript libraries: owl carousel | analytics: facebook custom audiences | advertising: adform | maps: google maps | web servers: empathy platform | analytics: dynatrace oneagent | javascript frameworks: jquery blockui | widgets: css | ui frameworks: kendo ui | ssl/tls certificate authorities: thawte | javascript frameworks: jquery mousewheel | mobile frameworks: jquery-pjax | security: hsts | cms: site.com | font scripts: adobe fonts | javascript frameworks: pjax | widgets: facebook | javascript graphics: highcharts | font scripts: typekit | cdn: owl carousel | retargeting: facebook custom audiences | miscellaneous: open graph | captchas: recaptcha | network devices: html | miscellaneous: jquery easing | javascript libraries: jquery ui | javascript frameworks: jquery migrate | web servers: apache | seo tool: facebook friendly | rum: dynatrace rum | network devices: html5 | analytics: dynatrace | javascript frameworks: jquery ui | web server extensions: openssl | tag managers: google tag manager | javascript libraries: jquery | retargeting: facebook | widgets: javascript | javascript libraries: lit-element | programming languages: php | javascript libraries: jquery migrate | javascript frameworks: jquery | analytics: google analytics</t>
  </si>
  <si>
    <t>2024-06-22T00:26:14.000Z</t>
  </si>
  <si>
    <t>TELENOR DANMARK HOLDING A/S</t>
  </si>
  <si>
    <t>Telenor</t>
  </si>
  <si>
    <t>Fisketorvet</t>
  </si>
  <si>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</si>
  <si>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</si>
  <si>
    <t>LÃ¦s om virksomheden, ledelsen og bestyrelsen. Se vores regnskaber, mÃ¸d en medarbejder og sÃ¸g et job.</t>
  </si>
  <si>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</si>
  <si>
    <t>Internet Of Things</t>
  </si>
  <si>
    <t>60 50 40 26</t>
  </si>
  <si>
    <t>https://www.telenor.dk/find-butik/fisketorvet/?utm_source=google&amp;utm_medium=gmb&amp;utm_campaign=gmb</t>
  </si>
  <si>
    <t>TELENOR DIGITAL AS</t>
  </si>
  <si>
    <t>0e5f5346-ef74-11ee-a589-df5b398caaa4</t>
  </si>
  <si>
    <t>Telenor Towers Sweden AB.</t>
  </si>
  <si>
    <t>Telenor Towers | Telenor Towers Norway | Telenor Towers Sweden | Telenor Infra</t>
  </si>
  <si>
    <t>NO, Norway, Viken, BÃ¦rum, 1360, SnarÃ¸yveien, 30, 59.8992855, 10.6273702 | SE, Sweden, Stockholm County, Solna, 16941, Garvis Carlssons Gata, 3, 59.3622224, 17.9978427</t>
  </si>
  <si>
    <t>Trenger du mobiltelefon, mobilabonnement, TV eller raskere bredbånd? Sjekk priser på mobiler, abonnement og tjenester fra Telenor.</t>
  </si>
  <si>
    <t>digital services; identity; messaging; IoT; platforms; innovation</t>
  </si>
  <si>
    <t>Oslo-based digital services arm of Telenor Group.</t>
  </si>
  <si>
    <t>Telenor Digital AS is a Telenor Group company that develops and operates digital services and platforms, including identity and authentication, messaging, roaming and IoT-related solutions supporting Telenor’s operations and partners worldwide.</t>
  </si>
  <si>
    <t>digital identity; messaging platforms; wholesale roaming services; IoT solutions; API platforms</t>
  </si>
  <si>
    <t>Digital Telecom Services &amp; Platforms</t>
  </si>
  <si>
    <t>Digital service platforms within telecom group</t>
  </si>
  <si>
    <t>810 77 000</t>
  </si>
  <si>
    <t>+4722773000 | +4780040501</t>
  </si>
  <si>
    <t>colocation.infra@telenor.no</t>
  </si>
  <si>
    <t>https://www.telenor.no/</t>
  </si>
  <si>
    <t>https://www.facebook.com/telenornorge</t>
  </si>
  <si>
    <t>https://twitter.com/TelenorNorge</t>
  </si>
  <si>
    <t>https://www.instagram.com/telenornorge/</t>
  </si>
  <si>
    <t>https://www.linkedin.com/company/telenor-group/</t>
  </si>
  <si>
    <t>https://www.youtube.com/user/TelenorNorway</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</si>
  <si>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</si>
  <si>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2021-09-03T04:35:22.000Z</t>
  </si>
  <si>
    <t>TELENOR FIBER AS</t>
  </si>
  <si>
    <t>Fiber Bredbånd Telenor</t>
  </si>
  <si>
    <t>30D</t>
  </si>
  <si>
    <t>fibre network; broadband; wholesale; telecom infrastructure; FTTH</t>
  </si>
  <si>
    <t>Norwegian Telenor entity managing fibre infrastructure and wholesale services.</t>
  </si>
  <si>
    <t>Telenor Fiber AS is part of the Telenor Group, focusing on fibre network assets and providing wholesale fibre access to service providers and partners in Norway.</t>
  </si>
  <si>
    <t>FTTH networks; backbone fibre; wholesale access; broadband infrastructure; telecom assets</t>
  </si>
  <si>
    <t>Fibre Network &amp; Wholesale Telecom</t>
  </si>
  <si>
    <t>Fibre infrastructure management and wholesale services</t>
  </si>
  <si>
    <t>https://www.telenor.no/privat/internett/fiber/</t>
  </si>
  <si>
    <t>TELENOR GLOBAL SHARED SERVICES PAKISTAN (PRIVATE) LIMITED</t>
  </si>
  <si>
    <t>00e8ade7-ff5c-11ee-b63e-138ca891b46b</t>
  </si>
  <si>
    <t>Telenor Global Shared Services</t>
  </si>
  <si>
    <t>Telenor Tower 285</t>
  </si>
  <si>
    <t>F-8 Markaz</t>
  </si>
  <si>
    <t>PK, Pakistan, Punjab, Rajana, , , , 30.8547106, 72.57022359999999</t>
  </si>
  <si>
    <t>The Telenor Tower 285 is a telecommunications contractor based in Rajana, Punjab, Pakistan.</t>
  </si>
  <si>
    <t>Pipeline Construction | Telecommunications Contractor</t>
  </si>
  <si>
    <t>Telenor Tower 285 is a telecommunications company based in Rajana, Pakistan.</t>
  </si>
  <si>
    <t>2024-04-20T21:20:56.596Z</t>
  </si>
  <si>
    <t>TELENOR GO PTE. LTD.</t>
  </si>
  <si>
    <t>f8dd5135-0c43-11ee-b94f-ebf23e82ffaf</t>
  </si>
  <si>
    <t>Telenor Asia</t>
  </si>
  <si>
    <t>SG, Singapore, Central, Singapore, 078881, Wallich Street, 1, 1.2774089, 103.8458412</t>
  </si>
  <si>
    <t>Telenor Asia enables progress in the region with connectivity and digital services for more than 200 million customers. For over 25 years, our telecommunications companies have accelerated mobile adoption in Asia.</t>
  </si>
  <si>
    <t>telecom; digital ventures; regional hub; innovation; partnerships</t>
  </si>
  <si>
    <t>Telenor Group company in Singapore focusing on growth and digital initiatives.</t>
  </si>
  <si>
    <t>Telenor GO Pte. Ltd. is a Singapore-based company within Telenor Group set up to explore and manage regional growth, partnerships and digital initiatives in Asia.</t>
  </si>
  <si>
    <t>regional partnerships; digital ventures; telecom innovation; business development; Asia hub</t>
  </si>
  <si>
    <t>Telecom Group Regional &amp; Digital Operations</t>
  </si>
  <si>
    <t>Regional and digital initiatives for telecom group</t>
  </si>
  <si>
    <t>Communications Services, Not Elsewhere Classified</t>
  </si>
  <si>
    <t>6381 4007</t>
  </si>
  <si>
    <t>tna_dpo@telenor.com</t>
  </si>
  <si>
    <t>https://www.telenorasia.com/</t>
  </si>
  <si>
    <t>https://www.facebook.com/TelenorAsia</t>
  </si>
  <si>
    <t>https://www.linkedin.com/showcase/telenorasia/</t>
  </si>
  <si>
    <t>2023-06-16T12:08:03.000Z</t>
  </si>
  <si>
    <t>TELENOR LDI COMMUNICATIONS (PVT.) LIMITED</t>
  </si>
  <si>
    <t>02e95f1f-1cf4-11ed-9376-f7c7d0ba5a98</t>
  </si>
  <si>
    <t>Telenor Pakistan</t>
  </si>
  <si>
    <t>Telenor packages</t>
  </si>
  <si>
    <t>Markaz Road</t>
  </si>
  <si>
    <t>Telenor Packages Com PK is a company based in Lahore, Punjab, that offers a variety of internet, call, SMS, and WhatsApp packages. The company caters to both prepaid and postpaid customers, providing options for daily, weekly, and monthly subscriptions. Telenor Packages Com PK aims to offer affordable packages for students and housewives, focusing on low-budget options for WhatsApp, internet, and call services. Additionally, the company provides SIM Lagao Offers for prepaid customers, which include free internet data, WhatsApp data, and call minutes.</t>
  </si>
  <si>
    <t>Call Packages for Students and Housewives | Whatsapp Video Calls | Telecommunications Services | Free Internet Data | Internet Packages | Call Minutes</t>
  </si>
  <si>
    <t>Telenor Packages 2024 Of Internet Call Whatsapp SMS Code. Check latest Internet, Call, SMS, Whatapp Daily weekly Monthly 15 days packges</t>
  </si>
  <si>
    <t>The housewives also choose the packages to Gup Shup their friends and family members at night. So Telenor offers latest call packages for students, housewife and other persons. Telenor Also offers latest SIM Lagao Offer 2024 for Prepaid Customers.</t>
  </si>
  <si>
    <t>(042) 111 345 100</t>
  </si>
  <si>
    <t>http://www.telenor.com.pk/</t>
  </si>
  <si>
    <t>web servers: ibm websphere application server | cdn: cdnetworks dns | cdn: hostinger cdn | miscellaneous: http/3 | databases: mysql | hosting: hostinger | web servers: schannel | cms: wordpress | blogs: wordpress | programming languages: php</t>
  </si>
  <si>
    <t>2022-08-15T23:42:59.883Z</t>
  </si>
  <si>
    <t>TELENOR GLOBAL SERVICES AS</t>
  </si>
  <si>
    <t>d4d3de9b-2d28-11ed-abd0-cb4d1b9ef28b</t>
  </si>
  <si>
    <t>Telenor Pakistan Private Limited</t>
  </si>
  <si>
    <t>Telenor Linx | Telenor Linx AS | Telenor Global Services AS</t>
  </si>
  <si>
    <t>NO, Norway, Viken, BÃ¦rum, 1360, SnarÃ¸yveien, 30, 59.8992855, 10.6273702 | SG, Singapore, Central, Singapore, 078881, Wallich Street, 1, 1.2774089574813843, 103.84584045410156 | UA, Ukraine, Kherson Oblast, , , , , 46.5421715, 33.4079326 | SE, Sweden, Stockholm County, Solna kommun, 169 51, Garvis Carlssons Gata, 3, 59.36212921142578, 17.997591018676758 | RS, Serbia, Central Serbia, Belgrade, 11000, Kneginje Zorke, 96, 44.80487823486328, 20.47420310974121 | PK, Pakistan, Islamabad Capital Territory, Islamabad, 44000, , , 33.658504486083984, 73.05936431884766 | SE, Sweden, Blekinge County, Karlskrona, , , , 56.162105560302734, 15.586642265319824</t>
  </si>
  <si>
    <t>wholesale; roaming; voice; data; signalling; telecom services</t>
  </si>
  <si>
    <t>International wholesale and roaming arm of Telenor Group.</t>
  </si>
  <si>
    <t>Telenor Global Services AS manages Telenor’s international wholesale business, offering roaming, voice, messaging, data and signalling services to mobile operators and partners worldwide.</t>
  </si>
  <si>
    <t>roaming hub; wholesale voice; IPX; signalling; international interconnect; LTE roaming</t>
  </si>
  <si>
    <t>Telecom Wholesale &amp; Roaming Services</t>
  </si>
  <si>
    <t>International wholesale and roaming services</t>
  </si>
  <si>
    <t>+4781500166 | +6596343380</t>
  </si>
  <si>
    <t>tgs.plannedwork@telenor.hu</t>
  </si>
  <si>
    <t>ssl/tls certificate authorities: digicert | widgets: css | web servers: openresty | security: hsts | reverse proxies: nginx | network devices: html | widgets: javascript | web servers: nginx | web frameworks: html5</t>
  </si>
  <si>
    <t>2022-03-09T04:45:52.000Z</t>
  </si>
  <si>
    <t>Telenor Magyarorszag Zrt.</t>
  </si>
  <si>
    <t>b00e334a-bfb1-11ec-b414-e9c9ba937bb9</t>
  </si>
  <si>
    <t>Yettel Magyarország Zrt.</t>
  </si>
  <si>
    <t>Yettel MagyarorszÃ¡g Zrt. | Yettel Hungary Ltd. | Yettel Hungary Zrt.</t>
  </si>
  <si>
    <t>Yettel Hungary | Yettel MagyarorszÃ¡g | Yettel | Telenor Hungary</t>
  </si>
  <si>
    <t>HU, Hungary, Pest, TÃ¶rÃ¶kbÃ¡lint, 2045, Pannon Ãºt, 1, 47.430367399999994, 18.936347536233797 | HU, Hungary, Budapest, Budapest, 1239, , , 47.39610803929825, 19.125716774736844 | HU, Hungary, HajdÃº-Bihar, Debrecen, 4024, CsapÃ³ utca, 30, 47.532676696777344, 21.629892349243164 | HU, Hungary, VeszprÃ©m, Ajka, 8400, , , 47.104604128438666, 17.54728223401487 | HU, Hungary, Budapest, Budapest, 1087, Kerepesi Ãºt, 9, 47.498495399999996, 19.09186274759765 | HU, Hungary, Szabolcs-SzatmÃ¡r-Bereg, FehÃ©rgyarmat, 4900, ZrÃ­nyi MiklÃ³s utca, , 47.9979093, 22.5072234 | HU, Hungary, HajdÃº-Bihar, HajdÃºszoboszlÃ³, 4200, Bajcsy-Zsilinszky utca, 2-4, 47.4394095, 21.3887368 | HU, Hungary, Borsod-AbaÃºj-ZemplÃ©n, Kazincbarcika, 3700, Egressy BÃ©ni Ãºt, 1/c, 48.2462826, 20.616118 | HU, Hungary, Vas, SÃ¡rvÃ¡r, , , , 47.2517426, 16.9342165 | HU, Hungary, Budapest, Budapest, 1097, KÃ¶nyves KÃ¡lmÃ¡n kÃ¶rÃºt, 12-14, 47.47079849243164, 19.08418083190918</t>
  </si>
  <si>
    <t>Mobilok, tabletek korlátlan előfizetésekkel vagy kártyás csomagban. Telefonálj, netezz gondtalanul!</t>
  </si>
  <si>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</si>
  <si>
    <t>Mobilok, tabletek korlÃ¡tlan elÅ‘fizetÃ©sekkel vagy kÃ¡rtyÃ¡s csomagban. TelefonÃ¡lj, netezz gondtalanul !</t>
  </si>
  <si>
    <t>Yettel Hungary (formerly Telenor, Pannon and Pannon GSM) is the second largest mobile phone operator in Hungary. Yettel Hungary Ltd. was founded as Pannon GSM Telecommunications Ltd. in 1994.</t>
  </si>
  <si>
    <t>Bill Payment Options | Custom Tailored Service</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</si>
  <si>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</si>
  <si>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</si>
  <si>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Wholesale - Hardware / Plumbing Supplies / Electrical Supplies | Communication Equipment Installation - Commercial | Communication Equipment Installation - Residential | Data Processing Centres / Server Farms | Communications Equipment Manufacturing (Outside)</t>
  </si>
  <si>
    <t>6190 | 6120</t>
  </si>
  <si>
    <t>Other telecommunications activities | Wireless telecommunications activities</t>
  </si>
  <si>
    <t>61.2 | 61.9</t>
  </si>
  <si>
    <t>Wireless telecommunications activities | Other telecommunications activities</t>
  </si>
  <si>
    <t>509201 | 153402 | 153401 | 740701 | 349401</t>
  </si>
  <si>
    <t>06 20 930 4000</t>
  </si>
  <si>
    <t>+36202000000 | +36309876543 | +36707630000 | +36202020200 | +36209000782 | +3614680673 | +36209123456 | +36209876543 | +36209000749 | +3614680680 | +36204222224 | +36209400600 | +3612010580 | +36209991020 | +36709876543 | +36209304000 | +36204000904 | +36202111171</t>
  </si>
  <si>
    <t>cloudsupport@yettel.hu</t>
  </si>
  <si>
    <t>csekkbemutatas@yettel.hu | online-bekeltetes@yettel.hu</t>
  </si>
  <si>
    <t>largetopmnc@yettel.hu | kozbeszerzes@yettel.hu | cloudsupport@yettel.hu | adatvedelem@yettel.hu</t>
  </si>
  <si>
    <t>http://www.yettel.hu/</t>
  </si>
  <si>
    <t>https://www.facebook.com/yettelhungary</t>
  </si>
  <si>
    <t>https://twitter.com/yettelhungary?lang=en</t>
  </si>
  <si>
    <t>https://www.instagram.com/yettelhungary</t>
  </si>
  <si>
    <t>https://www.linkedin.com/company/yettelhungary</t>
  </si>
  <si>
    <t>https://itunes.apple.com/hu/app/telenor-wallet/id958930859?mt=8</t>
  </si>
  <si>
    <t>https://play.google.com/store/apps/details?id=com.telenor.telenormywallet&amp;hl=hu</t>
  </si>
  <si>
    <t>https://www.youtube.com/YettelHungary</t>
  </si>
  <si>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</si>
  <si>
    <t>2022-02-03T10:53:38.000Z</t>
  </si>
  <si>
    <t>TELENOR NORGE AS</t>
  </si>
  <si>
    <t>f78e0b4a-93e4-11eb-9937-4fab995bf8ff</t>
  </si>
  <si>
    <t>Telenor Norge AS | Telenor Norges | Telenor ID</t>
  </si>
  <si>
    <t>NO, Norway, Viken, BÃ¦rum, 1360, SnarÃ¸yveien, 30, 59.8992855, 10.6273702 | NO, Norway, Oslo, Oslo, 0050, Stenersgata, 1C, 59.912885, 10.752202 | NO, Norway, Viken, LillestrÃ¸m, 1467, Stasjonsveien, , 59.94552993774414, 11.007596969604492 | NO, Norway, Viken, LillestrÃ¸m, 2000, Torvet, 6, 59.95602798461914, 11.04873275756836 | NO, Norway, Viken, Ã…s,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BarstÃ¸lveien, 31, 58.17991638183594, 8.129542350769043</t>
  </si>
  <si>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</si>
  <si>
    <t>At Telenor's Broadcast and media division, we aim to deliver to our customers the best media experience wherever you are, whenever you need it.</t>
  </si>
  <si>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</si>
  <si>
    <t>Account Takeover Prevention | Account Takeover | Mobile Operators | Apps And Services | Data &amp; Protection | Security &amp; Access | User Security | Digital Safety | Apple Iphone | Broadband &amp; TV</t>
  </si>
  <si>
    <t>+4794167383 | +4757861144 | +4796232017 | +4762820600 | +4722999999</t>
  </si>
  <si>
    <t>telenor.klager@telenor.no</t>
  </si>
  <si>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</si>
  <si>
    <t>2019-11-24T02:27:45.000Z</t>
  </si>
  <si>
    <t>TELENOR PAKISTAN</t>
  </si>
  <si>
    <t>b69c114f-93e4-11eb-b4a6-27899be4e45d</t>
  </si>
  <si>
    <t>Telenor Pakistan | Telenor | Telenor pakistanpk</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</si>
  <si>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</si>
  <si>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subsidiary of Telenor</t>
  </si>
  <si>
    <t>mobile operator; GSM; 4G; prepaid; postpaid; digital services</t>
  </si>
  <si>
    <t>Islamabad-based mobile network operator under Telenor Group.</t>
  </si>
  <si>
    <t>Telenor Pakistan (Pvt) Ltd. is a Pakistani mobile telecommunications operator and a subsidiary of Telenor Group, providing voice, SMS, mobile data and digital services to consumers and businesses across Pakistan.</t>
  </si>
  <si>
    <t>GSM services; 4G data; digital apps; mobile financial services; prepaid &amp; postpaid plans</t>
  </si>
  <si>
    <t>Mobile Network Operators</t>
  </si>
  <si>
    <t>Mobile telecommunications services</t>
  </si>
  <si>
    <t>Radiotelephone Communications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</si>
  <si>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</si>
  <si>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</si>
  <si>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 | +9251111345700 | +9251111772772</t>
  </si>
  <si>
    <t>privacy@telenor.com.pk</t>
  </si>
  <si>
    <t>telenor345@telenor.com.pk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</si>
  <si>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</si>
  <si>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</si>
  <si>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</si>
  <si>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</si>
  <si>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</si>
  <si>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</si>
  <si>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TELENOR PROCUREMENT COMPANY PTE. LTD.</t>
  </si>
  <si>
    <t>Telenor Asia Pte Ltd</t>
  </si>
  <si>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</si>
  <si>
    <t>Telecommunications Services | Mobile Adoption in Asia | Digital Solutions Provider | Digital Connectivity and Services | Growth Strategies</t>
  </si>
  <si>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</si>
  <si>
    <t>Growth And Strategy | Telecommunications | Change &amp; Innovating</t>
  </si>
  <si>
    <t>6295 4400</t>
  </si>
  <si>
    <t>https://telenorasia.com/</t>
  </si>
  <si>
    <t>https://www.facebook.com/TelenorAsia/</t>
  </si>
  <si>
    <t>https://www.linkedin.com/showcase/telenorasia</t>
  </si>
  <si>
    <t>TELENOR REAL ESTATE AS</t>
  </si>
  <si>
    <t>1ac82415-93e5-11eb-be3a-7f925cb94351</t>
  </si>
  <si>
    <t>Telenor eiendom</t>
  </si>
  <si>
    <t>Telenor Expo | Telenor Corporate Events</t>
  </si>
  <si>
    <t>30B</t>
  </si>
  <si>
    <t>NO, Norway, Viken, BÃ¦rum, 1360, SnarÃ¸yveien, 30E, 59.8995933, 10.6292089</t>
  </si>
  <si>
    <t>Event Venue Services | B2B Content and Demos | Special Facilities | Coffee Shop Services | Creative Agency | Function Room Services | Conference Center | Multimedia Services | Photo Gallery Services | AI and Mixed Reality Demonstrations | Meeting Rooms | Catering Services | Restaurant Services | Event Organization Services | Innovation Center Services | TV Studio | Audiovisual Production Services</t>
  </si>
  <si>
    <t>Telenor Expo and The Hub Telenor Expo and The Hub is the conference and meeting centre for Telenor Group and residents located at the Telenor Centre at Fornebu, 10 km outside Oslo.</t>
  </si>
  <si>
    <t>Telenor Expo Multimedia is an inhouse creative "agency" and we produce special tailored multimedia material. We produce a variety of films and 3D animations. We also have a green screen TV studio which is ideal for media training, talk shows, Quiz shows, product/service demos, speeches and other recordings. We also give advice on storytelling and message. We can produce tailor made invitations, flyers, roll-ups, programmes, cards etc. We design and produce web pages and web apps for event registration and information. We also deliver mobile communication solutions to share information before, during and after events. The perfect venue for meetings and events. Telenor Expo and The Hub is the conference and meeting centres for Telenor Group and residents located at SnarÃ¸yveien 30 at Fornebu, 10 km outside Oslo. The purpose of Telenor Expo and The Hub is to be a professional conference centre for Telenor Group. Telenor Expo and The Hub offers a variety of services related to meeting and events, content and multimedia production and has a dedicated staff that will support you through your meeting, event or conference.</t>
  </si>
  <si>
    <t>Event Planner Services</t>
  </si>
  <si>
    <t>Business Services, NEC (convention and trade show services)</t>
  </si>
  <si>
    <t>Motion Picture / Television Production (incl Commercials) | Special Events - Not Otherwise Classified (Parades, Etc) | Live Entertainment Venues (Theatres / Concert Halls / Auditoriums) | Sporting Event Venues (Stadiums / Grandstands / Playing Fields) | Communication Equipment Installation - Residential</t>
  </si>
  <si>
    <t>Organization of conventions and trade shows</t>
  </si>
  <si>
    <t>Organisation of conventions and trade shows</t>
  </si>
  <si>
    <t>781101 | 792901 | 783201 | 792101 | 153401</t>
  </si>
  <si>
    <t>2019-12-05T10:59:55.000Z</t>
  </si>
  <si>
    <t>Telenor Shared Services AS</t>
  </si>
  <si>
    <t>Global Connectivity and Digitalization | Roaming Management | Accommodation Services | Global Connectivity | Telecommunications Services | Direct Carrier Billing | Sales and Engagement Increase | Preventing Fraud | Event Planning Services | Wedding Planning Services | Telco Software Flexibility | Account Security | Software Product Development | Flexible Software Solutions | Managers Messages | Voice Management</t>
  </si>
  <si>
    <t>Telenor Linx builds software products leveraging core telco assets and capabilities to enable the best digital customer experiences.</t>
  </si>
  <si>
    <t>Connecting Telcos and Digital Players to better serve subscribers in their digital life. We are a new global unit within Telenor Group. Born out of Telenor Global Services (TGS) and Telenor Digital (TD), we uniquely combine the traditional world of telecom with software flexibility. Our purpose is to enable people, telcos, and digital players to fully embrace the opportunities global connectivity and digitalization provide. Our passion is to solve problems between telcos and the digital universe by developing relevant scalable solutions. Together with our extensive partner network, we are a key enabler for telcos and digital players to explore new opportunities in connectivity and beyond. We are a group of 200 passionate experts across the world, located in Norway (HQ), Sweden, Poland, Dubai, Pakistan, Thailand and Singapore. Over 100 APIs connected and exposed through our platform, enabled by core telco capabilities. Located in nine locations across the world. We Create Value by Simplifying and Building Long Term Trusted Partnerships.</t>
  </si>
  <si>
    <t>Management Services | Analytics As A Service | Home Management Services | Wholesale Parts | Digital Customer Experience | Digitals &amp; Players | Partners And Integrations | Partner Content | Cyber Resilience | High Security</t>
  </si>
  <si>
    <t>TELENOR SOFTWARE LAB AS</t>
  </si>
  <si>
    <t>dbe2248f-aba6-11ef-b6d6-0b609ebb973a</t>
  </si>
  <si>
    <t>Telenor Software Lab AS</t>
  </si>
  <si>
    <t>Telenor Software Lab AS TSL | Telenor Software Lab</t>
  </si>
  <si>
    <t>Brattørkaia</t>
  </si>
  <si>
    <t>NO, Norway, Viken, BÃ¦rum, , , , 59.8995111, 10.6286917</t>
  </si>
  <si>
    <t>Save, see and share all your photos and videos</t>
  </si>
  <si>
    <t>Software Development and Implementation of Software | Cutting-edge Software Solutions</t>
  </si>
  <si>
    <t>Telenor Software Lab AS TSL is a paper &amp; cardboard products supplier based in BÃ¦rum, Norway.</t>
  </si>
  <si>
    <t>Paper &amp; Cardboard Products</t>
  </si>
  <si>
    <t>Containers &amp; Packaging</t>
  </si>
  <si>
    <t>Pulp &amp; Paper Products</t>
  </si>
  <si>
    <t>RR-PP</t>
  </si>
  <si>
    <t>Forestry &amp; Paper</t>
  </si>
  <si>
    <t>RR.2</t>
  </si>
  <si>
    <t>2674 | 2673 | 2679 | 2672 | 2671 | 2675 | 3497</t>
  </si>
  <si>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</si>
  <si>
    <t>1399 | 1701 | 1702 | 1709 | 2220 | 2420 | 2599</t>
  </si>
  <si>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</si>
  <si>
    <t>24.44 | 24.46 | 24.45 | 24.41 | 24.42 | 24.43 | 25.92 | 25.99 | 25.94 | 25.91 | 25.93 | 13.99 | 13.96 | 13.95 | 17.21 | 17.22 | 17.29 | 17.23 | 17.24 | 22.21 | 22.22 | 22.23 | 22.29 | 17.11 | 17.12</t>
  </si>
  <si>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buildersâ€™ ware of plastic | Manufacture of other plastic products | Manufacture of pulp | Manufacture of paper and paperboard</t>
  </si>
  <si>
    <t>privacyoffice-telenornorge@telenor.com</t>
  </si>
  <si>
    <t>http://min-sky.no/</t>
  </si>
  <si>
    <t>ssl/tls certificate authorities: aws certificate manager | widgets: css | paas: amazon web services | cdn: amazon s3 | network devices: html | network devices: html5 | cdn: amazon cloudfront</t>
  </si>
  <si>
    <t>2024-11-26T02:48:31.000Z</t>
  </si>
  <si>
    <t>TELENOR SVALBARD AS</t>
  </si>
  <si>
    <t>a8f4cc61-0ab0-11ec-b811-6124f8ab6766</t>
  </si>
  <si>
    <t>Telenor Svalbard AS</t>
  </si>
  <si>
    <t>GO-S VALBARD | Svalbard</t>
  </si>
  <si>
    <t>SJ</t>
  </si>
  <si>
    <t>Svalbard and Jan Mayen</t>
  </si>
  <si>
    <t>Svalbard</t>
  </si>
  <si>
    <t>Longyearbyen</t>
  </si>
  <si>
    <t>Vei 500</t>
  </si>
  <si>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</si>
  <si>
    <t>Svalbardportal, din veiviser for deg som vil bli kjent med Svalbard, Spitsbergen, arktis</t>
  </si>
  <si>
    <t>Svalbardportal, din veiviser for deg som vil bli kjent med Svalbard, Spitsbergen, arktis.</t>
  </si>
  <si>
    <t>Museum History | Seed Banks</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</si>
  <si>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</si>
  <si>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</si>
  <si>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79 02 27 00</t>
  </si>
  <si>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</si>
  <si>
    <t>sasve@longyearbyen.net</t>
  </si>
  <si>
    <t>https://www.go-svalbard.no/</t>
  </si>
  <si>
    <t>http://www.linkedin.com/company/bergmesteren-for-svalbard</t>
  </si>
  <si>
    <t>2021-08-31T21:36:36.000Z</t>
  </si>
  <si>
    <t>TELETEAMET A/S</t>
  </si>
  <si>
    <t>a84b4151-0da2-11ec-9b20-fda7bd57cf2c</t>
  </si>
  <si>
    <t>Teleteamet Holding A/S</t>
  </si>
  <si>
    <t>Teleteamet A/S. | Teleteamet Holding A/S.</t>
  </si>
  <si>
    <t>Holkebjergvej</t>
  </si>
  <si>
    <t>56A</t>
  </si>
  <si>
    <t>DK, Denmark, Region of Southern Denmark, Odense, 5250, Holkebjergvej, 56A, 55.360329500000006, 10.326744900000001</t>
  </si>
  <si>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</si>
  <si>
    <t>Mast Installation | Electrical Installations and Assemblies | Antenna Installation | Integrated Base Stations | Building Sites | Assembly of Structures | Telecommunication Installation Services | Transmission Link Solutions</t>
  </si>
  <si>
    <t>Vi er ogsÃ¥ kendt for vores hurtige udfÃ¸relse af store og smÃ¥ serviceopgaver.</t>
  </si>
  <si>
    <t>KVALITET LEVERET TIL TIDEN. Teleteamet leverer kvalitetsarbejde til tiden, hele Ã¥ret rundt samarbejde. Teleteamet A/S har hovedkontor i Odense pÃ¥ Fyn og et satellitkontor i Hobro i Nordjylland. Vi har montÃ¸rer fordelt i hele Danmark, der udfÃ¸rer alle former for installationsarbejde inden for Telebranchen. Vi er ogsÃ¥ kendt for vores hurtige udfÃ¸relse af store og smÃ¥ serviceopgaver. Vi har en forventning om at vÃ¦re kendt af alle i Telebranchen, som den foretrukne samarbejdspartner, for at leverer kvalitetsbevidst arbejde til tiden. Vores kompetente medarbejdere leverer de bedste lÃ¸sninger til kunden. Vi lÃ¦gger stor vÃ¦gt pÃ¥, man mÃ¸der til tiden, har Ã¸je for kvalitet og er fleksibilt. Her er plads til at vi har det sjovt, at man bliver udfordret og tager ansvar for sin dagligdag. Kvalitetsbevist og ansvarsbevist.</t>
  </si>
  <si>
    <t>Communication Equipment Installation - Commercial | Communication Equipment Installation - Residential | Communications Equipment Manufacturing (Outside) | Electrical Contractors - Residential | Electrical Contractors - Commercial (No Industrial)</t>
  </si>
  <si>
    <t>153402 | 153401 | 349401 | 173101 | 173102</t>
  </si>
  <si>
    <t>70 27 27 81</t>
  </si>
  <si>
    <t>+4525419480 | +4525419481 | +4531066956 | +4570272781</t>
  </si>
  <si>
    <t>mss@teleteamet.dk</t>
  </si>
  <si>
    <t>kontakt@teleteamet.dk</t>
  </si>
  <si>
    <t>jdk@teleteamet.dk | mss@teleteamet.dk</t>
  </si>
  <si>
    <t>http://teleteamet.dk/</t>
  </si>
  <si>
    <t>https://instagram.com/teleteamet/</t>
  </si>
  <si>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</si>
  <si>
    <t>2021-09-04T15:14:42.000Z</t>
  </si>
  <si>
    <t>Teliti Teknik Sdn Bhd</t>
  </si>
  <si>
    <t>bdf9ef01-b77a-11ed-be56-5737ab22b0ef</t>
  </si>
  <si>
    <t>TELITI TEKNIK (M) SDN BHD</t>
  </si>
  <si>
    <t>TELITI TEKNIK M SDN BHD.</t>
  </si>
  <si>
    <t>TELITI TEKNIK</t>
  </si>
  <si>
    <t>Sungai Buloh</t>
  </si>
  <si>
    <t>Jalan Nautika B U20/B</t>
  </si>
  <si>
    <t>MY, Malaysia, Selangor, Sungai Buloh, 40160, Jalan Nautika B U20/B, 1, 3.2092473, 101.57118829999999 | MY, Malaysia, Selangor, Shah Alam, 40160, Section 7 Lake, , 3.084670066833496, 101.5045394897461</t>
  </si>
  <si>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</si>
  <si>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</si>
  <si>
    <t>Horizontal Directional Drilling (HDD) - Conventional Open Trenching - Micro trenching - Pole Installation - Manhole Installation</t>
  </si>
  <si>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</si>
  <si>
    <t>03-6148 0728</t>
  </si>
  <si>
    <t>ttsb@telititeknik.com.my</t>
  </si>
  <si>
    <t>http://www.telititeknik.com.my/</t>
  </si>
  <si>
    <t>http://www.linkedin.com/company/teliti-teknik-m-sdn-bhd</t>
  </si>
  <si>
    <t>2023-02-28T13:26:52.000Z</t>
  </si>
  <si>
    <t>Textilia Group A/S</t>
  </si>
  <si>
    <t>82f1b671-106e-11ee-96a3-3bc9ea359402</t>
  </si>
  <si>
    <t>Textilia Group A/S.</t>
  </si>
  <si>
    <t>Textilia | Textilia Danmark | Textilia Group</t>
  </si>
  <si>
    <t>Smørum</t>
  </si>
  <si>
    <t>Kongebakken</t>
  </si>
  <si>
    <t>DK, Denmark, Region of Southern Denmark, Kolding, 6000, Jernet, 29, 55.4671568, 9.483884900000001 | DK, Denmark, Capital Region of Denmark, Ballerup, 2740, Meterbuen, 35, 55.721308, 12.416691 | DK, Denmark, Region Zealand, Roskilde, 4000, SÃ¸ndre Ringvej, 18, 55.631281, 12.079352 | DK, Denmark, Region Zealand, Maribo, 4930, Maglemervej, 48, 54.783047, 11.501276 | DK, Denmark, Region of Southern Denmark, Vejen, 6600, Vestergade, 10, 55.476748, 9.131153 | DK, Denmark, Region of Southern Denmark, Vejle, 7100, Lille Grundet Hulvej, 10, 55.716711, 9.543824 | DK, Denmark, Region Zealand, Stevns Municipality, 4660, BjÃ¦lkerupvej, 35B, 55.31778, 12.382652 | DK, Denmark, Capital Region of Denmark, Kongens Lyngby, 2800, NÃ¸rgaardsvej, 24, 55.770465, 12.510468 | DK, Denmark, Central Denmark Region, Herning, 7400, NÃ¸rre Lindvej, 34, 56.113564, 8.968409 | DK, Denmark, Capital Region of Denmark, SmÃ¸rumnedre, 2765, Kongebakken, 1, 55.750381, 12.299277</t>
  </si>
  <si>
    <t>Textilia Group A/S Kolding is a company based in Kolding, Denmark, operating within the laundry service industry.</t>
  </si>
  <si>
    <t>Laundry and Dry Cleaning Services | Linenvelopes | Laundry Service | Laundering Cabinets | Rental Services | Clothing Stores | Environmental Services | Reflecting with Checks | Workwear &amp; Healthcare | Safety Shoe | Washroom Products | Industry | Wellness Solutions | Certified Laundry Services | Linen Services | Hand Wiping Machines | Linen for Clinics | Linings | Water Dispenser Series | ISO 14001 Environmental Certification | Waistcoats and Kitchen Towels | Wheelchair Accessible Parking Lot | Total Textile Solution | Textile Rental Services | Bed Linens and Duvets | Tablecloths &amp; Napkins</t>
  </si>
  <si>
    <t>Servicevirksomhed med fokus pÃ¥, at udvikle konkurrencedygtige og vÃ¦rdiskabende totallÃ¸sninger via rÃ¥dgivning og samarbejder partnere.</t>
  </si>
  <si>
    <t>Som markedsledende servicevirksomhed inden for tekstil totallÃ¸sninger, stÃ¸tter vi jer med specialiseret rÃ¥dgivning, innovative lÃ¸sninger og pÃ¥lidelig service. Med os som leverandÃ¸r har I mulighed for at samle en lang rÃ¦kke serviceydelser Ã©t sted. I fÃ¥r en samarbejdspartner med stor specialviden om de behov, den sikkerhed og de krav, forskellige brancher stiller. Vi skrÃ¦ddersyr en lÃ¸sning nÃ¸jagtig til jeres behov, hvor I fÃ¥r det prÃ¦cist, som I Ã¸nsker. Som total tekstilleverandÃ¸r tilbyder vi fÃ¸lgende serviceydelser:â€¢ BeklÃ¦dning og skoâ€¢ Linnedâ€¢ DÃ¦kketÃ¸jâ€¢ MÃ¥tterâ€¢ Hygiejneâ€¢ VÃ¦rnemidlerâ€¢ BeklÃ¦dningsskabe â€¢ TexMaticâ€¢ Viima RengÃ¸ringssystem
MILJÃ˜HENSYN MED HOLDNING118 millioner stykker vasketÃ¸j cirkulerer Ã¥rligt gennem vores vaskerier, og vi har en million leverancer i Danmark pr. Ã¥r. Vask og logistik er i sagens natur miljÃ¸belastende, og derfor bÃ¦rer vi hos Texilia et sÃ¦rligt ansvar. Der er bÃ¥de holdning og handling bag miljÃ¸hensyn, og vores forretningsgrundlag bygger pÃ¥ genbrug af tekstiler. Vi tager ansvaret meget seriÃ¸st, og undersÃ¸ger hele tiden nye veje for forbedringer. For hvert Ã¥r falder vores energiforbrug pÃ¥ trods af Ã¸get produktion, fordi vi optimerer pÃ¥ vand- og energiforbrug samt logistik. Alle vores afdelinger er miljÃ¸certificerede efter ISO 14001.</t>
  </si>
  <si>
    <t>Apparel And Footwear | Delivery &amp; Pickup | Hotel Restaurants</t>
  </si>
  <si>
    <t>Dry Cleaners</t>
  </si>
  <si>
    <t>7219 | 7213</t>
  </si>
  <si>
    <t>Laundry and Garment Services, NEC (diaper service) | Linen Supply</t>
  </si>
  <si>
    <t>Washing and (dry-) cleaning of textile and fur products</t>
  </si>
  <si>
    <t>Washing and (dry-)cleaning of textile and fur products</t>
  </si>
  <si>
    <t>70 10 16 68</t>
  </si>
  <si>
    <t>+4575360688 | +4581637628 | +4554781488 | +4535457887 | +4535457879 | +4539750210 | +4556950009 | +4570334335 | +4586980396 | +4545884711 | +4539621011 | +4556502480 | +4570101668 | +4554760500 | +4544223342 | +4531040280 | +4570101666 | +4544220707 | +4544915611 | +4566158125 | +4598157388 | +4544225560 | +4556560636</t>
  </si>
  <si>
    <t>crmar@dfd.dk</t>
  </si>
  <si>
    <t>hr@textilia.dk | info@textilia.dk</t>
  </si>
  <si>
    <t>maribo@textilia.dk | bornholm@textilia.dk | crmar@textilia.dk | vaskeservice@textilia.dk | aalborg@textilia.dk | vejen@textilia.dk | koege@textilia.dk | hellerup@textilia.dk | vejle@textilia.dk | hadsten@textilia.dk | lyngby@textilia.dk | sthed@textilia.dk | skovlunde@textilia.dk | odense@textilia.dk | herning@textilia.dk | kolding@textilia.dk</t>
  </si>
  <si>
    <t>http://textilia.dk/</t>
  </si>
  <si>
    <t>https://www.facebook.com/TextiliaDanmark/</t>
  </si>
  <si>
    <t>https://www.instagram.com/textilia.dk/</t>
  </si>
  <si>
    <t>https://www.linkedin.com/company/textilia-danmark</t>
  </si>
  <si>
    <t>https://www.youtube.com/user/DFDVASK</t>
  </si>
  <si>
    <t>web servers: litespeed | analytics: hotjar | miscellaneous: rss | ui frameworks: bootstrap | web frameworks: bootstrap | javascript frameworks: knockout.js | widgets: css | web frameworks: microsoft asp.net | cms: microsoft sharepoint | security: hsts | reverse proxies: nginx | miscellaneous: http/3 | video players: youtube | databases: mysql | issue trackers: really simple discovery | cms: site.com | network devices: html | font scripts: font awesome | operating systems: windows server | network devices: html5 | cms: wordpress | blogs: wordpress | web servers: iis | tag managers: google tag manager | javascript libraries: jquery | widgets: javascript | font scripts: twitter emoji (twemoji) | web servers: nginx | programming languages: php | javascript frameworks: jquery | analytics: google analytics</t>
  </si>
  <si>
    <t>2021-10-01T13:17:21.000Z</t>
  </si>
  <si>
    <t>Thailife Insurance Public Company Limited</t>
  </si>
  <si>
    <t>22d880ae-93e5-11eb-8e19-198fb02d6f96</t>
  </si>
  <si>
    <t>Thai Life Insurance Public Company Limited - Head Office</t>
  </si>
  <si>
    <t>Thai Life Insurance | Thai Life</t>
  </si>
  <si>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</si>
  <si>
    <t>บริษัทไทยประกันชีวิต ผู้ให้บริการประกันชีวิต ประกันภัย ประกันสุขภาพ ประกันอุบัติเหตุ แผนประกันชีวิตแบบสะสมทรัพย์ เชิญดูแผนประกันชีวิตที่น่าสนใจ | Thailife.com</t>
  </si>
  <si>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</si>
  <si>
    <t>Thai Life Insurance Plc is first life insurance Company built by Thai people intended to provide financial security and stability for Thai families which was established over 75 years ago.</t>
  </si>
  <si>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</si>
  <si>
    <t>Other Direct Insurance (except Life, Health, and Medical) Carriers</t>
  </si>
  <si>
    <t>Insurance Companies | Insurance Agents / Brokers / Adjusters | Inspection Services - Not Otherwise Classified | Insurance Inspection Services | Financial Planners / Advisors</t>
  </si>
  <si>
    <t>631001 | 641201 | 891702 | 891701 | 641501</t>
  </si>
  <si>
    <t>02 247 0247</t>
  </si>
  <si>
    <t>+6675536096 | +6655643062 | +6644259261 | +6642353510 | +6643291307 | +6623122999 | +6622470247</t>
  </si>
  <si>
    <t>investor.relations@thailife.com</t>
  </si>
  <si>
    <t>dpo@thailife.com | investor.relations@thailife.com</t>
  </si>
  <si>
    <t>masscomm@thailife.com</t>
  </si>
  <si>
    <t>https://www.thailife.com/</t>
  </si>
  <si>
    <t>https://www.facebook.com/thailifepage/</t>
  </si>
  <si>
    <t>https://twitter.com/ThaiLifePlc</t>
  </si>
  <si>
    <t>https://www.instagram.com/thailifeinsurance/</t>
  </si>
  <si>
    <t>https://www.linkedin.com/company/thailifeinsurance</t>
  </si>
  <si>
    <t>https://apps.apple.com/th/app/thai-life-insurance/id1515648617?mt=8</t>
  </si>
  <si>
    <t>https://play.google.com/store/apps/details?id=com.thailife.superappprod&amp;hl=en</t>
  </si>
  <si>
    <t>https://www.youtube.com/user/thailifechannel</t>
  </si>
  <si>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</si>
  <si>
    <t>2019-11-23T23:16:25.000Z</t>
  </si>
  <si>
    <t>SETEC CARD A/S</t>
  </si>
  <si>
    <t>01c5112c-003d-11ec-898f-a3255f04c287</t>
  </si>
  <si>
    <t>Technical Education Copenhagen - Ballerup</t>
  </si>
  <si>
    <t>SETEC</t>
  </si>
  <si>
    <t>Guldblommevej</t>
  </si>
  <si>
    <t>AT, Austria, Styria, Kindberg, 8644, Grazer StraÃŸe, 41, 47.48183050000001, 15.3905001</t>
  </si>
  <si>
    <t>Tag hånd om din fremtid, og vælg en uddannelse, der virkelig giver mening. På TEC kommer du tættere på virkeligheden – og lærer at løse fremtidens udfordringer ved at prøve teorien af i praksis.</t>
  </si>
  <si>
    <t>Renewable Energy Solutions | New Construction | Professional Renovations | New Generation Efficient Buildings | Photovoltaic  Systems | Electrical Engineering Solutions | E-certification | Photovoltaic Solar Panels Installation | Maintenance Services | Customized Electrical Solutions</t>
  </si>
  <si>
    <t>Entdecken Sie mit X-GmbH die Zukunft der Energie: maÃŸgeschneiderte Photovoltaik-LÃ¶sungen, effiziente Neubauten und professionelle Sanierung. Werden Sie Teil unserer zufriedenen Kunden.</t>
  </si>
  <si>
    <t>Von der ersten Beratung Ã¼ber die detaillierte Planung bis hin zur professionellen Installation â€“ SETEC ist Ihr Partner fÃ¼r eine effiziente und nachhaltige Energiezukunft. SETEC sorgt fÃ¼r moderne, normgerechte und sichere Elektroinstallationen. Verwirklichen Sie Ihr Neubauprojekt mit SETEC. Wir bieten umfassende Elektrotechnik-Dienstleistungen von der Planung bis zur AusfÃ¼hrung. Move leftâ†’Move rightâ†‘Move upâ†“Move down+Zoom in-Zoom outHomeJump left by 75%EndJump right by 75%Page UpJump up by 75%Page DownJump down by 75%To navigate, press the arrow keys.</t>
  </si>
  <si>
    <t>The Future Of Energy | Electrical Engineering Services</t>
  </si>
  <si>
    <t>Solar Energy Company</t>
  </si>
  <si>
    <t>38 17 70 00</t>
  </si>
  <si>
    <t>+43386528913 | +4366488228429</t>
  </si>
  <si>
    <t>s.sattler@setec-gmbh.at</t>
  </si>
  <si>
    <t xml:space="preserve"> tec@tec.dk</t>
  </si>
  <si>
    <t>https://www.tec.dk/</t>
  </si>
  <si>
    <t>https://facebook.com/TECDK</t>
  </si>
  <si>
    <t>https://www.instagram.com/tec_dk/</t>
  </si>
  <si>
    <t>https://www.linkedin.com/company/tec-technical-education-copenhagen/</t>
  </si>
  <si>
    <t>https://www.youtube.com/@TECskole</t>
  </si>
  <si>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</si>
  <si>
    <t>2021-08-18T14:46:28.000Z</t>
  </si>
  <si>
    <t>GEMALTO NORGE AS</t>
  </si>
  <si>
    <t>88ebf1ce-3a02-11ee-94b5-fd90c5a93d00</t>
  </si>
  <si>
    <t>Hoffsveien</t>
  </si>
  <si>
    <t>70C</t>
  </si>
  <si>
    <t>NO, Norway, Oslo, Oslo, 0377, Hoffsveien, 70C, 59.9339422, 10.676178900000002</t>
  </si>
  <si>
    <t>This account has moved to show our place at the heart of Thales Group. Follow Thales Group for news and insights from the company who people rely on to make ...</t>
  </si>
  <si>
    <t>Corporate Offices | IT Services | 541511 - Custom Computer Programming Services</t>
  </si>
  <si>
    <t>Other Computer Peripheral Equipment Manufacturing</t>
  </si>
  <si>
    <t>Semiconductor and Related Device Manufacturing</t>
  </si>
  <si>
    <t>Digital Security</t>
  </si>
  <si>
    <t>Electronic Components</t>
  </si>
  <si>
    <t>Computer Peripheral Equipment</t>
  </si>
  <si>
    <t>Manufacture of magnetic and optical media</t>
  </si>
  <si>
    <t>Manufacture of magnetic/optical media</t>
  </si>
  <si>
    <t>22 41 77 70</t>
  </si>
  <si>
    <t>http://www.youtube.com/user/gemaltovideos</t>
  </si>
  <si>
    <t>https://www.youtube.com/about/</t>
  </si>
  <si>
    <t>2023-08-13T17:54:06.499Z</t>
  </si>
  <si>
    <t>Thales DIS Sweden AB</t>
  </si>
  <si>
    <t>e8e0b291-0646-11ec-b316-c9464638b67c</t>
  </si>
  <si>
    <t>Thales Sverige AB</t>
  </si>
  <si>
    <t>THALES FILM &amp; TEATER</t>
  </si>
  <si>
    <t>Älvsjö</t>
  </si>
  <si>
    <t>125 45</t>
  </si>
  <si>
    <t>Glasfibergatan</t>
  </si>
  <si>
    <t>SE, Sweden, SkÃ¥ne County, Simrishamn, 272 31, , , 55.566667, 14.3</t>
  </si>
  <si>
    <t>Theater Production Services | Film Production Services</t>
  </si>
  <si>
    <t>THALES FILM &amp; TEATER is a radio &amp; television production company based in Simrishamn, Sweden.</t>
  </si>
  <si>
    <t>Radio &amp; Television Production</t>
  </si>
  <si>
    <t>Services Allied to Motion Picture Production (teleproduction and postproduction services)</t>
  </si>
  <si>
    <t>Motion picture, video and television programme post-production activities</t>
  </si>
  <si>
    <t>08-517 957 00</t>
  </si>
  <si>
    <t>boelmarie.larsson@thales.se</t>
  </si>
  <si>
    <t>http://www.thalesgroup.com/</t>
  </si>
  <si>
    <t>http://www.linkedin.com/company/thales-film-&amp;-teater</t>
  </si>
  <si>
    <t>https://www.youtube.com/playlist?list=PL1732A97DA87E0B4D</t>
  </si>
  <si>
    <t>miscellaneous: x | miscellaneous: whatsapp | network devices: html | network devices: html5 | web servers: apache http server | miscellaneous: facebook | caching: varnish | miscellaneous: linkedin | miscellaneous: instagram</t>
  </si>
  <si>
    <t>2021-08-25T21:34:36.000Z</t>
  </si>
  <si>
    <t>TIETOEVRY NORWAY AS</t>
  </si>
  <si>
    <t>8dfb5f3d-93e4-11eb-a33a-a3dfba582839</t>
  </si>
  <si>
    <t>Tietoevry Norway AS</t>
  </si>
  <si>
    <t>Negotia | NEGOTIA EVRY | Negotia Tietoevry</t>
  </si>
  <si>
    <t>NO, Norway, Viken, BÃ¦rum, 1360, SnarÃ¸yveien, 30A, 59.900085, 10.627102</t>
  </si>
  <si>
    <t>Tietoevry skaper meningsfull teknologi. Med våre nordiske røtter og globale kapasitet bidrar vi til å gjøre verden bedre.</t>
  </si>
  <si>
    <t>Committees Participation in Elections | Networking Services | Bowling Events | Digital Self-determination Services | Cybersecurity Services | Information Services | Annual General Meeting | Event Organization Services | Easter Quiz</t>
  </si>
  <si>
    <t>Det vil ogsÃ¥ bli bespisning pÃ¥ arrangementet slik at vi ber om bindende pÃ¥melding for riktig bestilling av plasser.</t>
  </si>
  <si>
    <t>23 14 50 00</t>
  </si>
  <si>
    <t>negotia@tietoevry.com</t>
  </si>
  <si>
    <t>https://www.tietoevry.com/no</t>
  </si>
  <si>
    <t>https://www.facebook.com/Tietoevryno</t>
  </si>
  <si>
    <t>https://www.instagram.com/tietoevryno/</t>
  </si>
  <si>
    <t>https://www.linkedin.com/company/tietoevry/</t>
  </si>
  <si>
    <t>https://www.youtube.com/c/Tietoevry</t>
  </si>
  <si>
    <t>javascript frameworks: mootools | ui frameworks: bootstrap | web frameworks: bootstrap | javascript frameworks: jquery migrate | web servers: apache | javascript libraries: jquery | programming languages: php | javascript libraries: jquery migrate | cms: joomla | javascript frameworks: jquery</t>
  </si>
  <si>
    <t>2020-06-08T11:53:16.000Z</t>
  </si>
  <si>
    <t>TIETOEVRY TECH SERVICES NORWAY AS</t>
  </si>
  <si>
    <t>TINEX GROUP AS</t>
  </si>
  <si>
    <t>e8cae664-93e4-11eb-b89f-536884b3e7dd</t>
  </si>
  <si>
    <t>TINEX Group AS</t>
  </si>
  <si>
    <t>TINEX Group AS | TINEX Group</t>
  </si>
  <si>
    <t>Verkseier Furulunds Vei</t>
  </si>
  <si>
    <t>NO, Norway, Oslo, Oslo, 0668, Verkseier Furulunds vei, 1, 59.927366, 10.85129</t>
  </si>
  <si>
    <t>TINEX Group AS er leverandør av kommunikasjonsteknologi. Ericsson, Telegärtner, Kathrein, Rosenberger, Alpha Wireless, Huber + Suhner, PrecisionWave, ESB Sitemas, Rosenberger.</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</si>
  <si>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</si>
  <si>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leverandÃ¸r av kommunikasjonsteknologi. Ericsson, TelegÃ¤rtner,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</si>
  <si>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â€“ be it platforms, equipment or services or on site.</t>
  </si>
  <si>
    <t>Defence &amp; Security | Design &amp; Development | Sales And Marketing | Holding Company</t>
  </si>
  <si>
    <t>40 43 44 40</t>
  </si>
  <si>
    <t>+4740434440 | +4797113797</t>
  </si>
  <si>
    <t>mail@tinexgroup.no</t>
  </si>
  <si>
    <t>christian@tinexgroup.no</t>
  </si>
  <si>
    <t>http://www.tinexgroup.no/</t>
  </si>
  <si>
    <t>https://www.facebook.com/tinexgroup/</t>
  </si>
  <si>
    <t>https://twitter.com/TINEX_Group_AS</t>
  </si>
  <si>
    <t>https://www.instagram.com/tinexgroup/</t>
  </si>
  <si>
    <t>https://www.linkedin.com/company/tinex-holding-as/?viewAsMember=true</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</si>
  <si>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</si>
  <si>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</si>
  <si>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Tm Technology Services Sdn. Bhd.</t>
  </si>
  <si>
    <t>2480f9f2-f612-11ed-ba6b-2fa5b25b3bfc</t>
  </si>
  <si>
    <t>TM Management Services | TM Management</t>
  </si>
  <si>
    <t>MY, Malaysia, Kuala Lumpur, Kuala Lumpur, 55100, Jalan Bukit Bintang, 203, 3.1479041000000003, 101.71505830000001</t>
  </si>
  <si>
    <t>Tmmgtservices, based in Kuala Lumpur, provides a range of professional services including company secretarial services, bookkeeping, sales and service tax submission, and financial advisory. The company specializes in offering administrative support to small and medium-sized businesses, ensuring accurate record-keeping, timely tax compliance, and effective corporate governance. Their services extend to company structure setup, statutory record maintenance, and the preparation of full sets of accounts for audit purposes. Additionally, Tmmgtservices assists with payroll computation, payslip preparation, and contributions to statutory bodies such as the Employees Provident Fund (Epf), Social Security Organization (Socso), and Employment Insurance System (Eis).</t>
  </si>
  <si>
    <t>Invoice and Sales Tax Filing | Advisory Services | Filing of Returns to Relevant Authorities | Provision of Registered Office | Management Consulting Services | Compliance Requirements and Corporate Governance Advisory | Minutes for Board and Shareholders Meetings | Secretarial Services | Company Structure Setup Services | Financial Information Analysis | Performance Improvement | Bookkeeping Services | Gst Return Filing | Registration Services | Customized Management Accounts | Maintenance of Statutory Records</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</si>
  <si>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t>
  </si>
  <si>
    <t>Apart from company registration services, we also provide advisory services on compliance requirements and corporate governance; maintenance of statutory records; filing of returns to the relevant authorities; attendance and preparation of minutes for directors and shareholders' meetings; appointment of directors; provision of registered office. We are qualified professionals to serve as company secretaries under the Companies Act of 2016. The HR and payroll services we provide:- computation of the company's payroll (i.e. monthly salary, allowances, and incentives). To arrange the remittance of salary, allowances, and incentives to respective employees of the company based on an agreed timeline. Invest your time and efforts on running your business. Our team offers accounting, documentation, and bookkeeping services to small or medium-sized companies in Kuala Lumpur, Selangor, and beyond, whether they are newly set up companies, existing ones, or backlogged accounting. With our Company Structure Setup Service in KL, we have years of experience in getting through with the smooth implementation and setup of a near-perfect company structure and also provide accounting structure setup services to small and medium-sized companies throughout Kuala Lumpur and Selangor.</t>
  </si>
  <si>
    <t>Managed Servers | Company Secretary Services | Book Keeping Service | Financial Advisory | Services Tax | Hr &amp; Payroll Services | Employees Provident Fund | Management &amp; Accounting | Company Registration Service | Appointment Of Director</t>
  </si>
  <si>
    <t>+60133251508 | +60321499362</t>
  </si>
  <si>
    <t>emilykok@tmmgtservices.com.my</t>
  </si>
  <si>
    <t>admin@tmmgtservices.com.my</t>
  </si>
  <si>
    <t>https://tmmgtservices.com.my/</t>
  </si>
  <si>
    <t>https://www.facebook.com/tmmgtservices/</t>
  </si>
  <si>
    <t>web servers: litespeed | javascript libraries: lodash | wordpress themes: astra | miscellaneous: rss | web servers: empathy platform | performance: priority hints | ecommerce: woocommerce | miscellaneous: webpack | wordpress plugins: elementor | javascript frameworks: jquery blockui | font scripts: google font api | miscellaneous: http/3 | databases: mysql | miscellaneous: module federation | issue trackers: really simple discovery | cms: site.com | reverse proxies: nunjucks | network devices: html | miscellaneous: jquery easing | javascript libraries: jquery ui | wordpress plugins: jetpack | javascript libraries: imagesloaded | wordpress plugins: woocommerce | cms: wordpress | blogs: wordpress | form builders: wpforms | web frameworks: jquery waypoints | javascript libraries: jquery | wordpress plugins: wpforms | programming languages: php | javascript libraries: jquery migrate | page builders: elementor</t>
  </si>
  <si>
    <t>2023-04-28T23:35:16.766Z</t>
  </si>
  <si>
    <t>Tongyu Communication Inc.</t>
  </si>
  <si>
    <t>b41391a2-93e4-11eb-97db-273ba5953680</t>
  </si>
  <si>
    <t>Tongyu Technology Co.,Ltd.</t>
  </si>
  <si>
    <t>Tongyu Communication Equipment Co. Ltd. | Guangdong Tongyu Communications Co. Ltd.</t>
  </si>
  <si>
    <t>Tongyu communication</t>
  </si>
  <si>
    <t>3</t>
  </si>
  <si>
    <t>金通街</t>
  </si>
  <si>
    <t>3号</t>
  </si>
  <si>
    <t>CN, China, Guangdong Province, Zhongshan, 528437, , , 22.62411, 113.52828 | CN, China, Shanghai, Shanghai, 201101, , , ,  | CN, China, Shanghai, Qibao, 201101, , , 31.150985571428574, 121.35535751428571</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</si>
  <si>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</si>
  <si>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</si>
  <si>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</si>
  <si>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</si>
  <si>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3679 | 3671</t>
  </si>
  <si>
    <t>Electronic Components, NEC (other electronic components) | Electron Tubes</t>
  </si>
  <si>
    <t>0760 8531 8111</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</si>
  <si>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</si>
  <si>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</si>
  <si>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</si>
  <si>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</si>
  <si>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</si>
  <si>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</si>
  <si>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2020-02-25T21:05:37.000Z</t>
  </si>
  <si>
    <t>Tp Link International Ltd.</t>
  </si>
  <si>
    <t>0ab4d876-93e5-11eb-919a-b3f9a5ad205c</t>
  </si>
  <si>
    <t>TP-Link Corporation Limited</t>
  </si>
  <si>
    <t>Shun Hing Life &amp; Beauty Co. Ltd.</t>
  </si>
  <si>
    <t>SIXPAD HK</t>
  </si>
  <si>
    <t>Science Museum Road</t>
  </si>
  <si>
    <t>HK, Hong Kong, Hong Kong, Kowloon, 999077, Science Museum Road, 9, 22.301357, 114.1786825 | MO, Macao, Macao, Macau, 519000, æ…•æ‹‰å£«å¤§é¦¬è·¯ Avenida de Venceslau de Morais, 193-199, 22.2062707, 113.55357523387696 | HK, Hong Kong, Hong Kong, Kwai Chung, , , , ,</t>
  </si>
  <si>
    <t>TP-Link is the world's #1 provider of consumer WiFi networking devices, shipping products to over 170 countries and hundreds of millions of customers.</t>
  </si>
  <si>
    <t>Lifestyle Products | Well-being Enhancement | Personal Flair Enhancement | Training Experiences | United BEAUTY Concept | Brand Development</t>
  </si>
  <si>
    <t>Find out more about products including ReFa, SIXPAD, Style and other brands and discover new possibilities of beauty and fitness. Go beyond the frame, find out the best skincare and training experiences.</t>
  </si>
  <si>
    <t>About Shun Hing Life and Beauty Co., Ltd. (SHLAB). Founded in 2013, SHLAB, member of Shun Hing Group, specializes in delivering premium innovative products that enhance personal flair and well-being to discerning customers. Bolstered by Shun Hing Group's extensive experience in collaborating with business partners and stakeholders and also meeting the demands of our valued customers over the years, SHLAB has been appointed by MTG Co., Ltd., a renowned brand development company in Japan, as their sole agent in Hong Kong and Macau. Rapid growth and development in the realm of lifestyle products affirms SHLAB's diversification strategy. The concept of UNITED BEAUTY radically redefines beauty. SHLAB is proud to have introduced premium brands, such as ReFa, MDNA SKIN, SIXPAD, Style and PAO, to our valued customers in Hong Kong and Macau. Find out more about products including ReFa, SIXPAD, Style and other brands and discover new possibilities of beauty and fitness. Go beyond the frame, find out the best skincare and training experiences.</t>
  </si>
  <si>
    <t>Training Experiences | Training Suite | Styling Chair | Hair Care</t>
  </si>
  <si>
    <t>5142 | 5961 | 5999 | 5087 | 5421 | 5122 | 5411 | 5431 | 5961 | 5961 | 5963</t>
  </si>
  <si>
    <t>Packaged Frozen Foods (frozen food sold via retail method) | Catalog and Mail-Order Houses (electronic auctions) | Miscellaneous Retail Stores, NEC (cosmetics and perfumes) | Service Establishment Equipment and Supplies (beauty and barber shop equipment and supplies sold via retail method) | Meat and Fish (Seafood) Markets, Including Freezer Provisioners (freezer provisioners) | Drugs, Drug Proprietaries, and Druggistsâ€™ Sundries (cosmetics sold via retail method) | Grocery Stores (frozen food and freezer plan providers) | Fruit and Vegetable Markets (temporary fruit and vegetable stands) | Catalog and Mail-Order Houses (electronic shopping web sites) | Catalog and Mail-Order Houses (mail-order houses) | Direct Selling Establishments (except mobile food services and food wagons)</t>
  </si>
  <si>
    <t>Cosmetics / Perfumes / Hair / Skin Preparations Manufacturing | Beauty Parlours / Barber Shops (Hairstyling / Manicures / Pedicures Only, No Estheticians) | Wholesale - Beauty Supply / Barber Supply | Retail - Not Otherwise Classified | Soap / Detergent Manufacturing</t>
  </si>
  <si>
    <t>4772 | 4789 | 4791 | 4799</t>
  </si>
  <si>
    <t>Retail sale of pharmaceutical and medical goods, cosmetic and toilet articles in specialized stores | Retail sale via stalls and markets of other goods | Retail sale via mail order houses or via Internet | Other retail sale not in stores, stalls or markets</t>
  </si>
  <si>
    <t>47.74 | 47.75 | 47.73 | 47.99 | 47.91 | 47.89</t>
  </si>
  <si>
    <t>Retail sale of medical and orthopaedic goods in specialised stores | Retail sale of cosmetic and toilet articles in specialised stores | Dispensing chemist in specialised stores | Other retail sale not in stores, stalls or markets | Retail sale via mail order houses or via Internet | Retail sale via stalls and markets of other goods</t>
  </si>
  <si>
    <t>283201 | 729601 | 522401 | 599001 | 284001</t>
  </si>
  <si>
    <t>3614 0210</t>
  </si>
  <si>
    <t>eshlab@shunhinggroup.com</t>
  </si>
  <si>
    <t>https://www.tp-link.com/zh-hk/</t>
  </si>
  <si>
    <t>https://www.facebook.com/TPLinkHK/</t>
  </si>
  <si>
    <t>https://www.instagram.com/sixpad_hk/</t>
  </si>
  <si>
    <t>https://www.linkedin.com/company/tp-link-hk-macau/</t>
  </si>
  <si>
    <t>https://www.youtube.com/user/TPLINKTECH</t>
  </si>
  <si>
    <t>javascript libraries: lodash | ui frameworks: bootstrap | web servers: empathy platform | web frameworks: bootstrap | analytics: google universal analytics | javascript frameworks: jquery blockui | javascript frameworks: angularjs | widgets: css | web frameworks: microsoft asp.net | javascript frameworks: lo-dash | analytics: google analytics enhanced ecommerce | javascript frameworks: moment.js | miscellaneous: touchswipe | cms: site.com | network devices: html | miscellaneous: jquery easing | javascript frameworks: jquery migrate | operating systems: windows server | network devices: html5 | miscellaneous: facebook | ecommerce: cart functionality | web servers: iis | tag managers: google tag manager | javascript libraries: jquery | widgets: javascript | javascript libraries: jquery migrate | javascript libraries: moment.js | miscellaneous: instagram | javascript frameworks: jquery | analytics: google analytics</t>
  </si>
  <si>
    <t>2020-04-28T10:13:16.000Z</t>
  </si>
  <si>
    <t>TPM DATA ApS</t>
  </si>
  <si>
    <t>0176f865-93e5-11eb-91fb-73d498260b10</t>
  </si>
  <si>
    <t>Tmo Data ApS</t>
  </si>
  <si>
    <t>Oticon A/S.</t>
  </si>
  <si>
    <t>Bygaden</t>
  </si>
  <si>
    <t>DK, Denmark, Capital Region of Denmark, SmÃ¸rumnedre, 2765, Kongebakken, 9, 55.749182, 12.294416 | DK, Denmark, Central Denmark Region, Syddjurs Municipality, , Ã˜hovedvej, , 56.20801765822055, 10.4119913245257</t>
  </si>
  <si>
    <t>Oticon is a company based in Lijnden, Netherlands, specializing in the manufacturing and retail of hearing assistance earphones.</t>
  </si>
  <si>
    <t>Retail | Browser Experience Enhancement | Horticulture Technology | Fitting Software Manufacturer | Advice and Guidance | Manufacturing | Technology Solutions Provider | Hearing Aid Manufacturer | Social Media Integration | Third-party Platform Integration | Technical Support Services | Data Privacy | Online Hearing Test | Healthcare Services | Counseling Tools Manufacturer | User Behavior Analysis | User Experience Enhancement Services | Tinnitus Evaluations | Hearing Aid Batteries | Elderly Care Services | Website Security Services | Hearing Assistance Earphones Manufacturer | Technology Solutions for Professional Audiologists | Website Functionality Enhancement | Horticulture Solutions | Software Development</t>
  </si>
  <si>
    <t>Doel: Verzamelt informatie over de gebruikers en hun activiteit op de website.</t>
  </si>
  <si>
    <t>The Information is used to track and analyze user behavior, to meet the individual user needs and to deliver targeted advertising. Purpose: Supports online marketing by collecting information about the users to promote products through partners and other platforms. The intention is to display ads that are relevant and engaging for the individual user and thereby more valuable for publishers and third party advertisers. Introducing the world's first hearing aid with user-intent sensors. Discover our unique BrainHearing philosophy. We believe this is what makes them the best hearing aids in the world. We are known for the best sound quality, reliability, and ease-of-use throughout the world 2. And because we're passionate about what we do: Changing people's lives with technology.</t>
  </si>
  <si>
    <t>Hearing Aids For Children | Tinnitus Management | Wireless Accessories | Oticon Hearing Aids | Online Hearing Test | Rechargeable Hearing Aids</t>
  </si>
  <si>
    <t>3842 | 3845</t>
  </si>
  <si>
    <t>Orthopedic, Prosthetic, and Surgical Appliances and Supplies (electronic hearing aids) | Electromedical and Electrotherapeutic Apparatus (except CT and CAT scanners)</t>
  </si>
  <si>
    <t>Hearing Aid Services | Scientific Instruments Manufacturing (Not Otherwise Classified) | Electronic Equipment Manufacturing (No Computers / Circuit Boards) | Surgical / Dental / Hospital Supplies (Non-Expendable, No Instruments) | Surgical / Dental / Hospital Supplies (Instruments)</t>
  </si>
  <si>
    <t>802701 | 382601 | 349101 | 382801 | 382901</t>
  </si>
  <si>
    <t>86 53 15 84</t>
  </si>
  <si>
    <t>+4560173075 | +4562621600 | +4592927000 | +4522849700 | +4531506000 | +4544452521 | +4592927700 | +4596190100 | +4538170700 | +4525709300 | +4598134089 | +4539177111 | +4572669000 | +4525690600 | +31205455780 | +4521318558 | +4531158000 | +4547313650 | +4539177100 | +4521558558 | +4570131131 | +4552800888</t>
  </si>
  <si>
    <t>brugerservice@oticon.dk</t>
  </si>
  <si>
    <t>http://tmo.dk/</t>
  </si>
  <si>
    <t>https://www.facebook.com/oticondanmark/</t>
  </si>
  <si>
    <t>https://www.instagram.com/oticonglobal/</t>
  </si>
  <si>
    <t>https://www.linkedin.com/company/6550</t>
  </si>
  <si>
    <t>https://www.youtube.com/Oticon</t>
  </si>
  <si>
    <t>web servers: ibm websphere application server | cookie compliance: cookie information | javascript libraries: core-js | lms: skolengo | javascript libraries: soundmanager | web server extensions: google pagespeed | miscellaneous: azure edge network | cms: sitecore | web servers: empathy platform | javascript frameworks: knockout.js | miscellaneous: webpack | widgets: css | javascript frameworks: hammer.js | web frameworks: microsoft asp.net | rum: new relic | web servers: apache tomcat | cache tools: google pagespeed | javascript libraries: hammer.js | font scripts: google font api | security: hsts | performance: google pagespeed | javascript libraries: mobx | miscellaneous: module federation | javascript frameworks: moment.js | analytics: snowplow analytics | cms: site.com | analytics: siteimprove | miscellaneous: open graph | iaas: snowplow analytics | network devices: html | miscellaneous: jquery easing | javascript libraries: jquery ui | operating systems: windows server | seo tool: facebook friendly | miscellaneous: facebook | javascript frameworks: gsap | javascript frameworks: jquery ui | ecommerce: fourthwall | cms: skolengo | web servers: iis | tag managers: google tag manager | miscellaneous: linkedin | marketing automation: clickdimensions | javascript libraries: jquery | widgets: javascript | advertising: microsoft advertising | databases: mariadb | ssl/tls certificate authorities: sectigo | seo tool: twitter friendly | javascript frameworks: soundmanager | font scripts: jquery cycle | javascript libraries: moment.js | miscellaneous: instagram | javascript frameworks: jquery | analytics: google analytics | javascript frameworks: tweenmax | programming languages: java | caching: google pagespeed</t>
  </si>
  <si>
    <t>2019-11-24T01:41:03.000Z</t>
  </si>
  <si>
    <t>Tradium, Erhvervsskole og - gymnasier, Randers S/I</t>
  </si>
  <si>
    <t>ac3604e6-93e4-11eb-be3a-7f925cb94351</t>
  </si>
  <si>
    <t>Tradium - Vester Alle 26</t>
  </si>
  <si>
    <t>Tradium</t>
  </si>
  <si>
    <t>Tradium | Tradium Ring Djursland</t>
  </si>
  <si>
    <t>Randers</t>
  </si>
  <si>
    <t>Vester Alle</t>
  </si>
  <si>
    <t>DK, Denmark, Central Denmark Region, Randers, 8900, Vester Alle, 26, 56.467619, 10.028024 | DK, Denmark, Central Denmark Region, Aarhus, 8000, Vester AllÃ©,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</si>
  <si>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Tradium tilbyder erhvervsuddannelse, EUX-, EUD- og gymnasial uddannelse, voksen- og efteruddannelser samt Retail &amp; Management med højt fagligt niveau.</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</si>
  <si>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</si>
  <si>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hÃ¸jt fagligt niveau.</t>
  </si>
  <si>
    <t>Ring Djursland is a motor racing circuit in Pederstrup, Denmark. The circuit is owned by Tradium, who run daily driving courses there. It used to host rounds of the Danish Touringcar Championship and the Danish Thundersport Championship.</t>
  </si>
  <si>
    <t>Training &amp; Coaching</t>
  </si>
  <si>
    <t>Driving Schools</t>
  </si>
  <si>
    <t>8249 | 8243 | 8299</t>
  </si>
  <si>
    <t>Vocational Schools, NEC (except aviation and flight training and apprenticeship training) | Data Processing Schools (computer repair training) | Schools and Educational Services, NEC (cooking and modeling schools)</t>
  </si>
  <si>
    <t>Technical and vocational secondary education</t>
  </si>
  <si>
    <t>70 11 10 10</t>
  </si>
  <si>
    <t>+4587100427 | +4587748802 | +4551371523 | +4570111010 | +4521220525 | +4541880064</t>
  </si>
  <si>
    <t>jrs@tradium.dk</t>
  </si>
  <si>
    <t>info@tradium.dk</t>
  </si>
  <si>
    <t>imo@tradium.dk | je@tradium.dk | jrs@tradium.dk</t>
  </si>
  <si>
    <t>http://tradium.dk/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</si>
  <si>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</si>
  <si>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</si>
  <si>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</si>
  <si>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</si>
  <si>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</si>
  <si>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2019-12-03T10:46:49.000Z</t>
  </si>
  <si>
    <t>TRANSMODE SYSTEMS AB</t>
  </si>
  <si>
    <t>7ee55f4b-93e4-11eb-8859-29e7c34dee35</t>
  </si>
  <si>
    <t>Transcom Worldwide AB</t>
  </si>
  <si>
    <t>Transmode</t>
  </si>
  <si>
    <t>113 43</t>
  </si>
  <si>
    <t>Hälsingegatan</t>
  </si>
  <si>
    <t>SE, Sweden, Stockholm County, Stockholm, 117 43, Fredsborgsgatan, 24, 59.3060236, 18.0291526</t>
  </si>
  <si>
    <t>Transmode is a global provider of packet-optical networking solutions that help fixed line and mobile network operators address the capacity needs of video and data traffic. These solutions are essential for next-generation high-speed optical networks, supporting services such as broadband and mobile data backhaul, video delivery, and cloud computing. Transmode's solutions are designed to enhance the capacity, flexibility, and functionality of metro and regional networks, based on Wavelength Division Multiplexing (WDM) and transport technologies like Ethernet. Their Native Packet Optical 2.0 architecture offers cost-efficient Ethernet services, ultra-low latency, low power consumption, and future-proof network design. TransMode is headquartered in Stockholm, Sweden and is listed on the Nasdaq OMX Stockholm Exchange (Trmo). Since 2000, the company has installed over 50,000 systems for more than 650 network operators, service providers, large enterprises, and public institutions in more than 50 countries worldwide.</t>
  </si>
  <si>
    <t>Global Provider of Packet-optical Networking Solutions | Native Packet Optical 2.0 Architecture | International Call Rates | Cost-effective Ethernet Solutions | Telecommunications Services | High Wavelength Division Multiplexing | GSM Boosters | Best Cell Phone Plans | Low Power Consumption | Transportation Technology | Enterprise Networking | Top 10 Smartphones | Networking Equipment Manufacturing | Future-proof Network Solutions | Voip Services | High-speed Optical Networks | Low Latency</t>
  </si>
  <si>
    <t>Infinera is a global provider of packet-optical networking solutions.</t>
  </si>
  <si>
    <t>Transmode was acquired by Infinera in 2015. Infinera is a global provider of packet-optical networking solutions.</t>
  </si>
  <si>
    <t>Cloud Services | Video Delivery | Wavelength Division Multiplexers | Ethernet Services | Mobile Network Operation | Network Design | Optical Networks</t>
  </si>
  <si>
    <t>08-120 800 80</t>
  </si>
  <si>
    <t>https://www.transcom.com/</t>
  </si>
  <si>
    <t>https://facebook.com/pages/Transmode-Systems-AB/104482269640211</t>
  </si>
  <si>
    <t>https://twitter.com/transmode</t>
  </si>
  <si>
    <t>http://www.linkedin.com/company/transmode</t>
  </si>
  <si>
    <t>2020-02-25T20:53:48.000Z</t>
  </si>
  <si>
    <t>TREND MICRO (SINGAPORE) PTE. LTD.</t>
  </si>
  <si>
    <t>7f4688c8-ad32-11ef-8c9e-31c2725f601c</t>
  </si>
  <si>
    <t>Trend Micro</t>
  </si>
  <si>
    <t>Touch of Trend Singapore | Touch of Trend</t>
  </si>
  <si>
    <t>Enterprise AI cybersecurity platform with layered protection, cyber risk exposure management and SecOps—62 global offices, the United Kingdom office is in London.</t>
  </si>
  <si>
    <t>Photography of Bridal Gowns and Dresses | Flattering Dresses | Customization Services | Gown Packages | Makeup and Beauty Services | Rentals &amp; Sales | Mens Suits | Western Gown</t>
  </si>
  <si>
    <t>Step inside a world of true elegance and uncompromisingly modern wedding dress designs. The epitome of contemporary beauty and refinement</t>
  </si>
  <si>
    <t>Touch Of Trend is created by well-known Myanmar celebrity fashion &amp; make-up artist Khin San Win &amp; two Myanmar aspiring business ladies from Singapore. We aim to provide custom, unique &amp; memorable wedding experience. A legend in Myanmar's film and arts scene, she's a top makeup artist, fashion designer, and hair specialist with three decades of dazzling experience, trusted by countless celebrities. A devoted homemaker and proud mother of two is transforming her lifelong passion into a glamorous venture, offering bespoke bridal services to both local and international clientele, bringing dreams to life with elegance and flair. Step inside a world of true elegance and uncompromisingly modern wedding dress designs. Our gowns are handpicked by our CEO and Chief Beautician. Modern, Fairytale or Timeless. Different themes available to suit your preference or get inspiration.</t>
  </si>
  <si>
    <t>6379 2060</t>
  </si>
  <si>
    <t>+6583788572 | +6594236946</t>
  </si>
  <si>
    <t>hello@totbridal.sg</t>
  </si>
  <si>
    <t>https://www.trendmicro.com/en_sg/business.html</t>
  </si>
  <si>
    <t>https://www.facebook.com/TrendMicro</t>
  </si>
  <si>
    <t>https://x.com/TrendMicro</t>
  </si>
  <si>
    <t>https://www.instagram.com/trendmicro/</t>
  </si>
  <si>
    <t>https://www.linkedin.com/company/trend-micro-europe</t>
  </si>
  <si>
    <t>https://www.youtube.com/user/TrendMicroEurope</t>
  </si>
  <si>
    <t>paas: netlify | cdn: netlify | security: hsts | miscellaneous: http/3 | cdn: cloudflare</t>
  </si>
  <si>
    <t>2024-11-28T02:04:30.000Z</t>
  </si>
  <si>
    <t>Trifork A/S</t>
  </si>
  <si>
    <t>0bbb730a-93e5-11eb-be3a-7f925cb94351</t>
  </si>
  <si>
    <t>Trifork A/S.</t>
  </si>
  <si>
    <t>Trifork Academy | Trifork</t>
  </si>
  <si>
    <t>Runen</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</si>
  <si>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</si>
  <si>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</si>
  <si>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</si>
  <si>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</si>
  <si>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</si>
  <si>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</si>
  <si>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87 32 87 87</t>
  </si>
  <si>
    <t>+4529783030 | +4587328787</t>
  </si>
  <si>
    <t>training@trifork.com</t>
  </si>
  <si>
    <t>info@trifork.com</t>
  </si>
  <si>
    <t>http://www.trifork.com/</t>
  </si>
  <si>
    <t>https://www.facebook.com/Trifork/</t>
  </si>
  <si>
    <t>https://www.linkedin.com/company/trifork/</t>
  </si>
  <si>
    <t>https://www.youtube.com/channel/UCz9eNSe8kY7z8DEyvv-slZg</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</si>
  <si>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</si>
  <si>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</si>
  <si>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True Move H Universal Communication Co Ltd</t>
  </si>
  <si>
    <t>9fb4b440-3764-11ec-990f-b1f4bf04263c</t>
  </si>
  <si>
    <t>True Move</t>
  </si>
  <si>
    <t>True Move H</t>
  </si>
  <si>
    <t>Thanon Rama 9</t>
  </si>
  <si>
    <t>TH, Thailand, Bangkok, Bang Rak, 10500, Rama IV Road, 766, 13.7355566, 100.5214435 | TH, Thailand, Bangkok, Bangkok, 10700, Borommaratchachonnani Road, Room 304/3\, 3rd Floor, 13.777069091796875, 100.47618865966797 | TH, Thailand, Bangkok, Huai Khwang, 10310, Soi Ratchadapisek 18, 18, 13.7853219, 100.5754573 | TH, Thailand, Nakhon Pathom Province, Nakhon Pathom, 73170, Rural Road Nakhon Pathom 4006, , 13.797201156616211, 100.3204116821289 | TH, Thailand, Samut Prakan Province, Bang Kaeo Town Municipality, 10540, Debaratna Road, 39 ??? 6, 13.6529397, 100.6762394 | TH, Thailand, Bangkok, Yan Nawa, 10120, Soi Charoen Krung 67, 79/3, 13.710853576660156, 100.53187561035156 | TH, Thailand, Bangkok, Khlong Tan Nuea, 10110, Soi Sukhumvit 63, 693\,695, 13.7201697, 100.5845035 | TH, Thailand, Bangkok, Lak Si, 10210, , , 13.884353637695312, 100.58163452148438 | TH, Thailand, Bangkok, Sathon, 10120, Soi Sathon 5, 20, 13.7227014, 100.5349158 | TH, Thailand, Bangkok, Khlong Toei Nuea, 10110, Chumchon Talat Tha Ruea Khlong Toei Soi 7, 2 88, 13.7174711227417, 100.56124114990234</t>
  </si>
  <si>
    <t>TrueMove H is a mobile telecommunication operator in Thailand. It is provided by Real Move Co., Ltd. and True Move H Universal Communication Co.,ltd., which are subsidiaries of True Corporation. It operates as the second largest operator in the country. Real Move is a virtual network operator that utilizes CAT Telecom's 850 MHz network, which was acquired from Hutchison CAT Wireless MultiMedia Ltd. True Move uses licenses granted by Thailand's National Broadcasting and Telecommunications Commission for 900 MHz, 1800 MHz, and 2100 MHz frequencies.</t>
  </si>
  <si>
    <t>Mobile Network Services | Payment Gateway Services | Network Connectivity Solutions | Broadband Internet | International Roaming | Mobile Device Sales | Digital Cable Television | Customer Service Management | Information Technology Consulting | Cloud Computing Services | Wireless Communication Services | Corporate IT Solutions | Data Center Services | Telecommunication Infrastructure | Online Streaming Services</t>
  </si>
  <si>
    <t>TrueMove H is a mobile telecommunication operator provided by Real Move Co., Ltd. and True Move H Universal Communication Co., Ltd. (formerly Real Future Co., Ltd.), subsidiaries of True Corporation.</t>
  </si>
  <si>
    <t>TrueMove H is a mobile telecommunication operator provided by Real Move Co., Ltd. and True Move H Universal Communication Co., Ltd. (formerly Real Future Co., Ltd.), subsidiaries of True Corporation. It is the second largest operator in Thailand. Real Move is a mobile virtual network operator that uses CAT Telecom's 850 MHz network, acquired from Hutchison CAT Wireless MultiMedia Ltd (Hutch). True Move H uses 900 MHz, 1800 MHz and 2100 MHz, which licenses were granted by Thailand's National Broadcasting and Telecommunications Commission.</t>
  </si>
  <si>
    <t>Virtual Network Operator | Telecommunications Services</t>
  </si>
  <si>
    <t>Communication Equipment Installation - Residential | Data Processing Centres / Server Farms | Communication Equipment Installation - Commercial | Communications Equipment Manufacturing (Outside) | Freight Brokers</t>
  </si>
  <si>
    <t>153401 | 740701 | 153402 | 349401 | 487101</t>
  </si>
  <si>
    <t>086 416 2808</t>
  </si>
  <si>
    <t>pakchongnahampor@gmail.com</t>
  </si>
  <si>
    <t>https://www.truecorp.co.th/</t>
  </si>
  <si>
    <t>https://www.facebook.com/True-shop-7-11-%E0%B8%AB%E0%B8%99%E0%B9%89%E0%B8%B2%E0%B8%AD%E0%B8%B3%E0%B9%80%E0%B8%A0%E0%B8%AD%E0%B8%9B%E0%B8%B2%E0%B8%81%E0%B8%8A%E0%B9%88%E0%B8%AD%E0%B8%87-100067928091400/</t>
  </si>
  <si>
    <t>reverse proxies: kong | javascript libraries: core-js | analytics: tiktok pixel | web servers: imperva securesphere | javascript libraries: owl carousel | analytics: facebook custom audiences | analytics: hotjar | ui frameworks: bootstrap | advertising: linkedin ads | cdn: unpkg | javascript libraries: webp | miscellaneous: popper | web servers: empathy platform | analytics: google universal analytics | javascript libraries: swiper | security: recaptcha | operating systems: debian | widgets: css | miscellaneous: x | javascript frameworks: react | ui frameworks: animate.css | development: firebase | web frameworks: animate.css | cms: hubspot cms hub | security: hsts | miscellaneous: http/3 | video players: youtube | web frameworks: express | surveys: qualaroo | databases: firebase | programming languages: php - 5.6.30 | cms: site.com | widgets: facebook | web servers: express | javascript libraries: select2 | cdn: owl carousel | retargeting: facebook custom audiences | analytics: hubspot analytics | miscellaneous: open graph | cookie compliance: onetrust | miscellaneous: swiper slider | network devices: html | miscellaneous: jquery easing | cdn: jsdelivr | font scripts: font awesome | security: imperva | web servers: schannel | web servers: apache | cdn: imperva | seo tool: facebook friendly | programming languages: node.js | analytics: microsoft clarity | network devices: html5 | web servers: apache http server | miscellaneous: facebook | analytics: linkedin insight tag | javascript frameworks: gsap | javascript libraries: fancybox | tag managers: google tag manager | javascript libraries: jquery | widgets: owl carousel | retargeting: facebook | javascript libraries: jquery - 1.11.1 | widgets: javascript | analytics: facebook pixel | javascript frameworks: jquery - 1.11.1 | ssl/tls certificate authorities: sectigo | seo tool: twitter friendly | marketing automation: hubspot | maps: mapbox gl js | cdn: cloudflare | programming languages: php | security: cloudflare bot management | web frameworks: laravel | miscellaneous: instagram | analytics: google analytics</t>
  </si>
  <si>
    <t>2021-10-26T07:16:13.000Z</t>
  </si>
  <si>
    <t>TRUSTZONE A/S</t>
  </si>
  <si>
    <t>8b944a32-93e4-11eb-86dd-ffbd1b53140e</t>
  </si>
  <si>
    <t>TRUSTZONE A/S.</t>
  </si>
  <si>
    <t>TRUSTZONE</t>
  </si>
  <si>
    <t>Copenhagen S</t>
  </si>
  <si>
    <t>Islands Brygge</t>
  </si>
  <si>
    <t>DK, Denmark, Capital Region of Denmark, Copenhagen, 2300, Njalsgade, 41, 55.664208599999995, 12.573543299999999</t>
  </si>
  <si>
    <t>3,000+ companies across Europe already trust us. We protect over 80% of the Danish financial sector. 20+ years experience. Top-rated support.</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</si>
  <si>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</si>
  <si>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</si>
  <si>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Scandinaviaâ€™s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â€”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</si>
  <si>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</si>
  <si>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88 33 10 00</t>
  </si>
  <si>
    <t>support@trustzone.com</t>
  </si>
  <si>
    <t xml:space="preserve"> support@trustzone.com</t>
  </si>
  <si>
    <t>https://trustzone.com/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</si>
  <si>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</si>
  <si>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</si>
  <si>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</si>
  <si>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</si>
  <si>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TT DOTCOM SDN. BHD.</t>
  </si>
  <si>
    <t>03d5f3c4-02db-11ed-868b-4bfa1932f5a7</t>
  </si>
  <si>
    <t>TIME dotCom Berhad - Glenmarie Industrial Park</t>
  </si>
  <si>
    <t>TT WATER SDN BHD.</t>
  </si>
  <si>
    <t>TT Water</t>
  </si>
  <si>
    <t>Jalan Majistret U1/26</t>
  </si>
  <si>
    <t>MY, Malaysia, Kuala Lumpur, Kuala Lumpur, 50450, Jalan Yap Kwan Seng, 8, 3.1628878000000005, 101.7126118</t>
  </si>
  <si>
    <t>Time Internet offers high-speed fibre broadband in Malaysia. Enjoy 600Mbps at just RM99 for the first 6 months. Check if it's available in your area.</t>
  </si>
  <si>
    <t>Water Supply and Irrigation Services | Dosing Plants | Booster Stations | Tube Settlers | HMI and SCAD Supervisory | Telemetry Systems | High-speed Wireless Data Transfer | Ancillary Works | Municipal Water Projects | Automated Process Plants | Water Treatment Equipment Design and Construction | Gravity Filtration | Lamella Clarifiers | Raw Water Intake | Interconnecting Pipe Works | SCADA, Instrumentation, and Control Projects | Mechanical and Electrical Installations</t>
  </si>
  <si>
    <t>TT Water, Design &amp; Build, Water treatment plant, Booster pump station, Tube settler, Lamella clarifier, Gravity filter</t>
  </si>
  <si>
    <t>The company is made up of a team of professionals from various engineering disciplines with average experience of 15 to 20 years of direct involvement in water works. Since Tenaga Tiub inception into water works in 1997, there were a total of thirty (30) projects of various sizes and nature implemented and completed by this group of professionals, and still counting. We believe in team work and solving problem in collective effort. Many of our problems solving also requires lateral thinking or think-out-of-box approach whereby there are many solutions to one problem but we also believe in optimizing the best solution in fulfilling our customers need. The success of TT Water lies within the core team which is made up of engineers from various engineering disciplines â€“ mechanical, electrical and instruments, process and environmental. For conventional contract where preliminary design is done by clients' consultant, the team will perform design counter checks including hydraulics calculation; process and instrumentation diagram (P&amp;ID) and producing shop drawings.</t>
  </si>
  <si>
    <t>4941 | 4971</t>
  </si>
  <si>
    <t>Water Supply | Irrigation Systems</t>
  </si>
  <si>
    <t>Water Softening or Treatment Equipment Sales / Installation / Service (No Water Treatment Facilities) | Wholesale - Hardware / Plumbing Supplies / Electrical Supplies | Plumbing - Residential | Engineers | Geophysical Services (Incl Soil Testing)</t>
  </si>
  <si>
    <t>3600 | 4930</t>
  </si>
  <si>
    <t>Water collection, treatment and supply | Transport via pipeline</t>
  </si>
  <si>
    <t>49.5 | 36</t>
  </si>
  <si>
    <t>Transport via pipeline | Water collection, treatment and supply</t>
  </si>
  <si>
    <t>172001 | 509201 | 171101 | 891601 | 891401</t>
  </si>
  <si>
    <t>1-800-18-1818</t>
  </si>
  <si>
    <t>+60327110888 | +60327113688</t>
  </si>
  <si>
    <t>sales@ttwater.com.my</t>
  </si>
  <si>
    <t>http://www.time.com.my/</t>
  </si>
  <si>
    <t>https://www.facebook.com/TIMEinternet/</t>
  </si>
  <si>
    <t>https://www.instagram.com/timeinternet/</t>
  </si>
  <si>
    <t>https://www.linkedin.com/company/time-dotcom-berhad</t>
  </si>
  <si>
    <t>2022-07-06T17:54:53.000Z</t>
  </si>
  <si>
    <t>TT-NETVAERKET P/S</t>
  </si>
  <si>
    <t>00f7e4c5-019a-11ec-9c90-e1a0e6e83cab</t>
  </si>
  <si>
    <t>TN-Network P/S</t>
  </si>
  <si>
    <t>Karina Knudsen | KARINA KNUDSEN Amager</t>
  </si>
  <si>
    <t>Amager Strandvej</t>
  </si>
  <si>
    <t>60a</t>
  </si>
  <si>
    <t>DK, Denmark, Capital Region of Denmark, Copenhagen, 2300, Amager Strandvej, 22F, 55.667903, 12.626445200000001</t>
  </si>
  <si>
    <t>KARINA KNUDSEN is a business located in Copenhagen, Denmark, operating within the beauty and hair salon industry. The establishment offers services as a hair salon and beauty salon, providing various hairdressing treatments.</t>
  </si>
  <si>
    <t>Personal Care Services | Hairdressing Treatments | Hairdressing and Podiatry Services | Beauty Services | Podiatry Services | Color Techniques | Web Hosting Services | Personalized Treatment | Hair Coloring</t>
  </si>
  <si>
    <t>Nyd en afslappende stund i Danmarks flotteste salon. Cool lounge med kaffe og vin. Mere end 15 Ã¥rs erfaring. Spar tid ved at vÃ¦lge os, vi har bÃ¥de frisÃ¸rer og fodterapeuter under samme tag.</t>
  </si>
  <si>
    <t>Hos KARINA KNUDSEN tilbyder vi mange forskellige frisÃ¸rbehandlinger. Vi udfÃ¸rer alle former for klip, farveteknikker og hÃ¥rpleje. For dig som kunde, er det vigtigt at vi har en god dialog og at dine forventninger bliver indfriet. Vores mÃ¥lsÃ¦tning er at tilbyde Ã¦rlige, personlige behandlinger som udfÃ¸res af eksperter med mere end 10 Ã¥rs erfaring. Kvalitet, forstÃ¥else og nÃ¦rhed er vores nÃ¸gleord. Vi tror pÃ¥ at service og kvalitet stadig betaler sig.</t>
  </si>
  <si>
    <t>Advice &amp; Guides | Personalized Treatment | Free Parking</t>
  </si>
  <si>
    <t>Beauty Salons</t>
  </si>
  <si>
    <t>Beauty Salons &amp; Hairdressers</t>
  </si>
  <si>
    <t>Beauty Shops (except beauty and cosmetology schools and manicure and pedicure salons)</t>
  </si>
  <si>
    <t>Schools - Not Otherwise Classified (incl Business Colleges) | Beauty Salons / Day Spas / Estheticians | Registered Massage Therapists | Wholesale - Beauty Supply / Barber Supply | Beauty Parlours / Barber Shops (Hairstyling / Manicures / Pedicures Only, No Estheticians)</t>
  </si>
  <si>
    <t>Hairdressing and other beauty treatment</t>
  </si>
  <si>
    <t>832301 | 729701 | 802901 | 522401 | 729601</t>
  </si>
  <si>
    <t>88 13 60 70</t>
  </si>
  <si>
    <t>+4540970932 | +4560585858</t>
  </si>
  <si>
    <t>kontakt@karinaknudsen.nu</t>
  </si>
  <si>
    <t>kok@tt-network.dk</t>
  </si>
  <si>
    <t>https://www.tt-network.dk/</t>
  </si>
  <si>
    <t>https://www.facebook.com/karinaknudsen.nu/</t>
  </si>
  <si>
    <t>https://www.instagram.com/karinaknudsen.nu/</t>
  </si>
  <si>
    <t>web servers: ibm websphere application server | web servers: .net framework | web servers: iis - 10.0 | paas: azure | javascript libraries: webp | maps: google maps | ecommerce: woocommerce | miscellaneous: webpack | web servers: azure app service | widgets: css | web frameworks: microsoft asp.net | ui frameworks: bootstrap - 4.5.0 | font scripts: google font api | cache tools: varnish | analytics: google analytics - GA4 | security: hsts | blogging platforms: wordpress | javascript libraries: jquery - 3.4.1 | databases: mysql | miscellaneous: module federation | miscellaneous: open graph | network devices: html | javascript frameworks: jquery migrate | web servers: schannel | web servers: apache | javascript frameworks: modernizr | operating systems: windows server | seo tool: facebook friendly | network devices: html5 | web servers: apache http server | miscellaneous: facebook | cms: wordpress | web servers: iis | analytics: smartlook | widgets: javascript | ssl/tls certificate authorities: sectigo | seo tool: twitter friendly | programming languages: php | miscellaneous: instagram | javascript frameworks: jquery</t>
  </si>
  <si>
    <t>2021-08-19T20:35:52.000Z</t>
  </si>
  <si>
    <t>TUTELA TECHNOLOGIES LTD.</t>
  </si>
  <si>
    <t>c5b76852-93e4-11eb-be3a-7f925cb94351</t>
  </si>
  <si>
    <t>Opensignal</t>
  </si>
  <si>
    <t>TUTELA | Etutela</t>
  </si>
  <si>
    <t>British Columbia</t>
  </si>
  <si>
    <t>Victoria</t>
  </si>
  <si>
    <t>V8W 1H8</t>
  </si>
  <si>
    <t>Fort Street</t>
  </si>
  <si>
    <t>CA, Canada, British Columbia, Victoria, V8W 1H8, Fort Street, 838, 48.4244552, -123.36085949999999</t>
  </si>
  <si>
    <t>Tutela is an independent crowdsourced data company with a global panel of over 300 million smartphone users, gathering insight on mobile experience and infrastructure.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</si>
  <si>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</si>
  <si>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</si>
  <si>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</si>
  <si>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</si>
  <si>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</si>
  <si>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(855) 688-8352</t>
  </si>
  <si>
    <t>sales@tutela.com</t>
  </si>
  <si>
    <t>careers@tutela.com | info@tutela.com | support@tutela.com | sales@tutela.com | partners@tutela.com</t>
  </si>
  <si>
    <t>https://www.tutela.com/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</si>
  <si>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</si>
  <si>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</si>
  <si>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</si>
  <si>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</si>
  <si>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</si>
  <si>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2019-11-24T11:25:13.000Z</t>
  </si>
  <si>
    <t>TXO SYSTEMS LTD</t>
  </si>
  <si>
    <t>a4e5eb10-93e4-11eb-be3a-7f925cb94351</t>
  </si>
  <si>
    <t>TXO</t>
  </si>
  <si>
    <t>TXO Systems SAS. | TXO Systems Inc. | TXO Systems Pty Ltd.</t>
  </si>
  <si>
    <t>TXO Systems</t>
  </si>
  <si>
    <t>Wales</t>
  </si>
  <si>
    <t>Mathern</t>
  </si>
  <si>
    <t>NP16 6UP</t>
  </si>
  <si>
    <t>Newhouse Farm Industrial Estate</t>
  </si>
  <si>
    <t>GB, United Kingdom, Wales, Chepstow, NP16 6UP, Newhouse Farm Industrial Estate, Unit 3, 51.6157262, -2.6717084 | AU, Australia, Victoria, Melbourne, 3810, Precision Drive, 15, -38.100534, 145.4777042 | BR, Brazil, ParanÃ¡, Londrina, 86042-290, Rua JoÃ£o Guilherme, 503, -23.3622756, -51.1494762 | GB, United Kingdom, England, Solihull, , , , 52.4130189, -1.7768935 | FR, France, Ile-de-France, Taverny, 95150, Rue Marie Sklodowska Curie, 2, 49.0268507, 2.1987836 | SE, Sweden, SÃ¶dermanland County, Eskilstuna, 632 32, Skjulstagatan, 10, 59.3416075, 16.4765992 | US, United States, Maryland, Hanover, 21076, New Ridge Road, 7447, 39.171978, -76.704905 | AU, Australia, Victoria, Melbourne, 3000, Bourke Street, 6 / 607, -37.8160272, 144.9567188 | AU, Australia, Victoria, Melbourne, 3000, Pitt Street, 95, -33.8649981, 151.2086085 | GB, United Kingdom, England, Reading, RG1 1LX, Station Road, Thames Tower, 51.457917, -0.9721593</t>
  </si>
  <si>
    <t>A global leader in sustainable technology, we provide cost-effective network hardware &amp; solutions delivered with first-class support</t>
  </si>
  <si>
    <t>Asset Resale/recycle Evaluator | I-value Asset Valuation Platform | Refurbished Telecom and Hardware Supplier | Asset Management Services | Network Audits | Fully Managed Asset Recovery | Critical Communications | Communication Equipment Testing, Repair, and Maintenance | Critical Telecom Network Hardware</t>
  </si>
  <si>
    <t>The worldâ€™s leading provider of critical telecom network hardware and asset management services</t>
  </si>
  <si>
    <t>As the no.1 alternative to the OEM, we specialise in providing multi-vendor refurbished telecom hardware &amp; critical communications solutions.</t>
  </si>
  <si>
    <t>Asset Management | Telecom Networks | Telecommunications Services | Optical Transceiver | Waste And Recycling | Repair Work | Weee Recycling | Active Optical Cables | Telecommunications Equipment | Telecom Asset Management</t>
  </si>
  <si>
    <t>Communication Equipment Installation - Commercial | Communications Equipment Manufacturing (Outside) | Wholesale - Hardware / Plumbing Supplies / Electrical Supplies | Communication Equipment Installation - Residential | Burglar / Fire Alarm Installation (No Monitoring)</t>
  </si>
  <si>
    <t>153402 | 349401 | 509201 | 153401 | 173103</t>
  </si>
  <si>
    <t>01291 623813</t>
  </si>
  <si>
    <t>+554332534695 | +554333364696 | +393474805058 | +441217465400 | +5543998040524 | +33182411300 | +441291623813 | +61295138818 | +14107664540 | +27832267809 | +46165440560 | +34678927740</t>
  </si>
  <si>
    <t>hello@txo.com</t>
  </si>
  <si>
    <t>hello@txo.com | marketing@txo.com</t>
  </si>
  <si>
    <t>http://www.txo.com/</t>
  </si>
  <si>
    <t>https://www.facebook.com/txotelecom/</t>
  </si>
  <si>
    <t>https://twitter.com/txodotcom</t>
  </si>
  <si>
    <t>https://www.linkedin.com/company/txo-systems</t>
  </si>
  <si>
    <t>https://www.youtube.com/channel/UCnv_ST4sncQYo0Pkc4qcrDw</t>
  </si>
  <si>
    <t>page builders: hubspot | javascript libraries: lodash | analytics: matomo analytics | cookie compliance: cookie control | javascript libraries: core-js | ui frameworks: bootstrap | wordpress plugins: gravity forms | web servers: empathy platform | web frameworks: bootstrap | analytics: fathom | live chat: hubspot chat | security: recaptcha | seo: yoast seo | widgets: css | live chat: whatsapp business chat | miscellaneous: twitter emoji (twemoji) | a/b testing: hubspot | cdn: cdnjs | lead generation: hubspot | cms: hubspot cms hub | rum: cloudflare browser insights | font scripts: google font api | lead generation: lead forensics | security: hsts | reverse proxies: nginx | analytics: piwik | blogging platforms: wordpress | form builders: gravity forms | miscellaneous: http/3 | databases: mysql | reverse proxy: nginx | issue trackers: really simple discovery | wordpress plugins: hubspot wordpress plugin | cms: site.com | analytics: hubspot analytics | miscellaneous: open graph | reverse proxies: envoy | captchas: recaptcha | analytics: hubspot | javascript libraries: typed.js | seo tool: yoast seo | network devices: html | miscellaneous: jquery easing | caching: redis object cache | javascript libraries: jquery ui | javascript frameworks: jquery migrate | javascript libraries: goober | seo tool: facebook friendly | analytics: matomo | network devices: html5 | ui frameworks: zurb foundation | miscellaneous: gravity forms | javascript frameworks: gsap | lead generation: gravity forms | cms: wordpress | databases: redis | blogs: wordpress | javascript frameworks: jquery ui | analytics: cloudflare browser insights | tag managers: google tag manager | issue trackers: trackjs | blogging platforms: hubspot | javascript libraries: jquery | crm: hubspot | widgets: javascript | cookie compliance: civic | font scripts: twitter emoji (twemoji) | seo tool: twitter friendly | marketing automation: hubspot | web servers: nginx | cdn: cloudflare | wordpress plugins: yoast seo | programming languages: php | javascript libraries: jquery migrate | security: cloudflare bot management | javascript frameworks: jquery | analytics: google analytics</t>
  </si>
  <si>
    <t>2020-06-24T21:40:23.000Z</t>
  </si>
  <si>
    <t>UIPATH SRL</t>
  </si>
  <si>
    <t>fbd80a51-3243-11ec-9985-d11c4bd35db5</t>
  </si>
  <si>
    <t>UiPath Bucharest</t>
  </si>
  <si>
    <t>UiPath Foundation | UiPath</t>
  </si>
  <si>
    <t>RO</t>
  </si>
  <si>
    <t>Romania</t>
  </si>
  <si>
    <t>București</t>
  </si>
  <si>
    <t>Barbu Văcărescu</t>
  </si>
  <si>
    <t>RO, Romania, Bucharest, Bucharest, 010616, Strada CÄƒderea Bastiliei, 39, 44.450399, 26.095900999999998 | RO, Romania, BraÈ™ov, VÄƒleni, 507114, , , 45.9607604, 24.9686842</t>
  </si>
  <si>
    <t>Empower your business with UiPath automation platform. Leverage agentic automation to drive AI transformation, streamline workflows, and boost productivity.</t>
  </si>
  <si>
    <t>Non-profit Organization | Talent Overcoming Vulnerability | Future Ownership | Kinder Libraries | Community Involvement | Educational Services for Underprivileged Children | Mentorship Opportunities | Corporate Offices | Community Empowerment | Early Access to Education | Compassion-based World | Healthcare Services | Educational Camps | Support for Children in Poverty | Take Home Books | Grant Making/giving Service | Age-appropriate Educational Resources | Teacher Development</t>
  </si>
  <si>
    <t>We have embarked on a global mission to support children living in poverty and their communities to take ownership of their path to the future.</t>
  </si>
  <si>
    <t>One day, you go to camp, or attend an online webinar, and you meet a volunteer. The conversation that follows eases your mind, transforming uncertainties into hopeful dreams for the future and empowering you to move forward and reach for the stars. It's the push you needed to change your path. We focus on identifying children from communities that experience poverty and exclusion in Romania and India (aged 11 to 17) and activate their potential through a long - term 360-degree support system that addresses the challenges of child deprivation. Together with our strategic partner, Ovidiu Ro Association, we focus on offering children born in poor families the chance for a good start in school and in life, by ensuring their access to quality early education and by exposing them to age-appropriate educational resources and tools. The program's key indicators. We aim to improve the quality of education in underprivileged communities, by working closely with teachers and help them better serve the educational needs of the children.</t>
  </si>
  <si>
    <t>Child Safeguarding Policy | Teacher's Training | Education &amp; Support | Classes &amp; Education | Teachers &amp; Schools | Kindergartens</t>
  </si>
  <si>
    <t>Community Center</t>
  </si>
  <si>
    <t>Job Training and Vocational Rehabilitation Services</t>
  </si>
  <si>
    <t>office@uipathfoundation.com</t>
  </si>
  <si>
    <t>office@uipathfoundation.com | privacy@uipathfoundation.com</t>
  </si>
  <si>
    <t>https://www.uipath.com/</t>
  </si>
  <si>
    <t>https://facebook.com/uipath</t>
  </si>
  <si>
    <t>https://twitter.com/uipath</t>
  </si>
  <si>
    <t>https://www.instagram.com/uipathglobal/</t>
  </si>
  <si>
    <t>https://www.linkedin.com/company/uipath</t>
  </si>
  <si>
    <t>https://youtube.com/uipath</t>
  </si>
  <si>
    <t>web servers: ibm websphere application server | wordpress plugins: cookie notice - 2.1.4 | wordpress plugins: wpbakery | javascript libraries: core-js | miscellaneous: rss | javascript libraries: aos | web servers: empathy platform | analytics: google universal analytics | wordpress plugins: elementor | seo: yoast seo | cookie compliance: cookie notice - 2.1.4 | widgets: css | photo galleries: slider revolution | wordpress plugins: godaddy coblocks | photo galleries: slider revolution - 6.0.9 | font scripts: google font api | wordpress plugins: wp-optimize | javascript libraries: jquery - 3.5.1 | video players: youtube | databases: mysql | issue trackers: really simple discovery | wordpress plugins: contact form 7 - 5.2.2 | page builders: wpbakery | cms: site.com | performance: wp-optimize | miscellaneous: open graph | seo: yoast seo premium | network devices: html | miscellaneous: jquery easing | form builders: contact form 7 - 5.2.2 | font scripts: font awesome | web servers: schannel | wordpress plugins: the events calendar | network devices: html5 | ui frameworks: zurb foundation | web servers: apache http server | miscellaneous: facebook | font scripts: twitter emoji (twemoji) - 13.0.1 | programming languages: php - 7.4.33 | cms: wordpress | cookie compliance: cookie notice | blogs: wordpress | seo: yoast seo premium - 15.8.2 | tag managers: google tag manager | miscellaneous: linkedin | javascript libraries: jquery | widgets: slider revolution | widgets: javascript | javascript libraries: jquery migrate - 3.3.2 | wordpress plugins: wp-pagenavi | javascript libraries: core-js - 2.6.11 | form builders: contact form 7 | font scripts: twitter emoji (twemoji) | widgets: slider revolution - 6.0.9 | wordpress plugins: yoast seo | analytics: google analytics - UA | programming languages: php | javascript libraries: jquery migrate | page builders: godaddy coblocks | page builders: elementor | wordpress plugins: cookie notice | wordpress plugins: contact form 7 | miscellaneous: instagram | analytics: google analytics</t>
  </si>
  <si>
    <t>2021-10-01T16:01:14.000Z</t>
  </si>
  <si>
    <t>Unit Trust Of Pakistan</t>
  </si>
  <si>
    <t>000a16f1-de4e-11ed-a204-01928eda0b9b</t>
  </si>
  <si>
    <t>JS Investments</t>
  </si>
  <si>
    <t>Uniteam Pvt Ltd.</t>
  </si>
  <si>
    <t>Uniteam</t>
  </si>
  <si>
    <t>PK, Pakistan, Sindh, Saddar Town, 75600, Service Lane, Suite# 302-303\, 3rd Floor\, Zone C Block 7 Clifton, 24.8279913, 67.0336961</t>
  </si>
  <si>
    <t>UNITEAM, legally known as Uniteam Pvt Ltd., is an independent inspection company based in Defence, Sindh, Pakistan. The company provides third-party quality assurance and quality control (Qa/Qc) inspection services in Pakistan and internationally through its affiliates. Uniteam specializes in pre/post-shipment inspections, commodity sampling, and various industrial inspections, including tank calibration, loading and discharging supervision, and vessel surveys. The company is accredited by several regulatory bodies, including the Pakistan Standard Quality Control Authority, the Oil and Gas Regulatory Authority, and the Federal Boiler Board. Uniteam is also certified by ISO and Gafta, ensuring high standards of quality and compliance in its services.</t>
  </si>
  <si>
    <t>3Rd Party Quality Inspection Services | Corporate Office Solutions | Sampling Services | Lab Analysis Services | Container Fitness Inspection Services | Legal Representation | Law Firm | Stockpile and Volume Surveys Services | Loading Supervision Services | Tank Calibration Services</t>
  </si>
  <si>
    <t>Whether operating locally in Pakistan or internationally, businesses in industries like oil and gas, marine, and commodity trade can rely on our impartial inspection services to ensure compliance and accuracy.</t>
  </si>
  <si>
    <t>UNITEAM was established in 1989, as an independent inspection company with a motive to provide third party Quality Assurance &amp; Quality Control (QA/QC) inspection services in Pakistan &amp; abroad through our affiliates.. GAFTA Certification: Strengthening Uniteam's Position as a Trusted Inspection Service for the Global Grain and Feed Trade Achieving GAFTA certification is a significant milestone for Uniteam, cementing our reputation as a reliable and trusted inspection service for the global grain and feed trade industry. This prestigious certification demonstrates our compliance with GAFTA's rigorous standards for sampling, weighing, and analysis, ensuring that our clients receive the highest level of trade compliance and quality assurance. Our certified services help mitigate trade risks, ensure regulatory compliance, and deliver trusted results that improve operational efficiency. By choosing Uniteam, clients benefit from expert inspection services that are in line with global standards and best practices in the commodity market.</t>
  </si>
  <si>
    <t>Testing Laboratories (except veterinary testing laboratories)</t>
  </si>
  <si>
    <t>Technical testing and analysis</t>
  </si>
  <si>
    <t>(021) 111 222 626</t>
  </si>
  <si>
    <t>+922135861355 | +922135861358</t>
  </si>
  <si>
    <t>info@uniteam.com.pk</t>
  </si>
  <si>
    <t>http://uniteam.com.pk/</t>
  </si>
  <si>
    <t>2023-04-18T23:53:29.000Z</t>
  </si>
  <si>
    <t>UNITED INFORMATION HIGHWAY CO., LTD.</t>
  </si>
  <si>
    <t>2950b10d-93e5-11eb-919a-b3f9a5ad205c</t>
  </si>
  <si>
    <t>United Information Highway Co.,Ltd.</t>
  </si>
  <si>
    <t>United Information Highway Co. Ltd.</t>
  </si>
  <si>
    <t>UIH | UIH Udonthani</t>
  </si>
  <si>
    <t>Kamphaeng Phet 6 Road</t>
  </si>
  <si>
    <t>TH, Thailand, Bangkok, Chatuchak, 10900, Kamphaeng Phet 2 Road, 499, 13.8128759, 100.5497689 | TH, Thailand, Bangkok, Chatuchak, 10900, Kamphaeng Phet 6 Road, 499, 13.8511366, 100.5621745 | TH, Thailand, Udon Thani Province, Udon Thani, 41000, Thanon Udon Dutsadi Soi 4, , 17.418858, 102.79550289999999 | TH, Thailand, Songkhla Province, Hat Yai, 90110, , , 7.042491799999999, 100.4638539</t>
  </si>
  <si>
    <t>United Information Highway, legally known as United Information Highway Co. Ltd., is a leading digital infrastructure and solution provider based in Chatuchak, Bangkok, Thailand. The company offers a comprehensive range of services including managed network services, managed cloud services, managed security services, and digital as a service. UIH's services are designed to meet the needs of organizations of all sizes, providing high-speed internet services through a stable and secure fiber optic network, cloud services for data storage and backup, and cybersecurity solutions to prevent cyber threats. With over 20 years of experience, UIH serves clients across 28 different industries, ensuring network resiliency and operational efficiency.</t>
  </si>
  <si>
    <t>Smart Office Solutions | Managed Connectivity Services | Operational Resilience | Data Centers | SD Internet Services for Businesses | Telecommunications Services | SIP Trunk IP | Wifi As A Service | Secure Data Storage | Digital Infrastructure Provider | A2P Messaging | IP Surveillance | Telecommunications Reseller | Connect 4G Services | Video Conference Rooms | Switch/router | Business Continuity Workspace | Robust Backups and Recovery Procedures | SD-WAN Solutions Provider Services | Smart Warehouse Management System | Cloud VPN Services | IP Transit Services</t>
  </si>
  <si>
    <t>UIH provides enterprises with comprehensive high-speed internet services through a stable and secure fiber optic network. Leveraging state-of-the-art technologies, UIH ensures fast and secure data transmissions over its fiber-optic network.</t>
  </si>
  <si>
    <t>UIH is Thailand's leading Digital Infrastructure and Solution Provider for Business, providing inclusive digital network services under Managed Network Services to serve future technology needs in enterprises. We are one of the Managed Services providers in Thailand with our own network infrastructure allowing us to offer our customers a comprehensive solution that covers network cloud infrastructure, cyber security and digital as a service. Our management style is flexible and adaptable, which improves both your company outcomes and your customers' experiences. We are committed to providing global-grade services that are accredited with international standards/certifications. Satisfaction 3,578 Satisfied corporate customers who put their trust in UIH to manage. UIH provides ICT Services to clients across 28 different industries. UIH service coverage extends to 98% of strategic national business areas and international countries to offer the highest level of network resiliency. UIH provides enterprises with comprehensive high-speed internet services through a stable and secure fiber optic network.</t>
  </si>
  <si>
    <t>Digital Infrastructure Solutions | Acronis Backup | Managed Servers | Data Centers | Security Services | Web Application Firewall Waf | Marketing Technology | Digital Workplace | Managed Connectivity | Managed Security Service</t>
  </si>
  <si>
    <t>Community / Civic / Special Interest Groups (Non-Medical) | Data Processing Centres / Server Farms | Communication Equipment Installation - Residential | Cloud Computing | Burglar / Fire Alarm Installation (No Monitoring)</t>
  </si>
  <si>
    <t>864401 | 740701 | 153401 | 740808 | 173103</t>
  </si>
  <si>
    <t>02 016 5000</t>
  </si>
  <si>
    <t>+6620165000 | +6620165500 | +66841539235 | +6628314888 | +6620165678 | +6674427478 | +6620165111</t>
  </si>
  <si>
    <t>info@uih.co.th</t>
  </si>
  <si>
    <t>cc_support@uih.co.th</t>
  </si>
  <si>
    <t>https://www.uih.co.th/</t>
  </si>
  <si>
    <t>https://www.facebook.com/UIHbroadband/</t>
  </si>
  <si>
    <t>https://www.linkedin.com/company/uih</t>
  </si>
  <si>
    <t>javascript libraries: core-js | load balancers: amazon alb | web servers: imperva securesphere | seo: all in one seo pack | ui frameworks: bootstrap | javascript libraries: webp | web servers: empathy platform | performance: priority hints | web frameworks: bootstrap | analytics: google universal analytics | javascript libraries: swiper | security: recaptcha | wordpress plugins: elementor | javascript frameworks: datatables | widgets: css | paas: amazon web services | ui frameworks: animate.css | javascript libraries: magnific popup | miscellaneous: pwa | web frameworks: animate.css | font scripts: google font api | security: hsts | video players: youtube | wordpress plugins: all in one seo pack | javascript libraries: modernizr | databases: mysql | reverse proxy: nginx | issue trackers: really simple discovery | video players: mediaelement.js | javascript libraries: select2 | miscellaneous: open graph | captchas: recaptcha | reverse proxies: nunjucks | network devices: html | miscellaneous: jquery easing | font scripts: font awesome | javascript libraries: jquery ui | security: imperva | javascript frameworks: modernizr | translation: wpml | cdn: imperva | seo tool: facebook friendly | cookie compliance: cookieyes | javascript libraries: scrollmagic | network devices: html5 | miscellaneous: facebook | javascript frameworks: fancybox | javascript frameworks: gsap | cms: wordpress | blogs: wordpress | javascript frameworks: jquery ui | javascript libraries: fancybox | tag managers: google tag manager | miscellaneous: linkedin | javascript libraries: jquery | wordpress plugins: wpml | widgets: javascript | analytics: facebook pixel | javascript libraries: datatables | form builders: contact form 7 | web servers: nginx | programming languages: php | javascript libraries: jquery migrate | page builders: elementor | cdn: amazon cloudfront | wordpress plugins: contact form 7 | javascript frameworks: jquery | analytics: google analytics</t>
  </si>
  <si>
    <t>2019-11-23T23:27:53.000Z</t>
  </si>
  <si>
    <t>Ur Consult ApS</t>
  </si>
  <si>
    <t>d21a0337-03a5-11ec-a873-d574c694d6a6</t>
  </si>
  <si>
    <t>Pecunia Consult ApS</t>
  </si>
  <si>
    <t>Roested Partners ApS.</t>
  </si>
  <si>
    <t>Roested</t>
  </si>
  <si>
    <t>66B</t>
  </si>
  <si>
    <t>DK, Denmark, Capital Region of Denmark, Kongens Lyngby, 2830, Olesvej, 14, 55.797041, 12.46969</t>
  </si>
  <si>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</si>
  <si>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</si>
  <si>
    <t>Management consulting and interim positions.</t>
  </si>
  <si>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</si>
  <si>
    <t>Venture Capital | Business &amp; Development | Strategy &amp; Potential | Development Planning | Investor Pitch | Private Equity</t>
  </si>
  <si>
    <t>45 93 95 00</t>
  </si>
  <si>
    <t>+4521227772 | +4532095542</t>
  </si>
  <si>
    <t>info@roested.dk</t>
  </si>
  <si>
    <t>https://roested.dk/</t>
  </si>
  <si>
    <t>http://www.linkedin.com/company/roested-partners</t>
  </si>
  <si>
    <t>2021-08-22T21:08:36.000Z</t>
  </si>
  <si>
    <t>UTEL AS</t>
  </si>
  <si>
    <t>e5d58700-d139-11ec-90aa-d5cfd1428197</t>
  </si>
  <si>
    <t>Utel AS</t>
  </si>
  <si>
    <t>Agder</t>
  </si>
  <si>
    <t>Grimstad</t>
  </si>
  <si>
    <t>Jon Lilletuns vei</t>
  </si>
  <si>
    <t>NO, Norway, Agder, Grimstad, 4879, Jon Lilletuns vei, 1, 58.336502, 8.5762511</t>
  </si>
  <si>
    <t>Network monitoring, insight and analysis for operators and service providers. Understand performance, optimise operations, troubleshoot, enforce SLAs, and protect against threats with Utel.</t>
  </si>
  <si>
    <t>Network Monitoring and Fraud Management | Telecommunications Equipment Supplier | Fraud Detection | Assurance Solutions | Telecommunications Solutions Provider | Open RAN | Network Monitoring Solutions for Cspâ€™s | Data Analytics Solutions Provider | Data Acquisition from Multiple Network Interfaces | Network Optimization | Real-time Data Capture | Network Analytics Solutions | Software Development Services | Communications Service Providers | Voice Over Recording</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</si>
  <si>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</si>
  <si>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</si>
  <si>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</si>
  <si>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</si>
  <si>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41 21 31 84</t>
  </si>
  <si>
    <t>fg@utel.tech</t>
  </si>
  <si>
    <t>dpo@utel.tech</t>
  </si>
  <si>
    <t>hnh@utel.tech | fg@utel.tech | ekd@utel.tech</t>
  </si>
  <si>
    <t>https://utel.tech/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</si>
  <si>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</si>
  <si>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</si>
  <si>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</si>
  <si>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</si>
  <si>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</si>
  <si>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VANTIVA TECHNOLOGIES</t>
  </si>
  <si>
    <t>0330dd63-93e5-11eb-a746-fdabd18be9c6</t>
  </si>
  <si>
    <t>Vantiva</t>
  </si>
  <si>
    <t>Vantiva S.A. | Thomson sa. | Technicolor Motion Picture Corp. | Thomson Inc. | Technicolor SA.</t>
  </si>
  <si>
    <t>Vantiva | TECHNICOLOR | Technicolor concern | Thomson Multimedia</t>
  </si>
  <si>
    <t>Boulevard de Grenelle</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</si>
  <si>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LabnÃ¡, 1781, 20.647913199999998, -103.41781089999999 | US, United States, Tennessee, La Vergne, 37086, Sanford Road, 437, 35.983601, -86.57238799999999 | PL, Poland, Masovian Voivodeship, JÃ³zefosÅ‚aw, 05-500, Julianowska, 65A, 52.098371799999995, 21.0516403 | US, United States, Tennessee, Memphis, 38118, Memphis Oaks Drive, 5140, 35.009404599999996, -89.9304159 | GB, United Kingdom, England, Rugby, CV21 1QN, Cosford Lane, 1, 52.39764404296875, -1.2665607929229736</t>
  </si>
  <si>
    <t>consolidated company inside Technicolor based in France</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</si>
  <si>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</si>
  <si>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â€“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</si>
  <si>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</si>
  <si>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</si>
  <si>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</si>
  <si>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</si>
  <si>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</si>
  <si>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https://www.vantiva.com/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</si>
  <si>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</si>
  <si>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</si>
  <si>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</si>
  <si>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</si>
  <si>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</si>
  <si>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</si>
  <si>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2020-10-29T08:24:45.000Z</t>
  </si>
  <si>
    <t>Vertiv (Malaysia) Sdn. Bhd.</t>
  </si>
  <si>
    <t>2c4e0c60-b8a1-11eb-8bd4-f9c9a1d88595</t>
  </si>
  <si>
    <t>Vertiv (Malaysia) Sdn Bhd</t>
  </si>
  <si>
    <t>Vertiv Group Corporation | Vertiv Co. | Vertiv GmbH</t>
  </si>
  <si>
    <t>VERTIV</t>
  </si>
  <si>
    <t>Jalan Professor Khoo Kay Kim</t>
  </si>
  <si>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Lehrer-Wirth-StraÃŸe, 4, 48.1324855, 11.6934285 | US, United States, Ohio, Columbus, 43085, Dearborn Drive, 1050, 40.11324919770676, -82.98814854596094</t>
  </si>
  <si>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</si>
  <si>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</si>
  <si>
    <t>Boost the performance and efficiency of your data center or critical facility with our project management to preventive maintenance and other services.</t>
  </si>
  <si>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</si>
  <si>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</si>
  <si>
    <t>399101 | 529101 | 509201 | 153402 | 153401</t>
  </si>
  <si>
    <t>03-9388 0000</t>
  </si>
  <si>
    <t>+18773736374 | +18008005260 | +442380610311 | +18002225877 | +18643751757 | +16148416882 | +861058614177 | +18005432378 | +49899050070 | +18886304445 | +8675586010808 | +18008001280 | +442086182812 | +18662771924 | +18448412665 | +498941959927 | +16148880246 | +18005432778 | +18664868326 | +8675586015699</t>
  </si>
  <si>
    <t>salescloudsupport@vertivco.com</t>
  </si>
  <si>
    <t>https://www.vertiv.com/en-asia/?utm_source=google&amp;utm_medium=organic&amp;utm_campaign=gmb-listing</t>
  </si>
  <si>
    <t>https://www.linkedin.com/company/vertivchina</t>
  </si>
  <si>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</si>
  <si>
    <t>2021-05-19T11:54:20.000Z</t>
  </si>
  <si>
    <t>VERTIV (THAILAND) CO., LTD.</t>
  </si>
  <si>
    <t>ccf9e8fb-6dae-11ec-a0a5-5d41d5e823b0</t>
  </si>
  <si>
    <t>Vertiv (Thailand) Co.,Ltd.</t>
  </si>
  <si>
    <t>Vertiv Co.</t>
  </si>
  <si>
    <t>Vertiv</t>
  </si>
  <si>
    <t>Vibhavadi Rangsit</t>
  </si>
  <si>
    <t>JP, Japan, Tokyo, Tokyo, 108-0073, Daiichi Keihin, 3, 35.6464211, 139.74378769999998</t>
  </si>
  <si>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</si>
  <si>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</si>
  <si>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t>
  </si>
  <si>
    <t>Flexible UPS solutions for Edge Computing with Lithium Ion and VRLA Battery â€“ Vertiv Liebert GXT5 - YouTubeVertiv10.3K subscribersFlexible UPS solutions for Edge Computing with Lithium Ion and VRLA Battery â€“ Vertiv Liebert GXT5VertivSearchInfoShoppingTap to unmuteIf playback doesn't begin shortly, try restarting your device.You're signed outVideos you watch may be added to the TV's watch history and influence TV recommendations. Avocent CLRA ã‚³ãƒ³ã‚½ãƒ¼ãƒ«ã¯ ã€1U ã‚¹ãƒšãƒ¼ã‚¹ã« 8 / 16 ãƒãƒ¼ãƒˆã® KVM over IP ã‚¹ã‚¤ãƒƒãƒã‚’å†…è”µã§ãã€è¤‡æ•°ã®ã‚µãƒ¼ãƒã¸ã®ãƒ­ãƒ¼ã‚«ãƒ«ãŠã‚ˆã³ãƒªãƒ¢ãƒ¼ãƒˆã‚¢ã‚¯ã‚»ã‚¹ã‚’å®¹æ˜“ã«ã—ã€ã‚·ã‚¹ãƒ†ãƒ ç®¡ç†ã‚’åŠ¹çŽ‡åŒ–ã—ã¾ã™ã€‚.</t>
  </si>
  <si>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</si>
  <si>
    <t>509201 | 349501 | 153401 | 357001 | 571801</t>
  </si>
  <si>
    <t>02 481 6889</t>
  </si>
  <si>
    <t>+81357307500 | +81357307517</t>
  </si>
  <si>
    <t>tec-np.dcim.jp@dksh.com</t>
  </si>
  <si>
    <t>https://www.vertiv.com/</t>
  </si>
  <si>
    <t>ja</t>
  </si>
  <si>
    <t>cms: jimdo | reverse proxies: nginx | security: hsts | web servers: nginx</t>
  </si>
  <si>
    <t>2022-01-04T19:10:10.000Z</t>
  </si>
  <si>
    <t>Vertiv Energy Private Limited</t>
  </si>
  <si>
    <t>3dab2b4c-b0d3-11ef-95f9-0de7499436cf</t>
  </si>
  <si>
    <t>Vertiv Energy</t>
  </si>
  <si>
    <t>Vertiv Energy Private Limited | VERTIV LIMITED | Vertiv Co.</t>
  </si>
  <si>
    <t>Maharashtra</t>
  </si>
  <si>
    <t>Thane</t>
  </si>
  <si>
    <t>Road Number 16</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</si>
  <si>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</si>
  <si>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</si>
  <si>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</si>
  <si>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</si>
  <si>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022 4975 4500</t>
  </si>
  <si>
    <t>+12032946020 | +18774686384 | +23413429073 | +886281617666 | +551136186600 | +924236622526 | +18002096070 | +498990500791 | +17405475100</t>
  </si>
  <si>
    <t>https://www.vertiv.com/en-in/?utm_source=google&amp;utm_medium=organic&amp;utm_campaign=gmb-listing</t>
  </si>
  <si>
    <t>http://www.linkedin.com/company/vertiv-limited</t>
  </si>
  <si>
    <t>2021-07-27T16:21:16.000Z</t>
  </si>
  <si>
    <t>VERTIV (SINGAPORE) PTE. LTD.</t>
  </si>
  <si>
    <t>6eb19357-93e4-11eb-91fb-73d498260b10</t>
  </si>
  <si>
    <t>Vertiv Singapore Pte Ltd.</t>
  </si>
  <si>
    <t>Vertiv Inc.</t>
  </si>
  <si>
    <t>Vertiv | Vertivsl</t>
  </si>
  <si>
    <t>Lorong Chuan</t>
  </si>
  <si>
    <t>US, United States, New Jersey, Princeton, 08540, Vaughn Drive, 5, 40.3165176, -74.6264661 | GB, United Kingdom, England, London, E14 9GE, Harbour Exchange Square, 5, 51.499662349999994, -0.015358471883434576 | SG, Singapore, Central, Singapore, 178957, , , 1.33041305, 104.40611358446014 | IN, India, Telangana, Hyderabad, , , , 17.360589, 78.4740613</t>
  </si>
  <si>
    <t>Vertiv is a global integrated technology products and solutions company that specializes in catering to the needs of the banking and financial services industry. They offer mature and sophisticated product suites that enable banks to streamline their operations in areas such as Generative AI, Data Governance, Cloud &amp; Digital Transformation, Risk Management, Regulatory Reporting, and Compliance. Vertiv provides specialized software suites in areas including Data Governancy and Data Management, AI/MLOps based Reputational Risk and Sentiment Analysis, Regulatory reporting, Basel Ii/Iii Calculators, Risk management, Liquidity Risk Management and Finance Operations, Portfolio Management, Composite Management, and Attribution. They work closely with their customers as transformation partners to deliver and implement innovative software solutions across a number of technology platforms.</t>
  </si>
  <si>
    <t>Banks And Financial Services | Deep Domain Expertise | Saas Platforms | Big Data Enablement | Financing and Regulatory Compliance | Data Enablement | Niche Professional Services | Banking Industry | Human Resources Services | Technology Solutions Provider | Fully Integrated Service | Portfolio Management Services | Business Analytics | Regulatory Reporting Software | Ingesting Data Sources | Reporting Services | Liquidity Risk Modeling Software | Technology Consultation Services | Integrity Risk Management | Risk Management | Custom Programming Services | Innovative Product Suites | RAD Tools | Accounting Services | Analytics Adoption | Finance and Operations Software | Proprietary Products | Regulatory Compliance Services | Real-time Data Streams | Implementation Services</t>
  </si>
  <si>
    <t>CORPORATE PROFILEVertiv is a niche global integrated technology products and solutions company catering to needs of banking and financial services industry.</t>
  </si>
  <si>
    <t>Vertiv is a New Jersey-based SaaS platform that provides solutions such as risk management, data enablement and regulatory compliance for the finance industry.</t>
  </si>
  <si>
    <t>Stream Processing | Advanced Analytics | Data Scientists | Risk Management | Big Data | Data Science | Leadership Effectiveness | Supply Chain Management | Banks And Financial Services | Tracks &amp; Recordings</t>
  </si>
  <si>
    <t>Information Technology Consultants | Marketing Consultants | Management Consultants | Operations Consultants | Strategic Consultants</t>
  </si>
  <si>
    <t>641411 | 641405 | 641401 | 641403 | 641406</t>
  </si>
  <si>
    <t>6467 2211</t>
  </si>
  <si>
    <t>+16098979535 | +17327914790 | +441908330227</t>
  </si>
  <si>
    <t>https://twitter.com/vertivinc</t>
  </si>
  <si>
    <t>https://www.linkedin.com/company/vertiv_inc</t>
  </si>
  <si>
    <t>javascript libraries: owl carousel | ui frameworks: bootstrap - 3.3.7 | ui frameworks: bootstrap | miscellaneous: popper | web servers: empathy platform | web frameworks: bootstrap | widgets: css | ui frameworks: animate.css | cdn: cdnjs | web frameworks: animate.css | font scripts: google font api | reverse proxies: nginx | reverse proxy: nginx | cdn: owl carousel | cdn: google hosted libraries | network devices: html | javascript libraries: mixitup | miscellaneous: jquery easing | font scripts: font awesome | network devices: html5 | javascript frameworks: mixitup | javascript libraries: jquery - 3.2.1 | miscellaneous: linkedin | javascript libraries: jquery | widgets: owl carousel | widgets: javascript | web servers: nginx | cdn: cloudflare | miscellaneous: popper - 1.11.0 | javascript frameworks: jquery</t>
  </si>
  <si>
    <t>2019-11-24T02:08:32.000Z</t>
  </si>
  <si>
    <t>Viaplay Group AB (publ)</t>
  </si>
  <si>
    <t>a8089090-d8d5-11ec-a2a7-a103c2828e6a</t>
  </si>
  <si>
    <t>Viaplay Group</t>
  </si>
  <si>
    <t>Viaplay Group AB. | Nordic Entertainment Group AB.</t>
  </si>
  <si>
    <t>Viaplay Group | Nordic Entertainment Group | Nordic Enrertainment Group | NENT Group</t>
  </si>
  <si>
    <t>118 67</t>
  </si>
  <si>
    <t>Ringvägen</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</si>
  <si>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</si>
  <si>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</si>
  <si>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</si>
  <si>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</si>
  <si>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</si>
  <si>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Teleproduction and Other Postproduction Services</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</si>
  <si>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</si>
  <si>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</si>
  <si>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08-562 720 00</t>
  </si>
  <si>
    <t>+442087425100 | +46856202500</t>
  </si>
  <si>
    <t>https://www.viaplaygroup.com/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</si>
  <si>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</si>
  <si>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</si>
  <si>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</si>
  <si>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</si>
  <si>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</si>
  <si>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VIRTUAL WORLD (PVT.) LIMITED</t>
  </si>
  <si>
    <t>d17f4eab-93e4-11eb-90d2-e3355a7e800b</t>
  </si>
  <si>
    <t>Virtual World Communication Head Office</t>
  </si>
  <si>
    <t>Tracking World Pvt. Limited</t>
  </si>
  <si>
    <t>TRACKING WORLD</t>
  </si>
  <si>
    <t>M.A.Jinnah</t>
  </si>
  <si>
    <t>PK, Pakistan, Punjab, Lahore, 54770, Qazi Muhammad Isa Road, 51-B, 31.476058799999993, 74.3057838 | PK, Pakistan, Sindh, Karachi, 74400, Shahrah e Faisal, 1206, 24.852379400000004, 67.0348102 | PK, Pakistan, Islamabad Capital Territory, Islamabad, 44000, , , 33.616509799999996, 73.1699994</t>
  </si>
  <si>
    <t>Virtual World Communications deals in Attendance Machines, Access Control, CCTV Cameras, Metal Detectors, Walk Through Gates, Security Products of reputed companies like Clotix, Zkteco, Kyocera, Hikvision, Dahua, Suprema, Payroll Software, Web Designing etc. Call : 021-35631545, 0321-2485652, zkteco Distributor in Pakistan, zkteco Authorize Dealer in Pakistan</t>
  </si>
  <si>
    <t>Digital Strategy | Geofencing Technology | Website Design &amp; App Development | Auto Parts Delivery | Geographical Information System | 3D Mapping | Vehicle Tracking Solutions for Businesses | Fleet Management | Electronics Retailer | GPS Alarms | Dispatch &amp; Delivery | Driver Distraction | Cold Chain Monitoring | Bike Tracker | Car Diagnostics | Genset Monitoring | Offline Maps | GPS Tracking | Digital Branding | Tracker Fleet Management | Speed Monitoring | Vehicle Tracking and Management | Vehicle Protection Services | Automotive Parts and Accessories Retail | Biometric Solutions | Car Alarm Systems Supplier | Collision Detection | In-store Pickup | User Experience | Distance Detection</t>
  </si>
  <si>
    <t>Tracking World Pvt. Limited. Recognized among the world's premier tracking, navigation, and fleet management companies. As an official OEM partner for Honda, Toyota, Suzuki, FAW, and HINO etc. Tracking World Offering a comprehensive suite of services</t>
  </si>
  <si>
    <t>Alpha Track is a logistics company that provides fleet management and vehicle tracking services for enterprises.</t>
  </si>
  <si>
    <t>Logistics Companies | Fleet Management | Vehicle Trackers | IT Consulting Services</t>
  </si>
  <si>
    <t>Auto Parts</t>
  </si>
  <si>
    <t>TR-AP</t>
  </si>
  <si>
    <t>Automobiles</t>
  </si>
  <si>
    <t>TR.2</t>
  </si>
  <si>
    <t>0321 2485652</t>
  </si>
  <si>
    <t>+922135620007 | +923421117690 | +9242111226666</t>
  </si>
  <si>
    <t>helpdesk@virtualworldcommunications.com</t>
  </si>
  <si>
    <t>http://virtualworldcommunications.com/</t>
  </si>
  <si>
    <t>http://www.facebook.com/vwcpakistan</t>
  </si>
  <si>
    <t>http://twitter.com/vwcpakistan</t>
  </si>
  <si>
    <t>https://www.instagram.com/virtualworldcommunication/</t>
  </si>
  <si>
    <t>https://pk.linkedin.com/in/virtualworldcommunications</t>
  </si>
  <si>
    <t>https://apps.apple.com/us/app/sigma-tracking/id1290141206</t>
  </si>
  <si>
    <t>https://play.google.com/store/apps/details?id=com.sigma.trackingworld&amp;hl</t>
  </si>
  <si>
    <t>https://youtube.com/channel/UCUXSEDi2CUzySM7SMun6utQ?sub_confirmation=1</t>
  </si>
  <si>
    <t>wordpress plugins: wpbakery | photo galleries: photoswipe | javascript libraries: owl carousel | miscellaneous: rss | ui frameworks: bootstrap | javascript libraries: webp | maps: google maps | web servers: empathy platform | performance: priority hints | ecommerce: woocommerce | seo: yoast seo | javascript frameworks: jquery blockui | widgets: css | live chat: whatsapp business chat | ui frameworks: animate.css | font scripts: google font api | reverse proxies: nginx | blogging platforms: wordpress | video players: youtube | analytics: site kit | databases: mysql | issue trackers: really simple discovery | hosting: wordpress multisite | page builders: wpbakery | cms: site.com | video players: mediaelement.js | miscellaneous: open graph | seo: yoast seo premium | web frameworks: zurb foundation | seo tool: yoast seo | network devices: html | miscellaneous: jquery easing | javascript frameworks: jquery migrate | web servers: apache | seo tool: facebook friendly | advertising networks: google adsense | network devices: html5 | ui frameworks: zurb foundation | miscellaneous: facebook | wordpress plugins: woocommerce | cms: wordpress | blogs: wordpress | ecommerce: cart functionality | tag managers: google tag manager | wordpress plugins: site kit | analytics: facebook analytics | javascript libraries: jquery | widgets: javascript | wordpress plugins: redux framework | form builders: contact form 7 | font scripts: twitter emoji (twemoji) | seo tool: twitter friendly | web servers: nginx | wordpress plugins: yoast seo | programming languages: php | javascript libraries: jquery migrate | wordpress plugins: contact form 7 | miscellaneous: instagram | javascript frameworks: jquery | analytics: google analytics | javascript frameworks: tweenmax | javascript libraries: photoswipe</t>
  </si>
  <si>
    <t>2019-11-24T12:52:14.000Z</t>
  </si>
  <si>
    <t>MV-NORDIC A/S</t>
  </si>
  <si>
    <t>022e4b17-1808-11f0-8ad5-8f2399b12113</t>
  </si>
  <si>
    <t>Nordic Marine Service A / S</t>
  </si>
  <si>
    <t>Fyns Fuge og Montage | Fyns Fuge &amp; Montage</t>
  </si>
  <si>
    <t>Svendborg</t>
  </si>
  <si>
    <t>Grønlandsvej</t>
  </si>
  <si>
    <t>DK, Denmark, Region of Southern Denmark, Odense Kommune, 5000, , , 55.40284259309338, 10.391970035999492</t>
  </si>
  <si>
    <t>Din samarbejdspartner i og over vand. Nordic Marine Service A/S er godkendt af Søfartsstyrelsen og har mere end 30 års erfaring.</t>
  </si>
  <si>
    <t>Renovation Projects for Existing Buildings | Construction Services | Appliance Install | Roofing And Repairs | Sound Insulation Ceilings Installation | Building Services | Kitchen Setup | Assembly Services Provider | Installation Work | Ms-joints for Windows and Doors | Precision Craftsmanship | Electrical &amp; Plumbing | Grouting Works | Lightweight Walls | Flooring Installation | Plaster Ceiling | Interior Doors | Construction Activities | Joint Assembly Services</t>
  </si>
  <si>
    <t>Forside Montage fuger Kontakt os Fyns fuge &amp; montage Kontakt os Hvem er vi ?Fyns Fuge &amp; Montage er din pÃ¥lidelige partner inden for fugearbejde, montage og diverse byggeopgaver. Vi leverer kvalitetslÃ¸sninger til bÃ¥de private og erhvervskunder pÃ¥ Fyn, Jylland og pÃ¥ SjÃ¦lland. Med fokus pÃ¥ prÃ¦cision og hÃ¥ndvÃ¦rksmÃ¦ssig kvalitet udfÃ¸rer vi alt fra fugearbejde (indvendigt,</t>
  </si>
  <si>
    <t>Hos Fyns Fuge &amp; Montage tilbyder vi professionel udskiftning og montering af bÃ¥de nye og brugte vinduer og dÃ¸re. Hos Fyns Fuge &amp; Montage tilbyder vi professionel opsÃ¦tning af lofter i forskellige materialer, herunder gips, lydlofter, Troldtekt og andre speciallofter. Vi arbejder med bÃ¥de private og erhverv og skrÃ¦ddersyr lÃ¸sninger, der passer til dine behov â€“ hvad enten det er i boligen, pÃ¥ kontoret eller i en stÃ¸rre bygning. modtag tilbud. Hos Fyns Fuge &amp; Montage hjÃ¦lper vi med opbygning af nye vÃ¦relser og rum, sÃ¥ du fÃ¥r den ekstra plads, du har brug for. Vi arbejder med materialer af hÃ¸j kvalitet og leverer et flot, holdbart resultat, der passer til dine behov og Ã¸nsker. Hos Fyns Fuge &amp; Montage bygger vi terrasser i bÃ¥de trÃ¦ og komposit, uanset om du drÃ¸mmer om en lille privat terrasse eller en stor udendÃ¸rs lounge. Vi hjÃ¦lper med hele processen â€“ fra idÃ© og design til professionel konstruktion og afsluttende detaljer. Hos Fyns Fuge &amp; Montage tilbyder vi professionel lÃ¦gning af gulve til bÃ¥de private og erhverv pÃ¥ Fyn og i Jylland.</t>
  </si>
  <si>
    <t>Residential Buildings | Wall &amp; Ceiling | Building Services | Window And Doors | Roofing And Repairs | Weather Resistant | Electrical &amp; Plumbing | Interior Doors | Indoor Environment | Laminated Wood</t>
  </si>
  <si>
    <t>Flooring Contractors</t>
  </si>
  <si>
    <t>1799 | 1751</t>
  </si>
  <si>
    <t>Special Trade Contractors, NEC (countertop, residential-type, installation) | Carpentry Work (finish carpentry)</t>
  </si>
  <si>
    <t>20 35 86 95</t>
  </si>
  <si>
    <t>info@fynsfugeogmontage.dk</t>
  </si>
  <si>
    <t>mail@nmsdiving.dk</t>
  </si>
  <si>
    <t>http://www.nmsdiving.dk/</t>
  </si>
  <si>
    <t>https://www.facebook.com/NordicMarineService</t>
  </si>
  <si>
    <t>https://www.instagram.com/nordicmarineserviceas</t>
  </si>
  <si>
    <t>https://dk.linkedin.com/company/nordic-marine-service-a-s</t>
  </si>
  <si>
    <t>2025-04-11T15:21:26.000Z</t>
  </si>
  <si>
    <t>VOXOGO ApS</t>
  </si>
  <si>
    <t>ed5cca83-93e4-11eb-8859-29e7c34dee35</t>
  </si>
  <si>
    <t>Voxogo</t>
  </si>
  <si>
    <t>Voxogo ApS.</t>
  </si>
  <si>
    <t>Voxogo Aps. Store Kongensgade</t>
  </si>
  <si>
    <t>Kronprinsessegade</t>
  </si>
  <si>
    <t>DK, Denmark, Capital Region of Denmark, Copenhagen, 1306, Kronprinsessegade, 36, 55.6846199, 12.5826709</t>
  </si>
  <si>
    <t>Voxogo Cloud Communications, custom communication platforms for Microsoft and Salesforce Ecosystems. Contact center, telephony, conferencing.</t>
  </si>
  <si>
    <t>Telecommunications Services | Microsoft Teams Integration | Audio Conferencing | Electronics Recycling | Communication Platform Provider | Pay by Debit Card | Salesforce Integrations | Cloud-based Telephone Solution | Certified SKI Supplier | Anywhere365 Contact Center</t>
  </si>
  <si>
    <t>Se Teams Presence i Salesforce og viderestil til den rette medarbejder. Alt fra telefoni, chat og mail til fildeling og videomÃ¸der pÃ¥ samme platform. Super simpelt telefonmÃ¸de for din virksomhed. Voxogo leverer samlede samarbejdslÃ¸sninger til din virksomheds interne og eksterne kommunikationskanaler. Vi betjener mere end 15.000 kunder i Danmark, Norden og resten af verden.</t>
  </si>
  <si>
    <t>Audio Conference | Cloud Communication</t>
  </si>
  <si>
    <t>78 78 77 78</t>
  </si>
  <si>
    <t>info@voxogo.com</t>
  </si>
  <si>
    <t>info@voxogo.com | support@voxogo.com</t>
  </si>
  <si>
    <t>http://www.voxogo.com/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</si>
  <si>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</si>
  <si>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</si>
  <si>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</si>
  <si>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2019-11-25T22:36:26.000Z</t>
  </si>
  <si>
    <t>WATCHDATA TECHNOLOGIES PTE LTD</t>
  </si>
  <si>
    <t>f3e108dc-93e4-11eb-8e19-198fb02d6f96</t>
  </si>
  <si>
    <t>Watchdata Technologies Pte Ltd</t>
  </si>
  <si>
    <t>Beijing Watchdata Co. Ltd. | WATCHDATA TECHNOLOGIES PTE LTD. | WATCHDATA TECHNOLOGIES INDIA PRIVATE LIMITED</t>
  </si>
  <si>
    <t>Watchdata</t>
  </si>
  <si>
    <t>Collyer Quay</t>
  </si>
  <si>
    <t>SG, Singapore, Central, Singapore, 049317, Collyer Quay, 11, 1.2836404, 103.851757 | IN, India, Karnataka, Bengaluru, 560048, , , 12.992460821935484, 77.70122901741935 | FR, France, Provence-Alpes-CÃ´te d'Azur, Aix-en-Provence, 13856, , , 43.5298424, 5.4474738 | CN, China, Beijing, Shunyi District, 101318, , , 40.08790969848633, 116.53539276123047</t>
  </si>
  <si>
    <t>Watchdata continually strives for integration and innovation in the digital world</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</si>
  <si>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</si>
  <si>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</si>
  <si>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</si>
  <si>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</si>
  <si>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6572 9300</t>
  </si>
  <si>
    <t>+918041151110 | +622146821077 | +861080496066 | +6565729300 | +33442270097</t>
  </si>
  <si>
    <t>marketing@shoplytermylf.com</t>
  </si>
  <si>
    <t>http://www.watchdata.com/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</si>
  <si>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</si>
  <si>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</si>
  <si>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</si>
  <si>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</si>
  <si>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</si>
  <si>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WATEEN SOLUTIONS (PVT.) LIMITED</t>
  </si>
  <si>
    <t>01a825b8-6cda-11ec-9b86-b57766cd3ae5</t>
  </si>
  <si>
    <t>Wateen Telecom Limited</t>
  </si>
  <si>
    <t>Multi-Task Solutions Pvt. Limited</t>
  </si>
  <si>
    <t>Multi-Task Solution | Multi-Task Solutions</t>
  </si>
  <si>
    <t>Walton Road</t>
  </si>
  <si>
    <t>Main</t>
  </si>
  <si>
    <t>PK, Pakistan, Punjab, Lahore, 54010, , , 31.5656822, 74.3141829 | GB, United Kingdom, England, London, E10 5NQ, Lyttelton Road, , 51.5594975, -0.0082133</t>
  </si>
  <si>
    <t>Wateen is Pakistan's biggest Information and Communication Telecom company providing the fastest growing fiber optic network in the country</t>
  </si>
  <si>
    <t>Internet Marketing Consulting Services | Information Technology Solutions | Social Media Management Services | Service Establishment | Marketing-driven Development Services | UI/UX Design Services | Full-cycle Custom Software Development Services | Sales Practices | IT Consulting Services | Product Development Services | Website Development Services | App Development Services Provider | Bpo/call Center Solutions | Maintenance Services | Automation of Business Segments and Workflows</t>
  </si>
  <si>
    <t>From an idea to deployment &amp; after sale support, Multi-Task can assist on every step with latest technology solutions and best Sales &amp; Marketing practices for your business.</t>
  </si>
  <si>
    <t>We bring a lot of experience and knowledge of Social media marketing strategies due to our team of seasoned professionals. Our multidisciplinary approach to Social media management Pakistan guarantees that we recognize the special opportunities and problems faced by your company. Committed for making your Business Grow with the right Strategies, World-Class Standards and Tailored Approaches that will stand the Test of Time. With our all-inclusive digital marketing strategies and Managed IT services Pakistan, broaden your audience. We use SEO and targeted ads to increase traffic and engagement. Create engaging content that strengthens your business and connects with your audience. We create powerful messaging for websites and blog articles alike. In our website design service, we will create custom responsive designs for your brand. With the help of our Software development company Pakistan , we will assist to promote your brand and move into new markets with techniques such as pay per click advertising, social networking and search engine optimization.</t>
  </si>
  <si>
    <t>Mobile Application Development | Seo/seo | Marketing | Software Development | Social Media And Marketing | Website Development | Search Marketing | Consumer Internet | Custom Applications Development | Marketing And Advertising</t>
  </si>
  <si>
    <t>(042) 111 365 111</t>
  </si>
  <si>
    <t>info@multitasksols.com</t>
  </si>
  <si>
    <t>https://www.wateen.com/</t>
  </si>
  <si>
    <t>https://www.facebook.com/WateenTelecomLtd</t>
  </si>
  <si>
    <t>https://twitter.com/WateenTel</t>
  </si>
  <si>
    <t>https://www.instagram.com/wateentelecomlimited/</t>
  </si>
  <si>
    <t>https://www.linkedin.com/company/wateen-telecom-limited/</t>
  </si>
  <si>
    <t>https://www.youtube.com/user/Wateenltd</t>
  </si>
  <si>
    <t>web servers: ibm websphere application server | web servers: litespeed | javascript libraries: core-js | cdn: cdnetworks dns | wordpress plugins: elementskit | cdn: hostinger cdn | wordpress themes: astra | miscellaneous: rss | javascript libraries: webp | web servers: empathy platform | performance: priority hints | javascript libraries: swiper | wordpress plugins: elementor | widgets: css | live chat: whatsapp business chat | font scripts: google font api | miscellaneous: http/3 | databases: mysql | issue trackers: really simple discovery | cms: site.com | video players: mediaelement.js | hosting: hostinger | network devices: html | miscellaneous: jquery easing | font scripts: font awesome | javascript libraries: jquery ui | web servers: schannel | network devices: html5 | cms: wordpress | blogs: wordpress | javascript libraries: jquery | widgets: javascript | font scripts: twitter emoji (twemoji) | programming languages: php | wordpress themes: hello elementor | javascript libraries: jquery migrate | page builders: elementor</t>
  </si>
  <si>
    <t>2022-01-03T14:34:30.000Z</t>
  </si>
  <si>
    <t>Waystream AB</t>
  </si>
  <si>
    <t>c179226e-93e4-11eb-9937-4fab995bf8ff</t>
  </si>
  <si>
    <t>Waystream AB. | Waystream Deutschland GmbH</t>
  </si>
  <si>
    <t>Waystream | Waystreams | Waystream Group | Waystream Switches</t>
  </si>
  <si>
    <t>164 51</t>
  </si>
  <si>
    <t>Färögatan</t>
  </si>
  <si>
    <t>SE, Sweden, Stockholm County, Stockholm, 111 29, , , 59.3251172, 18.0710935 | SE, Sweden, Stockholm County, Stockholms kommun, 164 53, , , 59.404343, 17.9426177 | SE, Sweden, VÃ¤sterbotten County, UmeÃ¥, 903 26, , , 63.825590444444444, 20.261427455555555 | DE, Germany, Hamburg, Hamburg, 20459, , , 53.54731748133903, 9.979479904415955 | CN, China, Shanghai, Xuhui District, 200233, Hongmei Road, , 31.1645261, 121.3981294</t>
  </si>
  <si>
    <t>Waystream develops and distributes future-oriented digital infrastructure, such as switches and routers, with a focus on the FTTx market.</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</si>
  <si>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</si>
  <si>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</si>
  <si>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UmeÃ¥,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</si>
  <si>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</si>
  <si>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08-562 694 50</t>
  </si>
  <si>
    <t>+4916097519115 | +46766696753 | +46856269450 | +46721457854 | +46733309017 | +4915110740504 | +46725092776 | +4917676967517</t>
  </si>
  <si>
    <t>info@waystream.com</t>
  </si>
  <si>
    <t>stefanie.pack@waystream.com | niklaas.dierks@waystream.com | fredrik.lundberg@waystream.com | anna.idbrant@waystream.com | thomas.mittig@waystream.com | christian.ansorge@waystream.com</t>
  </si>
  <si>
    <t>https://www.waystream.com/</t>
  </si>
  <si>
    <t>https://www.facebook.com/WaystreamAB/</t>
  </si>
  <si>
    <t>https://twitter.com/waystreamab</t>
  </si>
  <si>
    <t>https://www.linkedin.com/company/waystream-ab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</si>
  <si>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</si>
  <si>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2019-11-24T12:02:52.000Z</t>
  </si>
  <si>
    <t>WIDEROE AS</t>
  </si>
  <si>
    <t>12bfb6c1-93e5-11eb-b89f-536884b3e7dd</t>
  </si>
  <si>
    <t>Widerøe AS</t>
  </si>
  <si>
    <t>Wideroe Technical Services AS | Wideroe Technical | Wideroe Technical Services | WiderÃ¸e Technical Services</t>
  </si>
  <si>
    <t>Nordland</t>
  </si>
  <si>
    <t>Bodø</t>
  </si>
  <si>
    <t>Langstranda</t>
  </si>
  <si>
    <t>NO, Norway, Nordland, BodÃ¸, 8003, Langstranda, 6, 67.2700302, 14.3400151 | NO, Norway, Vestfold og Telemark, Sandefjord, 3241, Torpveien, 3B, 59.181382199999994, 10.253552299999999</t>
  </si>
  <si>
    <t>WiderÃ¸e Technical Services AS (WTS) is a subsidiary of WiderÃ¸a AS, a company with over 80 years of experience in the aviation industry. WTS offers a range of services including full-service aircraft maintenance, repair, and overhaul (Mro), ground support equipment service, and training services. The company prides itself on its unique competence, innovation, and dedicated employees, as well as its ability to provide cost-effective solutions and minimize downtime for customers. WATS aims to support customers' maintenance needs and deliver excellence on time.</t>
  </si>
  <si>
    <t>Cost-effective Technology Solutions | Ground Support Services | Aviation Technology Solutions | Wheelchair Parking | Aircraft Maintenance | Air Transportation | Training Services | Component Maintenance | Home Storage Services | Maintenance, Repair, and Overhaul Services | Technical Services | Full-service Aircraft Mro-ground Support Equipment Service | Line Maintenance Services | Technology Partner</t>
  </si>
  <si>
    <t>WiderÃ¸e Technical Services AS (WTS) is a fully owned subsidiary of WiderÃ¸e AS.</t>
  </si>
  <si>
    <t>Du fÃ¥r jobbe med utfordringen med Ã¥ holde dagens flyflÃ¥te i hevd, samtidig bli med pÃ¥ reisen mot et teknologiskifte i bransjen og bli en av verdens fÃ¸rste flyteknikere med ekspertise pÃ¥ en helt ny teknologi. I WiderÃ¸e Technical Services (WTS) er vi ca. 400 medarbeidere, og er et selskap i WiderÃ¸e-konsernet. I tillegg har vi linjestasjoner i TromsÃ¸, Bergen, Sandefjord og FlorÃ¸. Base Maintenance 4 vedlikeholdslinjer for tungt vedlikehold, og to linjer for mindre prosjekter. Vi har linjestasjoner i BodÃ¸, TromsÃ¸, Bergen, Torp og FlorÃ¸. Med lager i BodÃ¸, Bergen og Sandefjord forsyner vi hele WiderÃ¸es flyflÃ¥te med 1000 vis av deler hver dag. WiderÃ¸e Technical Services har i dag fire fagomrÃ¥der du kan jobbe innen. Vi er i stadig vekst og Ã¸nsker oss flere dyktige, engasjerte og fremoverlente kolleger. Det er vÃ¥re medarbeidere som skaper resultatene i selskapet og er vÃ¥r viktigste ressurs. For Ã¥ kunne vÃ¦re et ledende selskap innen flyvedlikehold er vi opptatt av Ã¥ utvikle vÃ¥re dyktige medarbeidere, bygge gode eksperter og gi dem bredde- og spisskompetanse, samt gi muligheter til Ã¥ bygge en karriere i selskapet og konsernet.</t>
  </si>
  <si>
    <t>Technical Services | Daycare &amp; Schools | Educate Employees | Rental Vacancies | Aircraft Mro | Aerospace Component Manufacturing | Scale Aircraft | Aerospace | High Schools | Ground Support Equipments</t>
  </si>
  <si>
    <t>Operations Consultants | Aircraft Maintenance / Repair / Storage (incl Hangars) | Engineers | Management Consultants | Wholesale - Aircraft Supplies</t>
  </si>
  <si>
    <t>641403 | 458001 | 891601 | 641401 | 510401</t>
  </si>
  <si>
    <t>75 51 35 00</t>
  </si>
  <si>
    <t>+4748140310 | +4775513500 | +4775535010</t>
  </si>
  <si>
    <t>contact@wideroetechnical.com</t>
  </si>
  <si>
    <t>http://www.wideroe.no/</t>
  </si>
  <si>
    <t>https://www.instagram.com/flywideroe/</t>
  </si>
  <si>
    <t>http://www.linkedin.com/company/wider%c3%b8e-technical-services-as</t>
  </si>
  <si>
    <t>javascript libraries: lodash | javascript frameworks: requirejs | miscellaneous: webpack | issue trackers: sentry | widgets: css | javascript frameworks: react | javascript frameworks: lo-dash | website builders: wix | cms: wix | javascript libraries: mobx | javascript libraries: zepto | network devices: html | javascript frameworks: zepto | seo tool: facebook friendly | network devices: html5 | web servers: apache http server | javascript libraries: jquery | javascript libraries: polyfill | javascript frameworks: jquery | javascript frameworks: tweenmax</t>
  </si>
  <si>
    <t>2020-02-25T21:50:25.000Z</t>
  </si>
  <si>
    <t>Wilke Markedsanalyse A/S</t>
  </si>
  <si>
    <t>01eb8c25-93e5-11eb-b4a6-27899be4e45d</t>
  </si>
  <si>
    <t>Wilke A/S</t>
  </si>
  <si>
    <t>Wilke A/S.</t>
  </si>
  <si>
    <t>Wilke A S Aarhus</t>
  </si>
  <si>
    <t>Gråbrødrepassagen</t>
  </si>
  <si>
    <t>DK, Denmark, Region of Southern Denmark, Odense, 5000, GrÃ¥brÃ¸drepassagen, 9, 55.395916299999996, 10.3842164 | DK, Denmark, Capital Region of Denmark, Copenhagen, 1414, Overgaden Neden Vandet, 9C, 55.6720569, 12.589419500000002 | DK, Denmark, Central Denmark Region, Aarhus Municipality, 8000, Vestergade, 24, 56.157676, 10.204027900000002</t>
  </si>
  <si>
    <t>Vi er eksperter i at forstå menneskers behov. Vi hjælper med alt fra _x000D_
dataindsamling til analyse og forandring.</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</si>
  <si>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</si>
  <si>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</si>
  <si>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vÃ¦re mere end blot et analyseinstitut. Vi vil skabe bÃ¦redygtig forretningsudvikling og vÃ¦kst for vore kunder, baseret pÃ¥ dyb kundeindsigt og forstÃ¥else af vore kunders forretning. Ambitionen bliver til virkelighed gennem en unik kombination af hÃ¸j analysefaglig viden og unikke og validerede analysekoncepter og pÃ¥ den anden side en dybt funderet erfaring med rÃ¥dgivning om udvikling af bevisligt succesfulde forretningsmodeller.</t>
  </si>
  <si>
    <t>Commercial Economic, Sociological, and Educational Research (market research and opinion research)</t>
  </si>
  <si>
    <t>70 10 20 80</t>
  </si>
  <si>
    <t>+4521858660 | +4521830445 | +4531012022 | +4540417132 | +4570102080</t>
  </si>
  <si>
    <t>hej@wilke.dk</t>
  </si>
  <si>
    <t>hej@wilke.dk | samtykke@wilke.dk</t>
  </si>
  <si>
    <t>http://www.wilke.dk/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</si>
  <si>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</si>
  <si>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</si>
  <si>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2019-11-24T10:40:42.000Z</t>
  </si>
  <si>
    <t>WIPRO LIMITED</t>
  </si>
  <si>
    <t>e760f611-93e4-11eb-be5a-4f810ab55f2e</t>
  </si>
  <si>
    <t>Wipro Limited</t>
  </si>
  <si>
    <t>Western India Products Ltd. | Wipro Ltd. | Western India Palm Refined Oils Limited</t>
  </si>
  <si>
    <t>Wipro | Wipro Limited Bangalore | Wirpo | Saraware</t>
  </si>
  <si>
    <t>Sarjapur - Marathahalli Road</t>
  </si>
  <si>
    <t>IN, India, Karnataka, Bengaluru, 560035, Sarjapur Road, BBMP 2034/69\,Sarjapur Main Road\, Block 2 Village\, Varthur Hobli\, Kaikondrahalli, 12.9141193, 77.67859203471897 | IN, India, Tamil NÄdu, Chennai, 600119, Semmozhi Road, 602 03, 12.9011603, 80.2229656 | IN, India, Telangana, Hyderabad, 500032, Wipro SEZ Parking Route, , 17.425935745239258, 78.34406280517578 | IN, India, Maharashtra, Mumbai, 400076, , , 19.121923480124224, 72.9128505968944 | IN, India, West Bengal, Bidhannagar, 700091, Ring Road, 803A\, Tower 1\, 8th Floor\, PS Srijan Corporate Park\,  Sector V\, Salt Lake City\, Kolkata\, India â€“ 700091, 22.570026397705078, 88.43478393554688 | IN, India, Maharashtra, Pune, 411005, Chaturshringi Road, , 18.52546885, 73.84603170103503 | IN, India, Uttar Pradesh, Dadri, 201301, Sector 125\, Noida, , 28.54547691345215, 77.33186340332031 | IN, India, Tamil NÄdu, Coimbatore, 641004, , , 11.02872731111111, 77.00976825555556 | MX, Mexico, Jalisco, Tlaquepaque, 45601, Avenida CristÃ³bal ColÃ³n Sur, 6013, 20.6001046, -103.4045555 | IN, India, Haryana, Gurgaon, 122016, Old Delhi Gurgaon Road, , 28.5007043, 77.0671628519061</t>
  </si>
  <si>
    <t>Indian information technology services corporation headquartered in Bengaluru, India</t>
  </si>
  <si>
    <t>Public Sector IT Consulting | Digital Strategy Solutions | Consulting and Business Services | Artificial Intelligence Services | Telecommunications IT Services | Healthcare IT Solutions | IT Outsourcing Services | Data Analytics Services | Retail IT Solutions | Energy Management Services | Banking Financial Services | Cloud Computing Services | Information Technology Services | Cybersecurity Solutions | Enterprise Software Development</t>
  </si>
  <si>
    <t>Wipro Limited (NYSE: WIT, BSE: 507685, NSE: WIPRO) is a leading technology services and consulting company focused on building innovative solutions that address clients' most complex digital transformation needs.</t>
  </si>
  <si>
    <t>As a global leader, Wipro blends consulting and AI expertise across design, engineering and operations to accelerate business transformation and deliver future-ready technology.</t>
  </si>
  <si>
    <t>IT Consulting Services</t>
  </si>
  <si>
    <t>Software Developers (Custom) | Information Technology Consultants | Software Implementation Integration | Cloud Computing | Data Processing Centres / Server Farms</t>
  </si>
  <si>
    <t>891802 | 641411 | 740810 | 740808 | 740701</t>
  </si>
  <si>
    <t>080 4682 7999</t>
  </si>
  <si>
    <t>+81456503951 | +558533054747 | +36303621654 | +4570277700 | +27110616500 | +916503163555 | +523320021249 | +31207302233 | +4767827324 | +16159102373 | +43153278030 | +97143908578 | +23412719110 | +46702673648 | +4687453020 | +431532780333 | +97440297584 | +33188941313 | +525558701995 | +622123584401 | +97143913480 | +523320021200 | +918046827999 | +23412719133 | +4969999916600 | +916157781545 | +6560196035 | +918028440011 | +61284599350 | +49711520300 | +918061427999 | +916503163468 | +525521556692 | +31235649000 | +35898632037 | +61386232500 | +918028440256 | +497115203040 | +60327062500 | +554130282500 | +97440297585 | +622123584691 | +41434959900 | +81456503950 | +4935120781790 | +27110616554 | +551123131300 | +862865542001</t>
  </si>
  <si>
    <t>sr20220918@wipro.com</t>
  </si>
  <si>
    <t>info@wipro.com | info.germany@wipro.com | data.privacy@wipro.com | reception.stockholm@wipro.com | dpo-europe@wipro.com | reception.budapes1@wipro.com | digital.contact@wipro.com | info.austria@wipro.com</t>
  </si>
  <si>
    <t>wipro-congapractice@wipro.com | oracle.marketing@wipro.com | sukant.paikray@wipro.com | rajpal.gohar@wipro.com | plantengineering-i4@wipro.com | james.boyke@wipro.com | sr20220918@wipro.com | aisolutions.contact@wipro.com | global.consulting@wipro.com | ip-channels@wipro.com | domain.consulting@wipro.com | wipro.airports1@wipro.com | wipro.enc@wipro.com | enterpriseops.transformation@wipro.com | aws.practice@wipro.com</t>
  </si>
  <si>
    <t>https://www.wipro.com/</t>
  </si>
  <si>
    <t>https://www.facebook.com/WiproLimited/</t>
  </si>
  <si>
    <t>https://twitter.com/wipro</t>
  </si>
  <si>
    <t>https://www.instagram.com/wiprolimited</t>
  </si>
  <si>
    <t>https://www.linkedin.com/company/wipro</t>
  </si>
  <si>
    <t>https://www.youtube.com/user/Wiprovideos</t>
  </si>
  <si>
    <t>web servers: ibm websphere application server | javascript libraries: lodash | analytics: adobe analytics | javascript libraries: core-js | javascript libraries: jquery - 3.7.1 | cms: adobe experience manager | analytics: hotjar | ui frameworks: bootstrap | advertising: linkedin ads | analytics: google ads conversion tracking | javascript frameworks: handlebars | cms: sitecore | miscellaneous: popper | documentation tools: demandbase | web servers: empathy platform | web frameworks: bootstrap | analytics: google universal analytics | miscellaneous: webpack | javascript libraries: slick | security: recaptcha | customer data platform: adobe experience platform identity service | ssl/tls certificate authorities: digicert | tag managers: adobe experience platform launch | advertising: demandbase | widgets: css | ui frameworks: bootstrap - 3.4.1 | web frameworks: microsoft asp.net | paas: amazon web services | ui frameworks: tableau | javascript frameworks: react | javascript frameworks: lo-dash | javascript frameworks: flickity | miscellaneous: onetrust | font scripts: google font api | marketing automation: 6sense | analytics: google analytics - GA4 | security: hsts | retargeting: adobe audience manager | video players: youtube | javascript libraries: modernizr | miscellaneous: optanon | miscellaneous: module federation | reverse proxy: nginx | cms: site.com | font scripts: adobe fonts | font scripts: typekit | font scripts: font awesome - 4.7.0 | cdn: google hosted libraries | javascript frameworks: angular | miscellaneous: open graph | video players: jw player | cookie compliance: onetrust | network devices: html | miscellaneous: pyscript | miscellaneous: jquery easing | tag managers: adobe dynamic tag management | font scripts: font awesome | marketing automation: marketo | paas: demandbase | saas: adobe target | web servers: apache | javascript frameworks: modernizr | operating systems: windows server | seo tool: facebook friendly | advertising: google ads | javascript libraries: fancybox - 3.5.7 | javascript libraries: lightbox | javascript frameworks: slick | network devices: html5 | video players: vimeo | web servers: apache http server | miscellaneous: facebook | document management systems: adobe audience manager | analytics: linkedin insight tag | javascript libraries: fancybox | web servers: iis | a/b testing: omniture adobe test and target | programming languages: python | saas: adobe experience platform identity service | tag managers: google tag manager | miscellaneous: linkedin | javascript libraries: jquery | javascript libraries: tooltipster | widgets: javascript | web mail: marketo mail | miscellaneous: prism | analytics: adobe audience manager | seo tool: twitter friendly | web servers: nginx | retargeting: google dynamic remarketing | personalisation: 6sense | miscellaneous: clipboard.js | javascript libraries: jquery migrate | cdn: amazon cloudfront | miscellaneous: instagram | javascript frameworks: jquery | analytics: google analytics | javascript libraries: flickity | programming languages: java</t>
  </si>
  <si>
    <t>2019-11-24T00:00:14.000Z</t>
  </si>
  <si>
    <t>WIPRO LIMITED (SINGAPORE BRANCH)</t>
  </si>
  <si>
    <t>00f78553-f12a-11ee-87d7-97c1ed19f975</t>
  </si>
  <si>
    <t>Wipro Limited (Singapore Branch)</t>
  </si>
  <si>
    <t>VISTA INTERNATIONAL MANAGEMENT INSTITUTE</t>
  </si>
  <si>
    <t>Singapore Hongjian International Management College</t>
  </si>
  <si>
    <t>George Street</t>
  </si>
  <si>
    <t>SG, Singapore, Central, Singapore, 081002, Cantonment Road, 53, 1.2768883, 103.8407643</t>
  </si>
  <si>
    <t>Business School | Business Education and Training | High-end Talent Training | Management Consulting Services | Foreign Exchange | Human Resources Training | Industrial Applications | Industry Empowerment</t>
  </si>
  <si>
    <t>Singapore Hongjian International Management College is a college/university based in Singapore.</t>
  </si>
  <si>
    <t>admin@vistacollege.com.sg</t>
  </si>
  <si>
    <t>http://www.wipro.com/</t>
  </si>
  <si>
    <t>https://twitter.com/VistaPte88724</t>
  </si>
  <si>
    <t>web servers: .net framework | javascript libraries: parallax.js | web servers: empathy platform | widgets: css | web frameworks: microsoft asp.net | cms: site.com | analytics: lazy load | network devices: html | miscellaneous: jquery easing | javascript libraries: jquery lazy load | network devices: html5 | miscellaneous: facebook | miscellaneous: linkedin | javascript libraries: jquery | widgets: javascript | web servers: tengine</t>
  </si>
  <si>
    <t>2024-01-06T17:07:52.000Z</t>
  </si>
  <si>
    <t>Wire &amp; Wireless Co Ltd</t>
  </si>
  <si>
    <t>727be343-ba6f-11eb-a6d9-7794e56e1994</t>
  </si>
  <si>
    <t>Wire &amp; Wireless Co., Ltd. (Nakornpathom)</t>
  </si>
  <si>
    <t>Wire &amp; Wireless Co. Ltd.</t>
  </si>
  <si>
    <t>Wire &amp; Wireless</t>
  </si>
  <si>
    <t>Chang Wat Nakhon Pathom</t>
  </si>
  <si>
    <t>ตำบลห้วยจรเข้</t>
  </si>
  <si>
    <t>Phetkasem Frontage Road</t>
  </si>
  <si>
    <t>499/1</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</si>
  <si>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</si>
  <si>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</si>
  <si>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</si>
  <si>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</si>
  <si>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</si>
  <si>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</si>
  <si>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</si>
  <si>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</si>
  <si>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</si>
  <si>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contact@ww.co.th</t>
  </si>
  <si>
    <t>https://www.ww.co.th/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</si>
  <si>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</si>
  <si>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</si>
  <si>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2021-05-21T19:06:50.000Z</t>
  </si>
  <si>
    <t>WOODLANDS TRANSPORT SOLUTIONS PTE. LTD.</t>
  </si>
  <si>
    <t>3a3d6cb0-93e5-11eb-8ad6-7326edce8d21</t>
  </si>
  <si>
    <t>Woodlands Transport Service Pte Ltd</t>
  </si>
  <si>
    <t>Woodlands Transport Service Pte Ltd.</t>
  </si>
  <si>
    <t>Woodlands Transport</t>
  </si>
  <si>
    <t>Gul Circle</t>
  </si>
  <si>
    <t>SG, Singapore, Central, Singapore, 627864, Gul Circle, 8, 1.312997, 103.67371057392903</t>
  </si>
  <si>
    <t>Singapore’s Largest Private Bus Operator / Provider (Bus Charter, Bus Chartering, School Bus Transport, Corporate Transport, Changi Airport Shuttle), Singapore’s Trusted Construction Vehicles Provider (Cement Tankers, Lorry Cranes, Mixer Trucks, Prime Movers, Trailers, Roll-on Roll-off, Tipper trucks, Wheel Loaders) and Singapore’s Leading Tour and Travel Agency (WTS Travel).</t>
  </si>
  <si>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</si>
  <si>
    <t>Singaporeâ€™s Largest Private Bus Operator (Bus Chartering, School Transport, Corporate Transport, Changi Airport Shuttle), Singaporeâ€™s Trusted Construction Vehicles Provider (Cement Tankers, Lorry Cranes, Mixer Trucks, Prime Movers, Trailers, Roll-on Roll-off, Tipper trucks, Wheel Loaders) and Singaporeâ€™s Leading Tour and Travel Agency (WTS Travel).</t>
  </si>
  <si>
    <t>Singaporeâ€™s Largest Private Bus Operator / Provider (Bus Charter, Bus Chartering, School Bus Transport, Corporate Transport, Changi Airport Shuttle), Singaporeâ€™s Trusted Construction Vehicles Provider (Cement Tankers, Lorry Cranes, Mixer Trucks, Prime Movers, Trailers, Roll-on Roll-off, Tipper trucks, Wheel Loaders) and Singaporeâ€™s Leading Tour and Travel Agency (WTS Travel).</t>
  </si>
  <si>
    <t>Buses, Shuttles &amp; Local Transit</t>
  </si>
  <si>
    <t>4142 | 4141</t>
  </si>
  <si>
    <t>Bus Charter Service, Except Local | Local Bus Charter Service</t>
  </si>
  <si>
    <t>Motorcoaches / Charter Bus Operations | Transportation Terminal (Motor Freight) | Business Services - Not Otherwise Classified | Freight Brokers | Household Moving / Packing Operations</t>
  </si>
  <si>
    <t>Other passenger land transport</t>
  </si>
  <si>
    <t>49.39 | 49.32</t>
  </si>
  <si>
    <t>Other passenger land transport n.e.c. | Taxi operation</t>
  </si>
  <si>
    <t>411902 | 429001 | 740801 | 487101 | 426301</t>
  </si>
  <si>
    <t>6559 8988</t>
  </si>
  <si>
    <t>+16565598988 | +6565598988 | +6568620078 | +6568982394</t>
  </si>
  <si>
    <t>contact-us@woodlandstransport.com.sg</t>
  </si>
  <si>
    <t>https://woodlandstransport.com.sg/</t>
  </si>
  <si>
    <t>https://www.facebook.com/WoodlandsTransport/</t>
  </si>
  <si>
    <t>http://www.linkedin.com/company/woodlands-transport-service-pte-ltd</t>
  </si>
  <si>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</si>
  <si>
    <t>2019-11-24T10:54:34.000Z</t>
  </si>
  <si>
    <t>WORKDAY LIMITED</t>
  </si>
  <si>
    <t>8c15d642-93e4-11eb-8474-3bbe2d07207d</t>
  </si>
  <si>
    <t>Workday - Dublin</t>
  </si>
  <si>
    <t>Workday</t>
  </si>
  <si>
    <t>Dublin 7</t>
  </si>
  <si>
    <t>D07 A0TN</t>
  </si>
  <si>
    <t>Church Street</t>
  </si>
  <si>
    <t>IE, Ireland, Leinster, Dublin, D07 DE0E, New Church Street, , 53.347704990932606, -6.277241155769269</t>
  </si>
  <si>
    <t>The world is evolving fast. With one cloud system from Workday, you can build your business to adapt to what’s next. Learn more.</t>
  </si>
  <si>
    <t>Technology Stack | Monitoring, Reporting, and Alerting Services | Software Development Services | Technology Development | Platform Engineering Services | Logging and Stats Development Services</t>
  </si>
  <si>
    <t>The team are using in-memory data fabrics to build a scalable, resilient distributed datastore.</t>
  </si>
  <si>
    <t>This blog provides a place where we can discuss technologies we are actively researching, using or just excited about. We are moving the blog to Medium. Would you like to MEET some of the teams involved in scaling the Workday platform. David Clarke, Senior VP of Technology Development, will talk about the technology we are building, now chosen by over 150 of the world's Fortune 500 companies. Our senior developers will talk in one-to-one sessions through the details of their world at Workday, including the challenges faced and software technologies used. Logging and Stats Development: Elasticsearch, Logstash, Kibana, Hadoop, Kafka. Production Engineering: Ruby and REST. Workday Dublin's Frederic Meyer will be giving a talk about "Continuous Delivery @ Workday" , giving a peek at the magic behind how we continually deliver the latest software to 1000's of Workday Customers. The Workday Hackathon is an annual 24 hour event where workmates get to work on whatever project they would like. The only rule: Don't do your day job.</t>
  </si>
  <si>
    <t>Functional Programming | Platform Engineering | Software Engineering | Object Oriented Programming | Portfolio Management | Software Defined Networking Sdn | Software Development | Computing Resources | Network Function Virtualization | Machine Learning</t>
  </si>
  <si>
    <t>Software Developers (Pre-Packaged) | Software Developers (Custom) | Technology Customer Support Services (For others) | Management Consultants | Software Implementation Integration</t>
  </si>
  <si>
    <t>891801 | 891802 | 740809 | 641401 | 740810</t>
  </si>
  <si>
    <t>(01) 241 9900</t>
  </si>
  <si>
    <t>https://www.workday.com/en-gb/homepage.html</t>
  </si>
  <si>
    <t>https://www.facebook.com/workday</t>
  </si>
  <si>
    <t>https://x.com/workday</t>
  </si>
  <si>
    <t>https://www.instagram.com/workday</t>
  </si>
  <si>
    <t>https://www.linkedin.com/company/workday</t>
  </si>
  <si>
    <t>https://www.youtube.com/user/workdayvideo</t>
  </si>
  <si>
    <t>cdn: fastly | widgets: twitter | miscellaneous: rss | ui frameworks: bootstrap | web frameworks: ruby on rails | web servers: empathy platform | widgets: css | programming languages: ruby | cdn: github pages | paas: github pages | cache tools: varnish | video players: youtube | font scripts: youtube iframe embed | cms: site.com | network devices: html | network devices: html5 | caching: varnish | widgets: javascript | ssl/tls certificate authorities: sectigo | advertising: twitter ads | analytics: google analytics</t>
  </si>
  <si>
    <t>2019-11-24T10:34:39.000Z</t>
  </si>
  <si>
    <t>WTW REAL ESTATE SDN. BHD.</t>
  </si>
  <si>
    <t>b80b9753-17de-11ee-b9eb-93f77cdb42f2</t>
  </si>
  <si>
    <t>CBRE WTW Valuation &amp; Advisory Sdn Bhd (formerly known as C H Williams Talhar &amp; Wong Sdn Bhd)</t>
  </si>
  <si>
    <t>WTW Real Estate Sdn. Bhd.</t>
  </si>
  <si>
    <t>Jalan Munshi Abdullah</t>
  </si>
  <si>
    <t>MY, Malaysia, Johor, Johor Bahru, 80000, Jalan Trus, , 1.5013337999999998, 103.7774187</t>
  </si>
  <si>
    <t>CBRE | WTW is well positioned and competent to provide comprehensive and focused property services to national and international Clients.</t>
  </si>
  <si>
    <t>WTW Real Estate Sdn. Bhd. is a real estate agent/manager based in Johor Bahru, Malaysia.</t>
  </si>
  <si>
    <t>03-2616 8888</t>
  </si>
  <si>
    <t>http://www.cbre-wtw.com.my/</t>
  </si>
  <si>
    <t>https://www.facebook.com/cbrewtwmy/</t>
  </si>
  <si>
    <t>https://my.linkedin.com/company/cbre-wtw</t>
  </si>
  <si>
    <t>2023-07-01T07:10:47.682Z</t>
  </si>
  <si>
    <t>XIT SOFTWARE ApS</t>
  </si>
  <si>
    <t>ae1ecc30-0c00-11ec-882c-e7dd96ffa691</t>
  </si>
  <si>
    <t>Xit Software ApS</t>
  </si>
  <si>
    <t>xIT Software ApS.</t>
  </si>
  <si>
    <t>Xit Software | xIT</t>
  </si>
  <si>
    <t>Onsgårdsvej</t>
  </si>
  <si>
    <t>DK, Denmark, Capital Region of Denmark, Gentofte Municipality, 2900, , , 55.73356924413569, 12.560813996589678</t>
  </si>
  <si>
    <t>Hvad er en itm8? Vi er præcis, hvad navnet siger: Din m8* (*mate), der er ekspert i IT. Vi er din partner til 360 graders IT.</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</si>
  <si>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</si>
  <si>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Ã¥rs erfaring med analyse, rÃ¥dgivning, udvikling og implementering af store som smÃ¥ lÃ¸sninger fra forskellige brancher.</t>
  </si>
  <si>
    <t>XIT Software develops solutions based on Microsoft products &amp; consults with expertise in developing &amp; implementing major Navision solutions.</t>
  </si>
  <si>
    <t>Software Development of Software Solutions | Microsoft Products</t>
  </si>
  <si>
    <t>32 11 32 64</t>
  </si>
  <si>
    <t>info@xit.dk</t>
  </si>
  <si>
    <t>information@itm8.com</t>
  </si>
  <si>
    <t>http://www.copenhagensoftware.com/</t>
  </si>
  <si>
    <t>https://www.facebook.com/itm8dk/</t>
  </si>
  <si>
    <t>https://www.instagram.com/itm8inside</t>
  </si>
  <si>
    <t>https://www.linkedin.com/company/itm8dk/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</si>
  <si>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</si>
  <si>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</si>
  <si>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Yangtze Optical Fibre And Cable Joint Stock Ltd.</t>
  </si>
  <si>
    <t>c9fbf78c-8b5f-11ec-9e94-331f9459c7f5</t>
  </si>
  <si>
    <t>Yangtze Optical Fibre and Cable Co., Ltd.</t>
  </si>
  <si>
    <t>Fibre and Cable Joint Stock Limited</t>
  </si>
  <si>
    <t>Yangtze Optical Fibre and Cable Joint Stock</t>
  </si>
  <si>
    <t>Si Chuan Sheng</t>
  </si>
  <si>
    <t>Cheng Du Shi</t>
  </si>
  <si>
    <t>Qing Jiang Dong Lu</t>
  </si>
  <si>
    <t>CN, China, Hubei, Wuhan, 430073, , , 30.472483921428573, 114.4975944</t>
  </si>
  <si>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</si>
  <si>
    <t>Design and Engineering Services | Manufacturing | RF Cables Manufacturer | Production | Design Services for Optical Fibre Industry</t>
  </si>
  <si>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</si>
  <si>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</si>
  <si>
    <t>Cable Jointing | Fiber Optic Cabling | Coaxial Cables | Optical Cable</t>
  </si>
  <si>
    <t>Ophthalmic &amp; Optical Instruments &amp; Lenses</t>
  </si>
  <si>
    <t>5411 | 5142 | 5963 | 5431 | 5961 | 5961 | 5421 | 5995 | 5961</t>
  </si>
  <si>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</si>
  <si>
    <t>47.91 | 47.89 | 47.76 | 47.77 | 47.78 | 47.99</t>
  </si>
  <si>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</si>
  <si>
    <t>https://www.yofc.com.cn/</t>
  </si>
  <si>
    <t>2022-02-11T17:24:05.000Z</t>
  </si>
  <si>
    <t>YINDA TECHNOLOGY (THAILAND) COMPANY LIMITED</t>
  </si>
  <si>
    <t>e26d008f-4dae-11ee-820a-3797d6fca93c</t>
  </si>
  <si>
    <t>Pinda Technology (Thailand) Co.,Ltd.</t>
  </si>
  <si>
    <t>Yinda Technology Thailand Co. Ltd.</t>
  </si>
  <si>
    <t>Yinda Infocomm</t>
  </si>
  <si>
    <t>Chang Wat Chon Buri</t>
  </si>
  <si>
    <t>Tambon That Thong</t>
  </si>
  <si>
    <t>Ratchadapisek Road</t>
  </si>
  <si>
    <t>TH, Thailand, Bangkok, Huai Khwang, 10310, Soi Ratchadapisek 18, 240/63, 13.7834715, 100.5813573</t>
  </si>
  <si>
    <t>Yinda TechnologyThailandCo., legally known as Yinda Technology Thailand Co. Ltd., is a company based in Bangkok, Thailand, specializing in integrated and innovative communication solutions and services. With over 20 years of experience in the telecommunications industry, the company offers full turnkey solutions to communications network operators and vendors. is expanding its capabilities to include biometric-based identity management solutions, providing advanced technologies such as facial, iris, and fingerprint recognition. The company aims to become a leading global technology provider, focusing on secure and efficient communication across various networks and services.</t>
  </si>
  <si>
    <t>Identity Verification and Management Services | E-kyc Suite Platform | Technology Company | Integrated Communication and Security Solutions | National Identity Management System | Multi-disciplinary Solutions | Biometric Identity Management Solutions</t>
  </si>
  <si>
    <t>Weâ€™re a Regional Integrated and Innovative Communication Solutions and Services Provider.</t>
  </si>
  <si>
    <t>We're a Regional Integrated and Innovative Communication Solutions and Services Provider. Biometric-based Identity Management at its core. TECH5 established leader in communication solutions and services, Yinda Infocomm has over 20 years of experience in the telecommunications industry. Yinda Infocomm offers full turnkey solutions to communications network operators and vendors to adapt to the changing needs of mobile device users. With years of successful network optimization, Yinda Infocomm will be evolving into a Leading Global Technology Company with the augmentation of Biometric-based Identity Management solutions to its capabilities. Pushing the boundaries of technology. We provide multi-disciplinary solutions to secure integrated communication across numerous networks and services. We have the skills, knowledge and experience to offer you the right bespoke solution to meet your communications requirements. Our identity verification and management solutions support organizations in the collection, management, processing, and matching of biometric images and data for identification and authentication efforts.</t>
  </si>
  <si>
    <t>Identity Management Solutions | Security Integration | Fingerprint Recognition | Identity System</t>
  </si>
  <si>
    <t>038 190 350</t>
  </si>
  <si>
    <t>http://yinda.co.th/</t>
  </si>
  <si>
    <t>https://www.facebook.com/yindadiscovery/</t>
  </si>
  <si>
    <t>https://twitter.com/yindadiscovery</t>
  </si>
  <si>
    <t>javascript frameworks: requirejs | javascript libraries: core-js | programming languages: typescript | issue trackers: sentry | widgets: css | javascript frameworks: react | miscellaneous: pwa | programming languages: graphql | network devices: html | network devices: html5 | javascript libraries: apollo | widgets: javascript | javascript frameworks: prototype | hosting panels: plesk</t>
  </si>
  <si>
    <t>2023-09-07T17:54:46.000Z</t>
  </si>
  <si>
    <t>ZALARIS HR SERVICES DANMARK A/S</t>
  </si>
  <si>
    <t>1965cb44-f87f-11ed-ab94-9d382b3b5926</t>
  </si>
  <si>
    <t>Zalaris HR Services Danmark A/S</t>
  </si>
  <si>
    <t>Zalaris HR Services Danmark A/S.</t>
  </si>
  <si>
    <t>Høje Taastrup Boulevard</t>
  </si>
  <si>
    <t>DK, Denmark, Capital Region of Denmark, Taastrup, 2630, Selsmosevej, 33, 55.6480384, 12.2702587</t>
  </si>
  <si>
    <t>Zalaris helps organisations streamline HR and payroll processes across geographies, industries and technology platforms including SAP, Oracle, Workday and CornerStone.</t>
  </si>
  <si>
    <t>Zalaris HR Services Danmark A/S. is a hr consulting &amp; employment agency based in Taastrup, Denmark.</t>
  </si>
  <si>
    <t>70 21 05 30</t>
  </si>
  <si>
    <t>https://zalaris.dk/</t>
  </si>
  <si>
    <t>https://www.facebook.com/ZalarisASA</t>
  </si>
  <si>
    <t>https://www.instagram.com/zalarisasa/</t>
  </si>
  <si>
    <t>https://www.linkedin.com/company/zalaris/</t>
  </si>
  <si>
    <t>https://www.youtube.com/@ZalarisASA</t>
  </si>
  <si>
    <t>2023-05-22T08:58:52.870Z</t>
  </si>
  <si>
    <t>Zalaris HR Services Finland Oy</t>
  </si>
  <si>
    <t>2232e03f-ff78-11eb-a358-8dbe3201bc48</t>
  </si>
  <si>
    <t>Music Aggregation Services Finland Oy.</t>
  </si>
  <si>
    <t>Esterinportti</t>
  </si>
  <si>
    <t>2 B</t>
  </si>
  <si>
    <t>FI, Finland, Pirkanmaa, Tampere, , , , 61.4980214, 23.7603118 | FI, Finland, Uusimaa, Helsinki, , , , 60.1674881, 24.9427473</t>
  </si>
  <si>
    <t>Music Aggregation Platform | Digital Sheet Music Aggregation Service | Public Domain Standard Repertoire | Music Publishing Imprint | Independent Composers Imprints | Web Services | Pocket Parts Sheet Music | Royalty Payment Services</t>
  </si>
  <si>
    <t>Music Aggregation Services Finland, or MASF, runs multiple music publishing imprints and web service Escobar.</t>
  </si>
  <si>
    <t>EscobarÂ·Digital is an aggregation service for digital sheet music platforms. Our service feeds works by independent composers to nkoda â€“ the sheet music app, and other similar services, collects royalties and pays them back to the composers. Publishing trademark for supplying nkoda with the public domain standard repertoire. Digital realm redux of a formerly existing publishing company. Edition Escobar publishes rarities of the public domain; neglected works of major composers that are not published elsewhere.</t>
  </si>
  <si>
    <t>Web Services | Music Publisher</t>
  </si>
  <si>
    <t>Music / Sound Recording Studio | Music Schools | Musical Instruments / Decorative Items Manufacturing | Retail- Musical Instruments (Sales/Repairs) | Wholesale - Hardware / Plumbing Supplies / Electrical Supplies</t>
  </si>
  <si>
    <t>489102 | 832501 | 398001 | 599602 | 509201</t>
  </si>
  <si>
    <t>09 7771440</t>
  </si>
  <si>
    <t>https://zalaris.fi/</t>
  </si>
  <si>
    <t>miscellaneous: pwa | network devices: html | reverse proxies: nginx | web servers: nginx</t>
  </si>
  <si>
    <t>2021-08-17T15:14:29.000Z</t>
  </si>
  <si>
    <t>ZALARIS HR SERVICES NORWAY AS</t>
  </si>
  <si>
    <t>073efda1-485e-11ee-8aaf-6f1f38b587cf</t>
  </si>
  <si>
    <t>Zalaris HR Services Norge AS</t>
  </si>
  <si>
    <t>Mortenlaks AS. | Mortenlaks</t>
  </si>
  <si>
    <t>Lødingen</t>
  </si>
  <si>
    <t>Televegen</t>
  </si>
  <si>
    <t>NO, Norway, Nordland, LÃ¸dingen, 8410, Erikstadvegen, 100, 68.41415429999999, 15.994394800000002</t>
  </si>
  <si>
    <t>Ocean Stewardship | Sustainable Seafood | Diversity and Continuity in Seafood Industry | General Freight Trucking | Transportation Services | Salmon Group Player | Healthy and Responsible Salmon Production | Ocean Wealth Management Services</t>
  </si>
  <si>
    <t>Mortenlaks is a fish farm based in LÃ¸dingen, Norway.</t>
  </si>
  <si>
    <t>Dette fÃ¥r vi til - En bÃ¦rekraftig, sunn og ansvarlig produksjon av laks. Det er vÃ¥r forpliktelse Ã¥ forvalte havets rikdommer med respekt for fremtidige generasjoner.</t>
  </si>
  <si>
    <t>Fish Farms</t>
  </si>
  <si>
    <t>Aquaculture, Fishing &amp; Hunting</t>
  </si>
  <si>
    <t>0273 | 0921</t>
  </si>
  <si>
    <t>Animal Aquaculture (finfish farms) | Fish Hatcheries and Preserves (finfish hatcheries)</t>
  </si>
  <si>
    <t>0321 | 0322</t>
  </si>
  <si>
    <t>Marine aquaculture | Freshwater aquaculture</t>
  </si>
  <si>
    <t>03.22 | 03.21</t>
  </si>
  <si>
    <t>Freshwater aquaculture | Marine aquaculture</t>
  </si>
  <si>
    <t>40 00 33 00</t>
  </si>
  <si>
    <t>+4748237817 | +4790844490</t>
  </si>
  <si>
    <t>tjb@mortenlaks.no</t>
  </si>
  <si>
    <t>http://www.zalaris.com/</t>
  </si>
  <si>
    <t>2023-02-03T05:43:45.290Z</t>
  </si>
  <si>
    <t>12e5a0a4-f5c3-11ed-88cc-c9466c597c9c</t>
  </si>
  <si>
    <t>171 54</t>
  </si>
  <si>
    <t>Solna strandväg</t>
  </si>
  <si>
    <t>SE, Sweden, Blekinge County, Karlskrona, 371 85, SaltsjÃ¶badsvÃ¤gen, 1, 56.171394799999995, 15.600165600000004 | SE, Sweden, Blekinge County, Karlskrona, 371 41, MinervavÃ¤gen, 21, 56.1844356, 15.591637299999997 | SE, Sweden, VÃ¤stmanland County, VÃ¤sterÃ¥s, 722 12, Hantverkargatan, , 59.6108503, 16.5471799</t>
  </si>
  <si>
    <t>Custom Programming Services | Wheelchair Accessible Entrance | Recruitment Services | Employment Placement Agency Services | Human Resources</t>
  </si>
  <si>
    <t>HR Outsourcing</t>
  </si>
  <si>
    <t>Business and management consultancy</t>
  </si>
  <si>
    <t>08-564 882 00</t>
  </si>
  <si>
    <t>+468564882 | +46856488200</t>
  </si>
  <si>
    <t>2023-05-18T21:27:29.538Z</t>
  </si>
  <si>
    <t>ZENDATA ApS</t>
  </si>
  <si>
    <t>ae69fbe1-93e4-11eb-be3a-7f925cb94351</t>
  </si>
  <si>
    <t>Zendata ApS</t>
  </si>
  <si>
    <t>Zendata ApS.</t>
  </si>
  <si>
    <t>ZENDATA</t>
  </si>
  <si>
    <t>Ølstykke</t>
  </si>
  <si>
    <t>Svalehøjvej</t>
  </si>
  <si>
    <t>DK, Denmark, Capital Region of Denmark, HillerÃ¸d, 3400, SÃ¸ndre Jernbanevej, 4E, 55.928443, 12.304675 | DK, Denmark, Capital Region of Denmark, Ã˜lstykke, 3650, SvalehÃ¸jvej, 30, 55.76991530000001, 12.1358947</t>
  </si>
  <si>
    <t>Zendata, legally known as Zendata ApS., based in HillerÃ¸d,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</si>
  <si>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</si>
  <si>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</si>
  <si>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rÃ¥dgivning til virksomheder. Vores erfarne konsulenter sikrer at dine IT-systemer fungerer sÃ¥ du kan fokusere pÃ¥ at drive din virksomhed. Hos ZENDATA rÃ¥dgiver vi om, skaber og vedligeholder sikre, helhedsorienterede IT-lÃ¸sninger for vores kunder. Vi sikrer, at de bagvedliggende IT-systemer understÃ¸tter din virksomheds mÃ¥l optimalt. ledelsesrÃ¥dgivning. Vi kan hjÃ¦lpe din virksomhed med at blive fremtidssikret pÃ¥ IT omrÃ¥det, bÃ¥de nÃ¥r det kommer til kundeoplevelser, processer og sikkerhed, men ogsÃ¥ I forhold til dokumentation og strategi. social ansvarlighed. Hos ZENDATA Ã¸nsker vi at udvise samfundsansvar, og det gÃ¸r vi blandt andet ved at stÃ¸tte velgÃ¸rende organisationer, som arbejder med bekÃ¦mpelse af alvorlig sygdom og hjÃ¦lp til udsatte befolkningsgrupper. medarbejdere. Konsulenter fra ZENDATA er selvstÃ¦ndige og ansvarsbevidste IT-tekniske personer med mere end 10 Ã¥rs erfaring. ZENDATAs stÃ¸rste kompetence er forstÃ¥elsen for IT i forretningsmÃ¦ssige sammenhÃ¦nge.</t>
  </si>
  <si>
    <t>It Systems | Become A Counselor | Professional Services | IT Consulting Services | Microsoft Products | Information Technology Services</t>
  </si>
  <si>
    <t>86 51 82 82</t>
  </si>
  <si>
    <t>+4532770762 | +4586518282</t>
  </si>
  <si>
    <t>salg@zendata.dk</t>
  </si>
  <si>
    <t>info@zendata.dk</t>
  </si>
  <si>
    <t>https://zendata.dk/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</si>
  <si>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</si>
  <si>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</si>
  <si>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2020-02-25T22:18:37.000Z</t>
  </si>
  <si>
    <t>ZHONGXING TELECOM PAKISTAN (PRIVATE) LIMITED</t>
  </si>
  <si>
    <t>4d56b450-e160-11eb-affd-256fd8cf1b98</t>
  </si>
  <si>
    <t>Zhongxing Telecom Pakistan Pvt Ltd</t>
  </si>
  <si>
    <t>ZHONGXING Telecom Pakistan pvt Ltd.</t>
  </si>
  <si>
    <t>Lahore Warehouse pko3 | Lahore Warehouse pko | Lahore Warehouse</t>
  </si>
  <si>
    <t>Park Road</t>
  </si>
  <si>
    <t>PK, Pakistan, Punjab, Lahore, , , , 31.56568145751953, 74.3141860961914</t>
  </si>
  <si>
    <t>Lahore Warehouse pko3 is a Pakistani company that manages warehouses in the Punjab region. It is considered one of the best warehouses located in Punjab and is managed by ZTE Warehouse Staff. The company stores all warehouse records online on GSCM Software. Lahore Warehousing pk3 prides itself on the high working quality of its warehouse staff.</t>
  </si>
  <si>
    <t>Warehouse Services | Online Warehouse Records</t>
  </si>
  <si>
    <t>Just for Warehouse Team Members to Remember them every Time</t>
  </si>
  <si>
    <t>A s one of the best warehouse in Pakistan Managing all Punjab Area of Pakistan.Since 2007 working on Cmpak &amp; Ptcl Projects.All warehouse Record is online on GSCM Software.The working quality of the warehouse staff is up to the mark.</t>
  </si>
  <si>
    <t>Warehousing &amp; Storage</t>
  </si>
  <si>
    <t>4226 | 4225</t>
  </si>
  <si>
    <t>Special Warehousing and Storage, NEC (warehousing in foreign trade zones) | General Warehousing and Storage (except self-storage and miniwarehouses)</t>
  </si>
  <si>
    <t>Household Moving / Packing Operations | Trucks - Hauling for Others (incl Incidental Short-Term Warehousing) | Burlap / Canvas / Awnings / Tents / Sails Manufacturing | Retail - Butcher Shop | Tow Trucks (Not Connected to a Garage)</t>
  </si>
  <si>
    <t>Warehousing and storage</t>
  </si>
  <si>
    <t>426301 | 411701 | 235201 | 543302 | 411702</t>
  </si>
  <si>
    <t>0332 0595831</t>
  </si>
  <si>
    <t>http://www.zte.com.cn/</t>
  </si>
  <si>
    <t>2021-07-10T08:27:47.000Z</t>
  </si>
  <si>
    <t>ZIFF DAVIS IRELAND LIMITED</t>
  </si>
  <si>
    <t>a2b8aad1-93e4-11eb-b89f-536884b3e7dd</t>
  </si>
  <si>
    <t>Ziff Davis Ireland Limited</t>
  </si>
  <si>
    <t>Ziff Davis | Ziff Davis Enterprise</t>
  </si>
  <si>
    <t>US, United States, New York, New York, 10011, West 20th Street, 508, 40.74592835, -74.00636103622838 | IE, Ireland, Leinster, Dublin, , , , 53.3493795, -6.2605593 | US, United States, North Carolina, Asheville, 27650, , , 35.824341, -78.8300321 | US, United States, Tennessee, Memphis, , , , 35.1460249, -90.0517638 | CA, Canada, British Columbia, Burnaby, , , , 49.2608724, -123.113952 | US, United States, Washington, Seattle, , , , 47.6038321, -122.330062 | IN, India, Telangana, Hyderabad, , , , 17.360589, 78.4740613 | MX, Mexico, Jalisco, Guadalajara, , , , 20.6720375, -103.338396 | IN, India, Maharashtra, Mumbai, 412101, Mumbai - Pune Expressway, MP86+CMG\, St Tukaram Nagar\, Mamurdi\, Dehu Road\, Pune\, Maharashtra 412101, 18.6661477, 73.71185144408994 | CA, Canada, Quebec, Montreal, , , , 45.5031824, -73.5698065</t>
  </si>
  <si>
    <t>Ziff Davis, Inc. is an American digital media and internet company that was founded in 1927 by William Bernard Ziff Sr. and Bernard George Davis. The company primarily owns technology- and health-oriented media websites, online shopping-related services, internet connectivity services, gaming and entertainment brands, and cybersecurity and martech tools. It was previously a publisher of hobbyist magazines.</t>
  </si>
  <si>
    <t>Market Research Analysis | Technology News Content | E-commerce Platforms | Online Marketing Services | Affiliate Marketing Programs | Data Services Provider | Computer Hardware Reviews | Gaming Information Services | Digital Media Services | Advertising Network Services | Broadband Speed Testing | Cybersecurity Solutions | Internet Publishing | Digital Content Licensing | Consumer Technology Content</t>
  </si>
  <si>
    <t>Ziff Davis (Nasdaq: ZD) is a vertically focused digital media and internet company whose portfolio includes leading brands in technology, entertainment, shopping, health, cybersecurity, and martech.</t>
  </si>
  <si>
    <t>Ziff Davis, Inc. is an American digital media and internet company. Founded in 1927 by William Bernard Ziff Sr. and Bernard George Davis, the company primarily owns technology- and health-oriented media websites, online shopping-related services, internet connectivity services, gaming and entertainment brands, and cybersecurity and martech (marketing technology) tools. Previously, the company was predominantly a publisher of hobbyist magazines.</t>
  </si>
  <si>
    <t>Cyber Securities | Telecommunications Services</t>
  </si>
  <si>
    <t>Building Owner - Multiple Occupancy - Mixed-Use Commercial | Newspaper / Magazine Publishing / Printing | Building Owner - Multiple Occupancy - Retail (Not Enclosed Mall) | Building Owner - Multiple Occupancy - Office | Building Owner - Multiple Occupancy - Warehouse / Wholesale</t>
  </si>
  <si>
    <t>399101 | 271001 | 529101 | 651101 | 663301</t>
  </si>
  <si>
    <t>subpoenas@ziffdavis.com</t>
  </si>
  <si>
    <t>https://www.ziffdavis.com/</t>
  </si>
  <si>
    <t>https://www.facebook.com/ziffdavisinc/</t>
  </si>
  <si>
    <t>https://twitter.com/ziffdavis</t>
  </si>
  <si>
    <t>https://www.linkedin.com/company/ziff-davis-inc</t>
  </si>
  <si>
    <t>javascript libraries: filepond | widgets: twitter | miscellaneous: rss | ui frameworks: bootstrap | miscellaneous: popper | web servers: empathy platform | web frameworks: bootstrap | analytics: google universal analytics | javascript libraries: swiper | security: recaptcha | seo: yoast seo | widgets: css | javascript frameworks: hammer.js | miscellaneous: x | web frameworks: microsoft asp.net | miscellaneous: twitter emoji (twemoji) | ui frameworks: animate.css | cdn: cdnjs | web frameworks: animate.css | javascript libraries: hammer.js | font scripts: google font api | security: hsts | blogging platforms: wordpress | miscellaneous: http/3 | video players: youtube | javascript libraries: modernizr | databases: mysql | reverse proxy: nginx | miscellaneous: whatsapp | cms: site.com | javascript libraries: prettyphoto | cdn: google hosted libraries | seo tool: all in one seo pack | miscellaneous: open graph | captchas: recaptcha | miscellaneous: revslider | cookie compliance: onetrust | network devices: html | miscellaneous: jquery easing | font scripts: font awesome | javascript libraries: jquery ui | javascript frameworks: jquery migrate | javascript frameworks: modernizr | seo tool: facebook friendly | document management systems: salesforce audience studio | advertising networks: prebid | javascript libraries: lightbox | network devices: html5 | video players: vimeo | miscellaneous: facebook | javascript frameworks: prettyphoto | cms: wordpress | blogs: wordpress | javascript frameworks: jquery ui | geolocation: twitter cards | tag managers: google tag manager | miscellaneous: linkedin | javascript libraries: jquery | widgets: owl carousel | advertising: prebid | analytics: chartbeat | widgets: javascript | advertising: microsoft advertising | operating systems: ubuntu | javascript frameworks: lightbox | form builders: contact form 7 | ssl/tls certificate authorities: sectigo | web servers: nginx | cdn: cloudflare | wordpress plugins: yoast seo | programming languages: php | javascript libraries: jquery migrate | analytics: comscore | advertising: google adsense | wordpress plugins: contact form 7 | miscellaneous: instagram | javascript frameworks: jquery | analytics: google analytics</t>
  </si>
  <si>
    <t>2019-11-24T10:30:26.000Z</t>
  </si>
  <si>
    <t>Zte (Malaysia) Corporation Sdn. Bhd.</t>
  </si>
  <si>
    <t>9d0ddc95-93e4-11eb-8e19-198fb02d6f96</t>
  </si>
  <si>
    <t>ZTE (Malaysia) Corporation Sdn Bhd</t>
  </si>
  <si>
    <t>ZTE Malaysia Corporation Sdn Bhd.</t>
  </si>
  <si>
    <t>ZTE | ZTE Malaysia</t>
  </si>
  <si>
    <t>MY, Malaysia, Selangor, Petaling Jaya, 46200, Lorong Utara C, , 3.1038549, 101.63993563559231 | MY, Malaysia, Kuala Lumpur, Kuala Lumpur, 50400, Jalan Tun Razak, 18-07, 3.1656085, 101.7150816 | MY, Malaysia, Kuala Lumpur, Kuala Lumpur, 50300, Jalan Pahang, , 3.1869983, 101.7025251</t>
  </si>
  <si>
    <t>ZTE DEvices, legally known as ZTE Malaysia Corporation Sdn Bhd., is a provider of advanced telecommunications systems and enterprise technology solutions in Malaysia. The company serves consumers, carriers, companies, government agencies, and public sector customers. As part of ZTE's M-ICT strategy, ZTE Malaysia focuses on delivering integrated end-to-end innovations to enhance connectivity and value in the telecommunications and information technology sectors. The company offers a range of products including smartphones, gaming devices, mobile broadband solutions, and various types of routers and accessories.</t>
  </si>
  <si>
    <t>Outdoor CPE Manufacturer | Best Camera Phones | V Series | Focus Series | 4G Routers Manufacturer | Redmagic Malaysia | Wifi Pocket Routers Manufacturer | Gaming Phones Manufacturer | ZTE Blade A5 Pro | A-series | Mobile Broadband | Advanced Phones for 5G Communications | Wifi Dongles | Flip Series | Music Series</t>
  </si>
  <si>
    <t>Established in 2004, ZTE Malaysia is a provider of advanced telecommunications systems, enterprise technology solutions to consumers, carriers, companies, government agencies and public sector customers.</t>
  </si>
  <si>
    <t>Established in 2004, ZTE Malaysia is a provider of advanced telecommunications systems, enterprise technology solutions to consumers, carriers, companies, government agencies and public sector customers. As part of ZTE's M-ICT strategy, the company is committed to provide customers with integrated end-to-end innovations to deliver excellence and value as the telecommunications and information technology sectors converge. As we continue to grow in Malaysia, the opportunity for local talent to thrive within our diversified workforce is rife, and together we can drive innovation in telecommunications and ICT as the business and technology needs of the industry continue to evolve. Fully Support from Us ZTE. ZTE providing consumers with access to technology solutions that go beyong reality.</t>
  </si>
  <si>
    <t>Android Phones | Gaming Phones | Mobile Technologies | Beyond Reality | Warrior Within | Glass &amp; Mirrors | Mobile Broadband | Mobile Reviews | Telecommunication System | Telecommunications Services</t>
  </si>
  <si>
    <t>03-2161 5966</t>
  </si>
  <si>
    <t>+60187616866 | +60182238834 | +60105380166 | +601163163600 | +60173324488 | +60321612966 | +60173232638 | +60380266303 | +60321615966</t>
  </si>
  <si>
    <t>support@highpoint.com.my</t>
  </si>
  <si>
    <t>https://www.ztedevices.com.my/</t>
  </si>
  <si>
    <t>https://www.facebook.com/ZTEMalaysia/</t>
  </si>
  <si>
    <t>https://www.instagram.com/zte_devices_malaysia/</t>
  </si>
  <si>
    <t>https://www.youtube.com/@ztedevicesmalaysia5104</t>
  </si>
  <si>
    <t>javascript libraries: axios | web frameworks: livewire | javascript libraries: core-js | ui frameworks: bootstrap | web frameworks: wow | web servers: empathy platform | javascript frameworks: alpine.js | web frameworks: bootstrap | javascript graphics: wow | javascript libraries: swiper | widgets: css | miscellaneous: twitter emoji (twemoji) | ui frameworks: animate.css | cdn: cdnjs | font scripts: google font api | blogging platforms: wordpress | javascript libraries: modernizr | databases: mysql | cms: site.com | javascript libraries: select2 | miscellaneous: revslider | network devices: html | miscellaneous: jquery easing | cdn: jsdelivr | font scripts: font awesome | javascript frameworks: jquery migrate | web servers: apache | javascript frameworks: modernizr | seo tool: facebook friendly | javascript libraries: lightbox | network devices: html5 | web servers: apache http server | miscellaneous: facebook | cms: wordpress | tag managers: google tag manager | javascript libraries: jquery | widgets: javascript | javascript frameworks: lightbox | cdn: cloudflare | programming languages: php | javascript libraries: jquery migrate | web frameworks: html5 | page builders: elementor | javascript libraries: moment.js | web frameworks: laravel | javascript frameworks: wow | miscellaneous: livewire | miscellaneous: instagram | javascript frameworks: jquery | analytics: google analytics</t>
  </si>
  <si>
    <t>2019-11-24T03:14:12.000Z</t>
  </si>
  <si>
    <t>Zte (Thailand) Co Ltd</t>
  </si>
  <si>
    <t>2964e99b-e55a-11ed-a5ae-85415e102eca</t>
  </si>
  <si>
    <t>ZTE (Thailand) Co.,Ltd.</t>
  </si>
  <si>
    <t>ZTE Thailand Co. Ltd. | ZTE Holdings Thailand Company Limited</t>
  </si>
  <si>
    <t>TH, Thailand, Bangkok, Sathon, 10120, Sathon Tai Road, , 13.720534399999998, 100.5302284 | TH, Thailand, Bangkok, Sathon, 10120, Naradhiwas Rajanagarindra Road, 1, 13.7209798, 100.53022390000001</t>
  </si>
  <si>
    <t>à¸šà¸£à¸´à¸©à¸±à¸— à¹à¸‹à¸”à¸—à¸µà¸­à¸µ à¹‚à¸®à¸¥à¸”à¸´à¹‰à¸‡à¸ªà¹Œ (à¹„à¸—à¸¢à¹à¸¥à¸™à¸”à¹Œ) à¸ˆà¸³à¸à¸±à¸” is a company based in Bangkok, Thailand. It operates as a telecommunications equipment supplier and telecommunications service provider.</t>
  </si>
  <si>
    <t>Telecommunications Equipment Supplier | Telecommunications Services</t>
  </si>
  <si>
    <t>ZTE Thailand Co. Ltd. is a telecommunications company based in Sathon, Thailand.</t>
  </si>
  <si>
    <t>02 670 4071</t>
  </si>
  <si>
    <t>https://www.zte.com.cn/global/index.html</t>
  </si>
  <si>
    <t>2021-12-09T03:26:14.000Z</t>
  </si>
  <si>
    <t>Zte Corporation</t>
  </si>
  <si>
    <t>a68dcec0-93e4-11eb-9937-4fab995bf8ff</t>
  </si>
  <si>
    <t>ZTE Communication Co., Ltd.</t>
  </si>
  <si>
    <t>ZTE Corporation | Zhongxing Telecommunication Equipment Corporation</t>
  </si>
  <si>
    <t>ZTE | Zhongxing New Telecommunications Equipment | Zhongxing Semiconductor | Zhongxing Telecommunication Equipment</t>
  </si>
  <si>
    <t>Gao Xin Nan Si Dao</t>
  </si>
  <si>
    <t>CN, China, Guangdong Province, Shenzhen, , , , ,  | PK, Pakistan, Islamabad Capital Territory, Islamabad, 44000, Hilal Road, plot#36, 33.6831523, 72.9881701 | LK, Sri Lanka, Western Province, Colombo, 00200, Union Place, 2, 6.9196924, 79.8593502 | TR, Turkey, Ankara, Ã‡ankaya, 06700, HÃ¼lya Sokak, no 50, 39.900665283203125, 32.8718376159668 | BE, Belgium, Brussels-Capital, Brussels, 1200, Rue de Bretagne - Bretagnestraat, 24, 50.8554491, 4.4261197 | NL, Netherlands, South Holland, The Hague, 2516 CK, Maanplein, 20, 52.0676219, 4.3505015 | GB, United Kingdom, England, Slough, SL1 4DX, Bath Road, 252, 51.5192122, -0.6320031 | PE, Peru, Lima, Lima Metropolitan Area, 15073, Paz SoldÃ¡n Avenue, 193, -12.0969823, -77.0339476 | RU, Russia, Moscow, Moscow, 115432, , , ,  | ZW, Zimbabwe, Harare, Harare, , Doon Road, 623, -17.7491223, 31.0743145</t>
  </si>
  <si>
    <t>ZTE Corporation is a Chinese technology company specializing in telecommunication. Established in 1985, it is a partially state-owned company listed on both the Hong Kong and Shenzhen Stock Exchanges. ZTE's main focus is on wireless, exchange, optical transmission, data telecommunications gear, telecommunications software, and mobile phones. While primarily selling products under its own brand, ZTE also serves as an OEM.</t>
  </si>
  <si>
    <t>Network Optimization Services | Mobile Devices | Telecom Software Development | Telecommunications Equipment | Technical Support Services | Iot Products and Services | Cloud Computing Services | 5G Networking Solutions | Optical Transmission Equipment | Cybersecurity Solutions | Enterprise Network Solutions | Wireless Communication Infrastructure | Smart City Technologies | Broadband Networking Equipment | Data Communication Hardware</t>
  </si>
  <si>
    <t>ZTE Corporation is a global leading provider of integrated information and communication technology solutions.</t>
  </si>
  <si>
    <t>ZTE Corporation is a Chinese partially state-owned technology company that specializes in telecommunication. Founded in 1985, ZTE is listed on both the Hong Kong and Shenzhen Stock Exchanges. ZTE's core business is wireless, exchange, optical transmission, data telecommunications gear, telecommunications software, and mobile phones. ZTE primarily sells products under its own name, but it is also an OEM.</t>
  </si>
  <si>
    <t>Telecommunications Services | Network Function Virtualization</t>
  </si>
  <si>
    <t>Communication Equipment Installation - Residential | Communication Equipment Installation - Commercial | Wholesale - Hardware / Plumbing Supplies / Electrical Supplies | Electrical Products Manufacturing - Not Otherwise Classified | Circuit Board / Electrical Component / Semi-Conductor Manufacturing</t>
  </si>
  <si>
    <t>153401 | 153402 | 509201 | 357001 | 349501</t>
  </si>
  <si>
    <t>+21323811246 | +8655165533356 | +233531249443 | +903125141061 | +231770988888 | +864000707099 | +381112258783 | +19723318094 | +23231666611 | +923425001111 | +8655165850139 | +59829088605 | +231776060122 | +4921153829022 | +421482420102 | +420246007130 | +2250564785391 | +2304891577 | +8675526770000 | +48221123800 | +18764202818 | +14167538858 | +8675526779999 | +8675526771911 | +8675526771900 | +212522321408 | +966557237908 | +14167538857 | +224626749999 | +4312122239 | +902165155291 | +237673015456 | +224661476969 | +902165155293 | +59829013432 | +19083403147 | +231886627982 | +431212223966 | +20235370721 | +237673942051 | +2348088346919 | +8675526770188 | +21323924095 | +50223668222 | +868008309870 | +21693890464 | +903125141071 | +19083403150 | +22245291991</t>
  </si>
  <si>
    <t>sdnfv@zte.com.cn</t>
  </si>
  <si>
    <t>support@zte.com.cn | csr@zte.com.cn | receptionmi@zte.com.cn | info.sdnfv.zte@zte.com.cn | privacy@zte.com.cn</t>
  </si>
  <si>
    <t>mobile@zte.com.cn | zte.press.release@zte.com.cn | marco.costantini@zte.com.cn | audit@zte.com.cn | openlab@zte.com.cn | li.haoyuan@zte.com.cn | magazine@zte.com.cn | zte.nepal@zte.com.cn | sdnfv@zte.com.cn</t>
  </si>
  <si>
    <t>https://www.zte.com.cn/china/</t>
  </si>
  <si>
    <t>https://www.facebook.com/ZTECorp/</t>
  </si>
  <si>
    <t>https://twitter.com/ZTEPress</t>
  </si>
  <si>
    <t>https://www.linkedin.com/company/zte</t>
  </si>
  <si>
    <t>https://www.youtube.com/channel/UCP7JH1riHscZXS_9btwDVHg</t>
  </si>
  <si>
    <t>web servers: ibm websphere application server | javascript libraries: jquery ui - 1.13.1 | cms: adobe experience manager | ui frameworks: bootstrap | web frameworks: ruby on rails | web servers: empathy platform | web frameworks: bootstrap | miscellaneous: foresee results | javascript libraries: swiper | video players: videojs | javascript frameworks: vue.js | widgets: css | web servers: openresty | web frameworks: microsoft asp.net | programming languages: ruby | analytics: google analytics - GA4 | security: hsts | reverse proxies: nginx | video players: videojs - 7.6.6 | javascript frameworks: element ui | reverse proxy: nginx | cms: site.com | miscellaneous: open graph | miscellaneous: swiper slider | network devices: html | miscellaneous: jquery easing | analytics: baidu analytics (ç™¾åº¦ç»Ÿè®¡) | javascript libraries: jquery ui | operating systems: windows server | seo tool: facebook friendly | network devices: html5 | javascript libraries: jquery - 1.12.4 | miscellaneous: facebook | analytics: linkedin insight tag | web servers: iis | tag managers: google tag manager | miscellaneous: linkedin | javascript libraries: jquery | widgets: javascript | web servers: nginx | javascript frameworks: jquery | web servers: tengine | analytics: google analytics | programming languages: lua | programming languages: java</t>
  </si>
  <si>
    <t>2019-11-24T01:41:42.000Z</t>
  </si>
  <si>
    <t>Z.T.E. CORPORATION BANGLADESH LTD.</t>
  </si>
  <si>
    <t>3a852200-1b06-11ec-ae98-5d8c88c64981</t>
  </si>
  <si>
    <t>জেডটিই করপোরেশন বাংলাদেশ লিমিটেড</t>
  </si>
  <si>
    <t>ZTE Corporation Bangladesh Limited</t>
  </si>
  <si>
    <t>Gulshan North Avenue</t>
  </si>
  <si>
    <t>Road# 90</t>
  </si>
  <si>
    <t>BD, Bangladesh, Dhaka Division, Dhaka, 1215, Road 90, 37, 23.7959083, 90.4142313</t>
  </si>
  <si>
    <t>ZTE Bangladesh Limited, operating under the name "JedtÄ« I KÄrpÅ«rÄ“sÄ«n LÄ«mÄ«tÄd", is a telecommunications equipment supplier based in Dhaka, Bangladesh.</t>
  </si>
  <si>
    <t>Telecommunications Equipment Supplier | 334210 Telephone Apparatus Manufacturing</t>
  </si>
  <si>
    <t>ZTE Corporation Bangladesh Limited is a telecommunications company based in Dhaka, Bangladesh.</t>
  </si>
  <si>
    <t>02-8828513</t>
  </si>
  <si>
    <t>https://www.facebook.com/ZTEBangladesH/</t>
  </si>
  <si>
    <t>2021-12-14T15:02:09.000Z</t>
  </si>
  <si>
    <t>ZTE NORWAY AS</t>
  </si>
  <si>
    <t>Z Event</t>
  </si>
  <si>
    <t>Pilestredet</t>
  </si>
  <si>
    <t>Kulturen sitter ikke i veggene, den kommer på jobb hver eneste dag.</t>
  </si>
  <si>
    <t>23 89 68 48</t>
  </si>
  <si>
    <t>http://www.zevent.no/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</si>
</sst>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hh:mm:ss"/>
  </numFmts>
  <fonts count="5"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rgb="FF000000"/>
      <name val="Calibri"/>
      <family val="2"/>
    </font>
    <font>
      <sz val="10"/>
      <color theme="1"/>
      <name val="Arial"/>
      <family val="2"/>
    </font>
  </fonts>
  <fills count="2">
    <fill>
      <patternFill patternType="none"/>
    </fill>
    <fill>
      <patternFill patternType="gray125"/>
    </fill>
  </fills>
  <borders count="4">
    <border>
      <left/>
      <right/>
      <top/>
      <bottom/>
      <diagonal/>
    </border>
    <border>
      <left/>
      <right/>
      <top/>
      <bottom style="thick">
        <color theme="5"/>
      </bottom>
      <diagonal/>
    </border>
    <border>
      <left/>
      <right style="thick">
        <color theme="5"/>
      </right>
      <top/>
      <bottom style="thick">
        <color theme="5"/>
      </bottom>
      <diagonal/>
    </border>
    <border>
      <left/>
      <right style="thick">
        <color theme="5"/>
      </right>
      <top/>
      <bottom/>
      <diagonal/>
    </border>
  </borders>
  <cellStyleXfs count="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4" fillId="0" borderId="0"/>
  </cellStyleXfs>
  <cellXfs count="18">
    <xf numFmtId="0" fontId="0" fillId="0" borderId="0" xfId="0"/>
    <xf numFmtId="0" fontId="3" fillId="0" borderId="1" xfId="0" applyFont="1" applyBorder="1" applyAlignment="1">
      <alignment vertical="top" wrapText="1"/>
    </xf>
    <xf numFmtId="0" fontId="3" fillId="0" borderId="2" xfId="0" applyFont="1" applyBorder="1" applyAlignment="1">
      <alignment vertical="top" wrapText="1"/>
    </xf>
    <xf numFmtId="0" fontId="3" fillId="0" borderId="1" xfId="0" applyFont="1" applyBorder="1" applyAlignment="1">
      <alignment horizontal="right" vertical="top" wrapText="1"/>
    </xf>
    <xf numFmtId="44" fontId="3" fillId="0" borderId="1" xfId="1" applyFont="1" applyBorder="1" applyAlignment="1">
      <alignment vertical="top" wrapText="1"/>
    </xf>
    <xf numFmtId="0" fontId="0" fillId="0" borderId="1" xfId="0" applyBorder="1" applyAlignment="1">
      <alignment vertical="top" wrapText="1"/>
    </xf>
    <xf numFmtId="0" fontId="0" fillId="0" borderId="0" xfId="0" applyAlignment="1">
      <alignment vertical="top"/>
    </xf>
    <xf numFmtId="0" fontId="0" fillId="0" borderId="3" xfId="0" applyBorder="1" applyAlignment="1">
      <alignment vertical="top"/>
    </xf>
    <xf numFmtId="0" fontId="0" fillId="0" borderId="0" xfId="0" applyAlignment="1">
      <alignment vertical="top" wrapText="1"/>
    </xf>
    <xf numFmtId="0" fontId="0" fillId="0" borderId="0" xfId="0" applyAlignment="1">
      <alignment horizontal="right" vertical="top"/>
    </xf>
    <xf numFmtId="0" fontId="4" fillId="0" borderId="0" xfId="3" applyAlignment="1">
      <alignment vertical="top"/>
    </xf>
    <xf numFmtId="0" fontId="2" fillId="0" borderId="0" xfId="2" applyAlignment="1">
      <alignment vertical="top"/>
    </xf>
    <xf numFmtId="44" fontId="0" fillId="0" borderId="0" xfId="1" applyFont="1" applyAlignment="1">
      <alignment vertical="top"/>
    </xf>
    <xf numFmtId="164" fontId="0" fillId="0" borderId="0" xfId="0" applyNumberFormat="1" applyAlignment="1">
      <alignment horizontal="right" vertical="top"/>
    </xf>
    <xf numFmtId="16" fontId="0" fillId="0" borderId="0" xfId="0" applyNumberFormat="1" applyAlignment="1">
      <alignment horizontal="right" vertical="top"/>
    </xf>
    <xf numFmtId="3" fontId="0" fillId="0" borderId="0" xfId="0" applyNumberFormat="1" applyAlignment="1">
      <alignment vertical="top"/>
    </xf>
    <xf numFmtId="0" fontId="2" fillId="0" borderId="0" xfId="2" applyFill="1" applyAlignment="1">
      <alignment vertical="top"/>
    </xf>
    <xf numFmtId="0" fontId="4" fillId="0" borderId="0" xfId="3" applyAlignment="1">
      <alignment vertical="top" wrapText="1"/>
    </xf>
  </cellXfs>
  <cellStyles count="4">
    <cellStyle name="Currency" xfId="1" builtinId="4"/>
    <cellStyle name="Hyperlink" xfId="2" builtinId="8"/>
    <cellStyle name="Normal" xfId="0" builtinId="0"/>
    <cellStyle name="Normal 2" xfId="3" xr:uid="{7DD8FF36-4F33-4DFE-8C9C-8333E40755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oan\Downloads\presales_data_Final.xlsx" TargetMode="External"/><Relationship Id="rId1" Type="http://schemas.openxmlformats.org/officeDocument/2006/relationships/externalLinkPath" Target="/Users/Ioan/Downloads/presales_data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ales_data_sample"/>
      <sheetName val="presales_data_match"/>
      <sheetName val="matches_selected"/>
      <sheetName val="QC_Matches"/>
      <sheetName val="Clean_Vendor_Master"/>
      <sheetName val="Mapping"/>
    </sheetNames>
    <sheetDataSet>
      <sheetData sheetId="0"/>
      <sheetData sheetId="1"/>
      <sheetData sheetId="2"/>
      <sheetData sheetId="3"/>
      <sheetData sheetId="4"/>
      <sheetData sheetId="5">
        <row r="1">
          <cell r="B1" t="str">
            <v>2022 NAICS Code</v>
          </cell>
          <cell r="C1" t="str">
            <v>2022 NAICS Title</v>
          </cell>
        </row>
        <row r="2">
          <cell r="B2">
            <v>11</v>
          </cell>
          <cell r="C2" t="str">
            <v>Agriculture, Forestry, Fishing and HuntingT</v>
          </cell>
        </row>
        <row r="3">
          <cell r="B3">
            <v>111</v>
          </cell>
          <cell r="C3" t="str">
            <v xml:space="preserve">Crop ProductionT </v>
          </cell>
        </row>
        <row r="4">
          <cell r="B4">
            <v>1111</v>
          </cell>
          <cell r="C4" t="str">
            <v>Oilseed and Grain FarmingT</v>
          </cell>
        </row>
        <row r="5">
          <cell r="B5">
            <v>11111</v>
          </cell>
          <cell r="C5" t="str">
            <v>Soybean FarmingT</v>
          </cell>
        </row>
        <row r="6">
          <cell r="B6">
            <v>111110</v>
          </cell>
          <cell r="C6" t="str">
            <v>Soybean Farming</v>
          </cell>
        </row>
        <row r="7">
          <cell r="B7">
            <v>11112</v>
          </cell>
          <cell r="C7" t="str">
            <v xml:space="preserve">Oilseed (except Soybean) FarmingT </v>
          </cell>
        </row>
        <row r="8">
          <cell r="B8">
            <v>111120</v>
          </cell>
          <cell r="C8" t="str">
            <v xml:space="preserve">Oilseed (except Soybean) Farming </v>
          </cell>
        </row>
        <row r="9">
          <cell r="B9">
            <v>11113</v>
          </cell>
          <cell r="C9" t="str">
            <v>Dry Pea and Bean FarmingT</v>
          </cell>
        </row>
        <row r="10">
          <cell r="B10">
            <v>111130</v>
          </cell>
          <cell r="C10" t="str">
            <v xml:space="preserve">Dry Pea and Bean Farming </v>
          </cell>
        </row>
        <row r="11">
          <cell r="B11">
            <v>11114</v>
          </cell>
          <cell r="C11" t="str">
            <v>Wheat FarmingT</v>
          </cell>
        </row>
        <row r="12">
          <cell r="B12">
            <v>111140</v>
          </cell>
          <cell r="C12" t="str">
            <v>Wheat Farming</v>
          </cell>
        </row>
        <row r="13">
          <cell r="B13">
            <v>11115</v>
          </cell>
          <cell r="C13" t="str">
            <v>Corn FarmingT</v>
          </cell>
        </row>
        <row r="14">
          <cell r="B14">
            <v>111150</v>
          </cell>
          <cell r="C14" t="str">
            <v xml:space="preserve">Corn Farming </v>
          </cell>
        </row>
        <row r="15">
          <cell r="B15">
            <v>11116</v>
          </cell>
          <cell r="C15" t="str">
            <v>Rice FarmingT</v>
          </cell>
        </row>
        <row r="16">
          <cell r="B16">
            <v>111160</v>
          </cell>
          <cell r="C16" t="str">
            <v>Rice Farming</v>
          </cell>
        </row>
        <row r="17">
          <cell r="B17">
            <v>11119</v>
          </cell>
          <cell r="C17" t="str">
            <v>Other Grain FarmingT</v>
          </cell>
        </row>
        <row r="18">
          <cell r="B18">
            <v>111191</v>
          </cell>
          <cell r="C18" t="str">
            <v xml:space="preserve">Oilseed and Grain Combination Farming </v>
          </cell>
        </row>
        <row r="19">
          <cell r="B19">
            <v>111199</v>
          </cell>
          <cell r="C19" t="str">
            <v xml:space="preserve">All Other Grain Farming </v>
          </cell>
        </row>
        <row r="20">
          <cell r="B20">
            <v>1112</v>
          </cell>
          <cell r="C20" t="str">
            <v xml:space="preserve">Vegetable and Melon FarmingT </v>
          </cell>
        </row>
        <row r="21">
          <cell r="B21">
            <v>11121</v>
          </cell>
          <cell r="C21" t="str">
            <v>Vegetable and Melon FarmingT</v>
          </cell>
        </row>
        <row r="22">
          <cell r="B22">
            <v>111211</v>
          </cell>
          <cell r="C22" t="str">
            <v xml:space="preserve">Potato Farming </v>
          </cell>
        </row>
        <row r="23">
          <cell r="B23">
            <v>111219</v>
          </cell>
          <cell r="C23" t="str">
            <v xml:space="preserve">Other Vegetable (except Potato) and Melon Farming </v>
          </cell>
        </row>
        <row r="24">
          <cell r="B24">
            <v>1113</v>
          </cell>
          <cell r="C24" t="str">
            <v xml:space="preserve">Fruit and Tree Nut FarmingT </v>
          </cell>
        </row>
        <row r="25">
          <cell r="B25">
            <v>11131</v>
          </cell>
          <cell r="C25" t="str">
            <v>Orange GrovesT</v>
          </cell>
        </row>
        <row r="26">
          <cell r="B26">
            <v>111310</v>
          </cell>
          <cell r="C26" t="str">
            <v>Orange Groves</v>
          </cell>
        </row>
        <row r="27">
          <cell r="B27">
            <v>11132</v>
          </cell>
          <cell r="C27" t="str">
            <v xml:space="preserve">Citrus (except Orange) GrovesT </v>
          </cell>
        </row>
        <row r="28">
          <cell r="B28">
            <v>111320</v>
          </cell>
          <cell r="C28" t="str">
            <v xml:space="preserve">Citrus (except Orange) Groves </v>
          </cell>
        </row>
        <row r="29">
          <cell r="B29">
            <v>11133</v>
          </cell>
          <cell r="C29" t="str">
            <v>Noncitrus Fruit and Tree Nut FarmingT</v>
          </cell>
        </row>
        <row r="30">
          <cell r="B30">
            <v>111331</v>
          </cell>
          <cell r="C30" t="str">
            <v xml:space="preserve">Apple Orchards </v>
          </cell>
        </row>
        <row r="31">
          <cell r="B31">
            <v>111332</v>
          </cell>
          <cell r="C31" t="str">
            <v xml:space="preserve">Grape Vineyards </v>
          </cell>
        </row>
        <row r="32">
          <cell r="B32">
            <v>111333</v>
          </cell>
          <cell r="C32" t="str">
            <v xml:space="preserve">Strawberry Farming </v>
          </cell>
        </row>
        <row r="33">
          <cell r="B33">
            <v>111334</v>
          </cell>
          <cell r="C33" t="str">
            <v xml:space="preserve">Berry (except Strawberry) Farming </v>
          </cell>
        </row>
        <row r="34">
          <cell r="B34">
            <v>111335</v>
          </cell>
          <cell r="C34" t="str">
            <v xml:space="preserve">Tree Nut Farming </v>
          </cell>
        </row>
        <row r="35">
          <cell r="B35">
            <v>111336</v>
          </cell>
          <cell r="C35" t="str">
            <v xml:space="preserve">Fruit and Tree Nut Combination Farming </v>
          </cell>
        </row>
        <row r="36">
          <cell r="B36">
            <v>111339</v>
          </cell>
          <cell r="C36" t="str">
            <v xml:space="preserve">Other Noncitrus Fruit Farming </v>
          </cell>
        </row>
        <row r="37">
          <cell r="B37">
            <v>1114</v>
          </cell>
          <cell r="C37" t="str">
            <v xml:space="preserve">Greenhouse, Nursery, and Floriculture ProductionT </v>
          </cell>
        </row>
        <row r="38">
          <cell r="B38">
            <v>11141</v>
          </cell>
          <cell r="C38" t="str">
            <v>Food Crops Grown Under CoverT</v>
          </cell>
        </row>
        <row r="39">
          <cell r="B39">
            <v>111411</v>
          </cell>
          <cell r="C39" t="str">
            <v xml:space="preserve">Mushroom Production </v>
          </cell>
        </row>
        <row r="40">
          <cell r="B40">
            <v>111419</v>
          </cell>
          <cell r="C40" t="str">
            <v xml:space="preserve">Other Food Crops Grown Under Cover </v>
          </cell>
        </row>
        <row r="41">
          <cell r="B41">
            <v>11142</v>
          </cell>
          <cell r="C41" t="str">
            <v>Nursery and Floriculture ProductionT</v>
          </cell>
        </row>
        <row r="42">
          <cell r="B42">
            <v>111421</v>
          </cell>
          <cell r="C42" t="str">
            <v xml:space="preserve">Nursery and Tree Production </v>
          </cell>
        </row>
        <row r="43">
          <cell r="B43">
            <v>111422</v>
          </cell>
          <cell r="C43" t="str">
            <v xml:space="preserve">Floriculture Production </v>
          </cell>
        </row>
        <row r="44">
          <cell r="B44">
            <v>1119</v>
          </cell>
          <cell r="C44" t="str">
            <v xml:space="preserve">Other Crop FarmingT </v>
          </cell>
        </row>
        <row r="45">
          <cell r="B45">
            <v>11191</v>
          </cell>
          <cell r="C45" t="str">
            <v>Tobacco FarmingT</v>
          </cell>
        </row>
        <row r="46">
          <cell r="B46">
            <v>111910</v>
          </cell>
          <cell r="C46" t="str">
            <v>Tobacco Farming</v>
          </cell>
        </row>
        <row r="47">
          <cell r="B47">
            <v>11192</v>
          </cell>
          <cell r="C47" t="str">
            <v>Cotton FarmingT</v>
          </cell>
        </row>
        <row r="48">
          <cell r="B48">
            <v>111920</v>
          </cell>
          <cell r="C48" t="str">
            <v>Cotton Farming</v>
          </cell>
        </row>
        <row r="49">
          <cell r="B49">
            <v>11193</v>
          </cell>
          <cell r="C49" t="str">
            <v xml:space="preserve">Sugarcane FarmingT </v>
          </cell>
        </row>
        <row r="50">
          <cell r="B50">
            <v>111930</v>
          </cell>
          <cell r="C50" t="str">
            <v>Sugarcane Farming</v>
          </cell>
        </row>
        <row r="51">
          <cell r="B51">
            <v>11194</v>
          </cell>
          <cell r="C51" t="str">
            <v xml:space="preserve">Hay FarmingT </v>
          </cell>
        </row>
        <row r="52">
          <cell r="B52">
            <v>111940</v>
          </cell>
          <cell r="C52" t="str">
            <v xml:space="preserve">Hay Farming </v>
          </cell>
        </row>
        <row r="53">
          <cell r="B53">
            <v>11199</v>
          </cell>
          <cell r="C53" t="str">
            <v xml:space="preserve">All Other Crop FarmingT </v>
          </cell>
        </row>
        <row r="54">
          <cell r="B54">
            <v>111991</v>
          </cell>
          <cell r="C54" t="str">
            <v xml:space="preserve">Sugar Beet Farming </v>
          </cell>
        </row>
        <row r="55">
          <cell r="B55">
            <v>111992</v>
          </cell>
          <cell r="C55" t="str">
            <v xml:space="preserve">Peanut Farming </v>
          </cell>
        </row>
        <row r="56">
          <cell r="B56">
            <v>111998</v>
          </cell>
          <cell r="C56" t="str">
            <v xml:space="preserve">All Other Miscellaneous Crop Farming </v>
          </cell>
        </row>
        <row r="57">
          <cell r="B57">
            <v>112</v>
          </cell>
          <cell r="C57" t="str">
            <v xml:space="preserve">Animal Production and AquacultureT </v>
          </cell>
        </row>
        <row r="58">
          <cell r="B58">
            <v>1121</v>
          </cell>
          <cell r="C58" t="str">
            <v xml:space="preserve">Cattle Ranching and FarmingT </v>
          </cell>
        </row>
        <row r="59">
          <cell r="B59">
            <v>11211</v>
          </cell>
          <cell r="C59" t="str">
            <v xml:space="preserve">Beef Cattle Ranching and Farming, including FeedlotsT </v>
          </cell>
        </row>
        <row r="60">
          <cell r="B60">
            <v>112111</v>
          </cell>
          <cell r="C60" t="str">
            <v xml:space="preserve">Beef Cattle Ranching and Farming </v>
          </cell>
        </row>
        <row r="61">
          <cell r="B61">
            <v>112112</v>
          </cell>
          <cell r="C61" t="str">
            <v xml:space="preserve">Cattle Feedlots </v>
          </cell>
        </row>
        <row r="62">
          <cell r="B62">
            <v>11212</v>
          </cell>
          <cell r="C62" t="str">
            <v>Dairy Cattle and Milk ProductionT</v>
          </cell>
        </row>
        <row r="63">
          <cell r="B63">
            <v>112120</v>
          </cell>
          <cell r="C63" t="str">
            <v>Dairy Cattle and Milk Production</v>
          </cell>
        </row>
        <row r="64">
          <cell r="B64">
            <v>11213</v>
          </cell>
          <cell r="C64" t="str">
            <v xml:space="preserve">Dual-Purpose Cattle Ranching and FarmingT </v>
          </cell>
        </row>
        <row r="65">
          <cell r="B65">
            <v>112130</v>
          </cell>
          <cell r="C65" t="str">
            <v xml:space="preserve">Dual-Purpose Cattle Ranching and Farming </v>
          </cell>
        </row>
        <row r="66">
          <cell r="B66">
            <v>1122</v>
          </cell>
          <cell r="C66" t="str">
            <v xml:space="preserve">Hog and Pig FarmingT </v>
          </cell>
        </row>
        <row r="67">
          <cell r="B67">
            <v>11221</v>
          </cell>
          <cell r="C67" t="str">
            <v xml:space="preserve">Hog and Pig FarmingT </v>
          </cell>
        </row>
        <row r="68">
          <cell r="B68">
            <v>112210</v>
          </cell>
          <cell r="C68" t="str">
            <v xml:space="preserve">Hog and Pig Farming </v>
          </cell>
        </row>
        <row r="69">
          <cell r="B69">
            <v>1123</v>
          </cell>
          <cell r="C69" t="str">
            <v xml:space="preserve">Poultry and Egg ProductionT </v>
          </cell>
        </row>
        <row r="70">
          <cell r="B70">
            <v>11231</v>
          </cell>
          <cell r="C70" t="str">
            <v xml:space="preserve">Chicken Egg ProductionT </v>
          </cell>
        </row>
        <row r="71">
          <cell r="B71">
            <v>112310</v>
          </cell>
          <cell r="C71" t="str">
            <v xml:space="preserve">Chicken Egg Production </v>
          </cell>
        </row>
        <row r="72">
          <cell r="B72">
            <v>11232</v>
          </cell>
          <cell r="C72" t="str">
            <v xml:space="preserve">Broilers and Other Meat Type Chicken ProductionT </v>
          </cell>
        </row>
        <row r="73">
          <cell r="B73">
            <v>112320</v>
          </cell>
          <cell r="C73" t="str">
            <v xml:space="preserve">Broilers and Other Meat Type Chicken Production </v>
          </cell>
        </row>
        <row r="74">
          <cell r="B74">
            <v>11233</v>
          </cell>
          <cell r="C74" t="str">
            <v>Turkey ProductionT</v>
          </cell>
        </row>
        <row r="75">
          <cell r="B75">
            <v>112330</v>
          </cell>
          <cell r="C75" t="str">
            <v>Turkey Production</v>
          </cell>
        </row>
        <row r="76">
          <cell r="B76">
            <v>11234</v>
          </cell>
          <cell r="C76" t="str">
            <v xml:space="preserve">Poultry HatcheriesT </v>
          </cell>
        </row>
        <row r="77">
          <cell r="B77">
            <v>112340</v>
          </cell>
          <cell r="C77" t="str">
            <v>Poultry Hatcheries</v>
          </cell>
        </row>
        <row r="78">
          <cell r="B78">
            <v>11239</v>
          </cell>
          <cell r="C78" t="str">
            <v xml:space="preserve">Other Poultry ProductionT </v>
          </cell>
        </row>
        <row r="79">
          <cell r="B79">
            <v>112390</v>
          </cell>
          <cell r="C79" t="str">
            <v xml:space="preserve">Other Poultry Production </v>
          </cell>
        </row>
        <row r="80">
          <cell r="B80">
            <v>1124</v>
          </cell>
          <cell r="C80" t="str">
            <v xml:space="preserve">Sheep and Goat FarmingT </v>
          </cell>
        </row>
        <row r="81">
          <cell r="B81">
            <v>11241</v>
          </cell>
          <cell r="C81" t="str">
            <v xml:space="preserve">Sheep FarmingT </v>
          </cell>
        </row>
        <row r="82">
          <cell r="B82">
            <v>112410</v>
          </cell>
          <cell r="C82" t="str">
            <v>Sheep Farming</v>
          </cell>
        </row>
        <row r="83">
          <cell r="B83">
            <v>11242</v>
          </cell>
          <cell r="C83" t="str">
            <v>Goat FarmingT</v>
          </cell>
        </row>
        <row r="84">
          <cell r="B84">
            <v>112420</v>
          </cell>
          <cell r="C84" t="str">
            <v>Goat Farming</v>
          </cell>
        </row>
        <row r="85">
          <cell r="B85">
            <v>1125</v>
          </cell>
          <cell r="C85" t="str">
            <v xml:space="preserve">AquacultureT </v>
          </cell>
        </row>
        <row r="86">
          <cell r="B86">
            <v>11251</v>
          </cell>
          <cell r="C86" t="str">
            <v xml:space="preserve">AquacultureT </v>
          </cell>
        </row>
        <row r="87">
          <cell r="B87">
            <v>112511</v>
          </cell>
          <cell r="C87" t="str">
            <v xml:space="preserve">Finfish Farming and Fish Hatcheries </v>
          </cell>
        </row>
        <row r="88">
          <cell r="B88">
            <v>112512</v>
          </cell>
          <cell r="C88" t="str">
            <v xml:space="preserve">Shellfish Farming </v>
          </cell>
        </row>
        <row r="89">
          <cell r="B89">
            <v>112519</v>
          </cell>
          <cell r="C89" t="str">
            <v xml:space="preserve">Other Aquaculture </v>
          </cell>
        </row>
        <row r="90">
          <cell r="B90">
            <v>1129</v>
          </cell>
          <cell r="C90" t="str">
            <v xml:space="preserve">Other Animal ProductionT </v>
          </cell>
        </row>
        <row r="91">
          <cell r="B91">
            <v>11291</v>
          </cell>
          <cell r="C91" t="str">
            <v>ApicultureT</v>
          </cell>
        </row>
        <row r="92">
          <cell r="B92">
            <v>112910</v>
          </cell>
          <cell r="C92" t="str">
            <v>Apiculture</v>
          </cell>
        </row>
        <row r="93">
          <cell r="B93">
            <v>11292</v>
          </cell>
          <cell r="C93" t="str">
            <v xml:space="preserve">Horses and Other Equine ProductionT </v>
          </cell>
        </row>
        <row r="94">
          <cell r="B94">
            <v>112920</v>
          </cell>
          <cell r="C94" t="str">
            <v>Horses and Other Equine Production</v>
          </cell>
        </row>
        <row r="95">
          <cell r="B95">
            <v>11293</v>
          </cell>
          <cell r="C95" t="str">
            <v xml:space="preserve">Fur-Bearing Animal and Rabbit ProductionT </v>
          </cell>
        </row>
        <row r="96">
          <cell r="B96">
            <v>112930</v>
          </cell>
          <cell r="C96" t="str">
            <v>Fur-Bearing Animal and Rabbit Production</v>
          </cell>
        </row>
        <row r="97">
          <cell r="B97">
            <v>11299</v>
          </cell>
          <cell r="C97" t="str">
            <v xml:space="preserve">All Other Animal ProductionT </v>
          </cell>
        </row>
        <row r="98">
          <cell r="B98">
            <v>112990</v>
          </cell>
          <cell r="C98" t="str">
            <v xml:space="preserve">All Other Animal Production </v>
          </cell>
        </row>
        <row r="99">
          <cell r="B99">
            <v>113</v>
          </cell>
          <cell r="C99" t="str">
            <v xml:space="preserve">Forestry and LoggingT </v>
          </cell>
        </row>
        <row r="100">
          <cell r="B100">
            <v>1131</v>
          </cell>
          <cell r="C100" t="str">
            <v xml:space="preserve">Timber Tract OperationsT </v>
          </cell>
        </row>
        <row r="101">
          <cell r="B101">
            <v>11311</v>
          </cell>
          <cell r="C101" t="str">
            <v xml:space="preserve">Timber Tract OperationsT </v>
          </cell>
        </row>
        <row r="102">
          <cell r="B102">
            <v>113110</v>
          </cell>
          <cell r="C102" t="str">
            <v>Timber Tract Operations</v>
          </cell>
        </row>
        <row r="103">
          <cell r="B103">
            <v>1132</v>
          </cell>
          <cell r="C103" t="str">
            <v xml:space="preserve">Forest Nurseries and Gathering of Forest ProductsT </v>
          </cell>
        </row>
        <row r="104">
          <cell r="B104">
            <v>11321</v>
          </cell>
          <cell r="C104" t="str">
            <v xml:space="preserve">Forest Nurseries and Gathering of Forest ProductsT </v>
          </cell>
        </row>
        <row r="105">
          <cell r="B105">
            <v>113210</v>
          </cell>
          <cell r="C105" t="str">
            <v xml:space="preserve">Forest Nurseries and Gathering of Forest Products </v>
          </cell>
        </row>
        <row r="106">
          <cell r="B106">
            <v>1133</v>
          </cell>
          <cell r="C106" t="str">
            <v xml:space="preserve">LoggingT </v>
          </cell>
        </row>
        <row r="107">
          <cell r="B107">
            <v>11331</v>
          </cell>
          <cell r="C107" t="str">
            <v xml:space="preserve">LoggingT </v>
          </cell>
        </row>
        <row r="108">
          <cell r="B108">
            <v>113310</v>
          </cell>
          <cell r="C108" t="str">
            <v xml:space="preserve">Logging </v>
          </cell>
        </row>
        <row r="109">
          <cell r="B109">
            <v>114</v>
          </cell>
          <cell r="C109" t="str">
            <v xml:space="preserve">Fishing, Hunting and TrappingT </v>
          </cell>
        </row>
        <row r="110">
          <cell r="B110">
            <v>1141</v>
          </cell>
          <cell r="C110" t="str">
            <v xml:space="preserve">FishingT </v>
          </cell>
        </row>
        <row r="111">
          <cell r="B111">
            <v>11411</v>
          </cell>
          <cell r="C111" t="str">
            <v xml:space="preserve">FishingT </v>
          </cell>
        </row>
        <row r="112">
          <cell r="B112">
            <v>114111</v>
          </cell>
          <cell r="C112" t="str">
            <v xml:space="preserve">Finfish Fishing </v>
          </cell>
        </row>
        <row r="113">
          <cell r="B113">
            <v>114112</v>
          </cell>
          <cell r="C113" t="str">
            <v xml:space="preserve">Shellfish Fishing </v>
          </cell>
        </row>
        <row r="114">
          <cell r="B114">
            <v>114119</v>
          </cell>
          <cell r="C114" t="str">
            <v xml:space="preserve">Other Marine Fishing </v>
          </cell>
        </row>
        <row r="115">
          <cell r="B115">
            <v>1142</v>
          </cell>
          <cell r="C115" t="str">
            <v xml:space="preserve">Hunting and TrappingT </v>
          </cell>
        </row>
        <row r="116">
          <cell r="B116">
            <v>11421</v>
          </cell>
          <cell r="C116" t="str">
            <v xml:space="preserve">Hunting and TrappingT </v>
          </cell>
        </row>
        <row r="117">
          <cell r="B117">
            <v>114210</v>
          </cell>
          <cell r="C117" t="str">
            <v>Hunting and Trapping</v>
          </cell>
        </row>
        <row r="118">
          <cell r="B118">
            <v>115</v>
          </cell>
          <cell r="C118" t="str">
            <v xml:space="preserve">Support Activities for Agriculture and ForestryT </v>
          </cell>
        </row>
        <row r="119">
          <cell r="B119">
            <v>1151</v>
          </cell>
          <cell r="C119" t="str">
            <v xml:space="preserve">Support Activities for Crop ProductionT </v>
          </cell>
        </row>
        <row r="120">
          <cell r="B120">
            <v>11511</v>
          </cell>
          <cell r="C120" t="str">
            <v xml:space="preserve">Support Activities for Crop ProductionT </v>
          </cell>
        </row>
        <row r="121">
          <cell r="B121">
            <v>115111</v>
          </cell>
          <cell r="C121" t="str">
            <v xml:space="preserve">Cotton Ginning </v>
          </cell>
        </row>
        <row r="122">
          <cell r="B122">
            <v>115112</v>
          </cell>
          <cell r="C122" t="str">
            <v xml:space="preserve">Soil Preparation, Planting, and Cultivating </v>
          </cell>
        </row>
        <row r="123">
          <cell r="B123">
            <v>115113</v>
          </cell>
          <cell r="C123" t="str">
            <v xml:space="preserve">Crop Harvesting, Primarily by Machine </v>
          </cell>
        </row>
        <row r="124">
          <cell r="B124">
            <v>115114</v>
          </cell>
          <cell r="C124" t="str">
            <v xml:space="preserve">Postharvest Crop Activities (except Cotton Ginning) </v>
          </cell>
        </row>
        <row r="125">
          <cell r="B125">
            <v>115115</v>
          </cell>
          <cell r="C125" t="str">
            <v xml:space="preserve">Farm Labor Contractors and Crew Leaders </v>
          </cell>
        </row>
        <row r="126">
          <cell r="B126">
            <v>115116</v>
          </cell>
          <cell r="C126" t="str">
            <v xml:space="preserve">Farm Management Services </v>
          </cell>
        </row>
        <row r="127">
          <cell r="B127">
            <v>1152</v>
          </cell>
          <cell r="C127" t="str">
            <v xml:space="preserve">Support Activities for Animal ProductionT </v>
          </cell>
        </row>
        <row r="128">
          <cell r="B128">
            <v>11521</v>
          </cell>
          <cell r="C128" t="str">
            <v xml:space="preserve">Support Activities for Animal ProductionT </v>
          </cell>
        </row>
        <row r="129">
          <cell r="B129">
            <v>115210</v>
          </cell>
          <cell r="C129" t="str">
            <v>Support Activities for Animal Production</v>
          </cell>
        </row>
        <row r="130">
          <cell r="B130">
            <v>1153</v>
          </cell>
          <cell r="C130" t="str">
            <v xml:space="preserve">Support Activities for ForestryT </v>
          </cell>
        </row>
        <row r="131">
          <cell r="B131">
            <v>11531</v>
          </cell>
          <cell r="C131" t="str">
            <v xml:space="preserve">Support Activities for ForestryT </v>
          </cell>
        </row>
        <row r="132">
          <cell r="B132">
            <v>115310</v>
          </cell>
          <cell r="C132" t="str">
            <v>Support Activities for Forestry</v>
          </cell>
        </row>
        <row r="134">
          <cell r="B134">
            <v>21</v>
          </cell>
          <cell r="C134" t="str">
            <v>Mining, Quarrying, and Oil and Gas ExtractionT</v>
          </cell>
        </row>
        <row r="135">
          <cell r="B135">
            <v>211</v>
          </cell>
          <cell r="C135" t="str">
            <v xml:space="preserve">Oil and Gas ExtractionT </v>
          </cell>
        </row>
        <row r="136">
          <cell r="B136">
            <v>2111</v>
          </cell>
          <cell r="C136" t="str">
            <v xml:space="preserve">Oil and Gas ExtractionT </v>
          </cell>
        </row>
        <row r="137">
          <cell r="B137">
            <v>21112</v>
          </cell>
          <cell r="C137" t="str">
            <v xml:space="preserve">Crude Petroleum Extraction </v>
          </cell>
        </row>
        <row r="138">
          <cell r="B138">
            <v>211120</v>
          </cell>
          <cell r="C138" t="str">
            <v xml:space="preserve">Crude Petroleum Extraction </v>
          </cell>
        </row>
        <row r="139">
          <cell r="B139">
            <v>21113</v>
          </cell>
          <cell r="C139" t="str">
            <v xml:space="preserve">Natural Gas Extraction </v>
          </cell>
        </row>
        <row r="140">
          <cell r="B140">
            <v>211130</v>
          </cell>
          <cell r="C140" t="str">
            <v xml:space="preserve">Natural Gas Extraction </v>
          </cell>
        </row>
        <row r="141">
          <cell r="B141">
            <v>212</v>
          </cell>
          <cell r="C141" t="str">
            <v xml:space="preserve">Mining (except Oil and Gas)T </v>
          </cell>
        </row>
        <row r="142">
          <cell r="B142">
            <v>2121</v>
          </cell>
          <cell r="C142" t="str">
            <v xml:space="preserve">Coal MiningT </v>
          </cell>
        </row>
        <row r="143">
          <cell r="B143">
            <v>21211</v>
          </cell>
          <cell r="C143" t="str">
            <v xml:space="preserve">Coal MiningT </v>
          </cell>
        </row>
        <row r="144">
          <cell r="B144">
            <v>212114</v>
          </cell>
          <cell r="C144" t="str">
            <v>Surface Coal Mining</v>
          </cell>
        </row>
        <row r="145">
          <cell r="B145">
            <v>212115</v>
          </cell>
          <cell r="C145" t="str">
            <v>Underground Coal Mining</v>
          </cell>
        </row>
        <row r="146">
          <cell r="B146">
            <v>2122</v>
          </cell>
          <cell r="C146" t="str">
            <v xml:space="preserve">Metal Ore MiningT </v>
          </cell>
        </row>
        <row r="147">
          <cell r="B147">
            <v>21221</v>
          </cell>
          <cell r="C147" t="str">
            <v xml:space="preserve">Iron Ore MiningT </v>
          </cell>
        </row>
        <row r="148">
          <cell r="B148">
            <v>212210</v>
          </cell>
          <cell r="C148" t="str">
            <v>Iron Ore Mining</v>
          </cell>
        </row>
        <row r="149">
          <cell r="B149">
            <v>21222</v>
          </cell>
          <cell r="C149" t="str">
            <v xml:space="preserve">Gold Ore and Silver Ore MiningT </v>
          </cell>
        </row>
        <row r="150">
          <cell r="B150">
            <v>212220</v>
          </cell>
          <cell r="C150" t="str">
            <v>Gold Ore and Silver Ore Mining</v>
          </cell>
        </row>
        <row r="151">
          <cell r="B151">
            <v>21223</v>
          </cell>
          <cell r="C151" t="str">
            <v xml:space="preserve">Copper, Nickel, Lead, and Zinc MiningT </v>
          </cell>
        </row>
        <row r="152">
          <cell r="B152">
            <v>212230</v>
          </cell>
          <cell r="C152" t="str">
            <v>Copper, Nickel, Lead, and Zinc Mining</v>
          </cell>
        </row>
        <row r="153">
          <cell r="B153">
            <v>21229</v>
          </cell>
          <cell r="C153" t="str">
            <v xml:space="preserve">Other Metal Ore MiningT </v>
          </cell>
        </row>
        <row r="154">
          <cell r="B154">
            <v>212290</v>
          </cell>
          <cell r="C154" t="str">
            <v>Other Metal Ore Mining</v>
          </cell>
        </row>
        <row r="155">
          <cell r="B155">
            <v>2123</v>
          </cell>
          <cell r="C155" t="str">
            <v xml:space="preserve">Nonmetallic Mineral Mining and QuarryingT </v>
          </cell>
        </row>
        <row r="156">
          <cell r="B156">
            <v>21231</v>
          </cell>
          <cell r="C156" t="str">
            <v xml:space="preserve">Stone Mining and QuarryingT </v>
          </cell>
        </row>
        <row r="157">
          <cell r="B157">
            <v>212311</v>
          </cell>
          <cell r="C157" t="str">
            <v xml:space="preserve">Dimension Stone Mining and Quarrying </v>
          </cell>
        </row>
        <row r="158">
          <cell r="B158">
            <v>212312</v>
          </cell>
          <cell r="C158" t="str">
            <v xml:space="preserve">Crushed and Broken Limestone Mining and Quarrying </v>
          </cell>
        </row>
        <row r="159">
          <cell r="B159">
            <v>212313</v>
          </cell>
          <cell r="C159" t="str">
            <v xml:space="preserve">Crushed and Broken Granite Mining and Quarrying </v>
          </cell>
        </row>
        <row r="160">
          <cell r="B160">
            <v>212319</v>
          </cell>
          <cell r="C160" t="str">
            <v xml:space="preserve">Other Crushed and Broken Stone Mining and Quarrying </v>
          </cell>
        </row>
        <row r="161">
          <cell r="B161">
            <v>21232</v>
          </cell>
          <cell r="C161" t="str">
            <v xml:space="preserve">Sand, Gravel, Clay, and Ceramic and Refractory Minerals Mining and QuarryingT </v>
          </cell>
        </row>
        <row r="162">
          <cell r="B162">
            <v>212321</v>
          </cell>
          <cell r="C162" t="str">
            <v xml:space="preserve">Construction Sand and Gravel Mining </v>
          </cell>
        </row>
        <row r="163">
          <cell r="B163">
            <v>212322</v>
          </cell>
          <cell r="C163" t="str">
            <v xml:space="preserve">Industrial Sand Mining </v>
          </cell>
        </row>
        <row r="164">
          <cell r="B164">
            <v>212323</v>
          </cell>
          <cell r="C164" t="str">
            <v xml:space="preserve">Kaolin, Clay, and Ceramic and Refractory Minerals Mining </v>
          </cell>
        </row>
        <row r="165">
          <cell r="B165">
            <v>21239</v>
          </cell>
          <cell r="C165" t="str">
            <v xml:space="preserve">Other Nonmetallic Mineral Mining and QuarryingT </v>
          </cell>
        </row>
        <row r="166">
          <cell r="B166">
            <v>212390</v>
          </cell>
          <cell r="C166" t="str">
            <v xml:space="preserve">Other Nonmetallic Mineral Mining and Quarrying </v>
          </cell>
        </row>
        <row r="167">
          <cell r="B167">
            <v>213</v>
          </cell>
          <cell r="C167" t="str">
            <v xml:space="preserve">Support Activities for MiningT </v>
          </cell>
        </row>
        <row r="168">
          <cell r="B168">
            <v>2131</v>
          </cell>
          <cell r="C168" t="str">
            <v xml:space="preserve">Support Activities for MiningT </v>
          </cell>
        </row>
        <row r="169">
          <cell r="B169">
            <v>21311</v>
          </cell>
          <cell r="C169" t="str">
            <v xml:space="preserve">Support Activities for MiningT </v>
          </cell>
        </row>
        <row r="170">
          <cell r="B170">
            <v>213111</v>
          </cell>
          <cell r="C170" t="str">
            <v>Drilling Oil and Gas Wells</v>
          </cell>
        </row>
        <row r="171">
          <cell r="B171">
            <v>213112</v>
          </cell>
          <cell r="C171" t="str">
            <v xml:space="preserve">Support Activities for Oil and Gas Operations </v>
          </cell>
        </row>
        <row r="172">
          <cell r="B172">
            <v>213113</v>
          </cell>
          <cell r="C172" t="str">
            <v xml:space="preserve">Support Activities for Coal Mining </v>
          </cell>
        </row>
        <row r="173">
          <cell r="B173">
            <v>213114</v>
          </cell>
          <cell r="C173" t="str">
            <v xml:space="preserve">Support Activities for Metal Mining </v>
          </cell>
        </row>
        <row r="174">
          <cell r="B174">
            <v>213115</v>
          </cell>
          <cell r="C174" t="str">
            <v xml:space="preserve">Support Activities for Nonmetallic Minerals (except Fuels) Mining </v>
          </cell>
        </row>
        <row r="176">
          <cell r="B176">
            <v>22</v>
          </cell>
          <cell r="C176" t="str">
            <v>UtilitiesT</v>
          </cell>
        </row>
        <row r="177">
          <cell r="B177">
            <v>221</v>
          </cell>
          <cell r="C177" t="str">
            <v xml:space="preserve">UtilitiesT </v>
          </cell>
        </row>
        <row r="178">
          <cell r="B178">
            <v>2211</v>
          </cell>
          <cell r="C178" t="str">
            <v>Electric Power Generation, Transmission and DistributionT</v>
          </cell>
        </row>
        <row r="179">
          <cell r="B179">
            <v>22111</v>
          </cell>
          <cell r="C179" t="str">
            <v xml:space="preserve">Electric Power GenerationT </v>
          </cell>
        </row>
        <row r="180">
          <cell r="B180">
            <v>221111</v>
          </cell>
          <cell r="C180" t="str">
            <v xml:space="preserve">Hydroelectric Power Generation </v>
          </cell>
        </row>
        <row r="181">
          <cell r="B181">
            <v>221112</v>
          </cell>
          <cell r="C181" t="str">
            <v xml:space="preserve">Fossil Fuel Electric Power Generation </v>
          </cell>
        </row>
        <row r="182">
          <cell r="B182">
            <v>221113</v>
          </cell>
          <cell r="C182" t="str">
            <v xml:space="preserve">Nuclear Electric Power Generation </v>
          </cell>
        </row>
        <row r="183">
          <cell r="B183">
            <v>221114</v>
          </cell>
          <cell r="C183" t="str">
            <v xml:space="preserve">Solar Electric Power Generation </v>
          </cell>
        </row>
        <row r="184">
          <cell r="B184">
            <v>221115</v>
          </cell>
          <cell r="C184" t="str">
            <v xml:space="preserve">Wind Electric Power Generation </v>
          </cell>
        </row>
        <row r="185">
          <cell r="B185">
            <v>221116</v>
          </cell>
          <cell r="C185" t="str">
            <v xml:space="preserve">Geothermal Electric Power Generation </v>
          </cell>
        </row>
        <row r="186">
          <cell r="B186">
            <v>221117</v>
          </cell>
          <cell r="C186" t="str">
            <v xml:space="preserve">Biomass Electric Power Generation </v>
          </cell>
        </row>
        <row r="187">
          <cell r="B187">
            <v>221118</v>
          </cell>
          <cell r="C187" t="str">
            <v xml:space="preserve">Other Electric Power Generation </v>
          </cell>
        </row>
        <row r="188">
          <cell r="B188">
            <v>22112</v>
          </cell>
          <cell r="C188" t="str">
            <v xml:space="preserve">Electric Power Transmission, Control, and DistributionT </v>
          </cell>
        </row>
        <row r="189">
          <cell r="B189">
            <v>221121</v>
          </cell>
          <cell r="C189" t="str">
            <v xml:space="preserve">Electric Bulk Power Transmission and Control </v>
          </cell>
        </row>
        <row r="190">
          <cell r="B190">
            <v>221122</v>
          </cell>
          <cell r="C190" t="str">
            <v xml:space="preserve">Electric Power Distribution </v>
          </cell>
        </row>
        <row r="191">
          <cell r="B191">
            <v>2212</v>
          </cell>
          <cell r="C191" t="str">
            <v xml:space="preserve">Natural Gas DistributionT </v>
          </cell>
        </row>
        <row r="192">
          <cell r="B192">
            <v>22121</v>
          </cell>
          <cell r="C192" t="str">
            <v xml:space="preserve">Natural Gas DistributionT </v>
          </cell>
        </row>
        <row r="193">
          <cell r="B193">
            <v>221210</v>
          </cell>
          <cell r="C193" t="str">
            <v xml:space="preserve">Natural Gas Distribution </v>
          </cell>
        </row>
        <row r="194">
          <cell r="B194">
            <v>2213</v>
          </cell>
          <cell r="C194" t="str">
            <v xml:space="preserve">Water, Sewage and Other SystemsT </v>
          </cell>
        </row>
        <row r="195">
          <cell r="B195">
            <v>22131</v>
          </cell>
          <cell r="C195" t="str">
            <v xml:space="preserve">Water Supply and Irrigation Systems </v>
          </cell>
        </row>
        <row r="196">
          <cell r="B196">
            <v>221310</v>
          </cell>
          <cell r="C196" t="str">
            <v xml:space="preserve">Water Supply and Irrigation Systems </v>
          </cell>
        </row>
        <row r="197">
          <cell r="B197">
            <v>22132</v>
          </cell>
          <cell r="C197" t="str">
            <v xml:space="preserve">Sewage Treatment Facilities </v>
          </cell>
        </row>
        <row r="198">
          <cell r="B198">
            <v>221320</v>
          </cell>
          <cell r="C198" t="str">
            <v xml:space="preserve">Sewage Treatment Facilities </v>
          </cell>
        </row>
        <row r="199">
          <cell r="B199">
            <v>22133</v>
          </cell>
          <cell r="C199" t="str">
            <v xml:space="preserve">Steam and Air-Conditioning Supply </v>
          </cell>
        </row>
        <row r="200">
          <cell r="B200">
            <v>221330</v>
          </cell>
          <cell r="C200" t="str">
            <v xml:space="preserve">Steam and Air-Conditioning Supply </v>
          </cell>
        </row>
        <row r="202">
          <cell r="B202">
            <v>23</v>
          </cell>
          <cell r="C202" t="str">
            <v>ConstructionT</v>
          </cell>
        </row>
        <row r="203">
          <cell r="B203">
            <v>236</v>
          </cell>
          <cell r="C203" t="str">
            <v xml:space="preserve">Construction of BuildingsT </v>
          </cell>
        </row>
        <row r="204">
          <cell r="B204">
            <v>2361</v>
          </cell>
          <cell r="C204" t="str">
            <v xml:space="preserve">Residential Building ConstructionT </v>
          </cell>
        </row>
        <row r="205">
          <cell r="B205">
            <v>23611</v>
          </cell>
          <cell r="C205" t="str">
            <v xml:space="preserve">Residential Building ConstructionT </v>
          </cell>
        </row>
        <row r="206">
          <cell r="B206">
            <v>236115</v>
          </cell>
          <cell r="C206" t="str">
            <v xml:space="preserve">New Single-Family Housing Construction (except For-Sale Builders) </v>
          </cell>
        </row>
        <row r="207">
          <cell r="B207">
            <v>236116</v>
          </cell>
          <cell r="C207" t="str">
            <v xml:space="preserve">New Multifamily Housing Construction (except For-Sale Builders) </v>
          </cell>
        </row>
        <row r="208">
          <cell r="B208">
            <v>236117</v>
          </cell>
          <cell r="C208" t="str">
            <v xml:space="preserve">New Housing For-Sale Builders </v>
          </cell>
        </row>
        <row r="209">
          <cell r="B209">
            <v>236118</v>
          </cell>
          <cell r="C209" t="str">
            <v xml:space="preserve">Residential Remodelers </v>
          </cell>
        </row>
        <row r="210">
          <cell r="B210">
            <v>2362</v>
          </cell>
          <cell r="C210" t="str">
            <v xml:space="preserve">Nonresidential Building ConstructionT </v>
          </cell>
        </row>
        <row r="211">
          <cell r="B211">
            <v>23621</v>
          </cell>
          <cell r="C211" t="str">
            <v xml:space="preserve">Industrial Building ConstructionT </v>
          </cell>
        </row>
        <row r="212">
          <cell r="B212">
            <v>236210</v>
          </cell>
          <cell r="C212" t="str">
            <v xml:space="preserve">Industrial Building Construction </v>
          </cell>
        </row>
        <row r="213">
          <cell r="B213">
            <v>23622</v>
          </cell>
          <cell r="C213" t="str">
            <v xml:space="preserve">Commercial and Institutional Building ConstructionT </v>
          </cell>
        </row>
        <row r="214">
          <cell r="B214">
            <v>236220</v>
          </cell>
          <cell r="C214" t="str">
            <v xml:space="preserve">Commercial and Institutional Building Construction </v>
          </cell>
        </row>
        <row r="215">
          <cell r="B215">
            <v>237</v>
          </cell>
          <cell r="C215" t="str">
            <v xml:space="preserve">Heavy and Civil Engineering ConstructionT </v>
          </cell>
        </row>
        <row r="216">
          <cell r="B216">
            <v>2371</v>
          </cell>
          <cell r="C216" t="str">
            <v>Utility System ConstructionT</v>
          </cell>
        </row>
        <row r="217">
          <cell r="B217">
            <v>23711</v>
          </cell>
          <cell r="C217" t="str">
            <v xml:space="preserve">Water and Sewer Line and Related Structures ConstructionT </v>
          </cell>
        </row>
        <row r="218">
          <cell r="B218">
            <v>237110</v>
          </cell>
          <cell r="C218" t="str">
            <v xml:space="preserve">Water and Sewer Line and Related Structures Construction </v>
          </cell>
        </row>
        <row r="219">
          <cell r="B219">
            <v>23712</v>
          </cell>
          <cell r="C219" t="str">
            <v xml:space="preserve">Oil and Gas Pipeline and Related Structures ConstructionT </v>
          </cell>
        </row>
        <row r="220">
          <cell r="B220">
            <v>237120</v>
          </cell>
          <cell r="C220" t="str">
            <v xml:space="preserve">Oil and Gas Pipeline and Related Structures Construction </v>
          </cell>
        </row>
        <row r="221">
          <cell r="B221">
            <v>23713</v>
          </cell>
          <cell r="C221" t="str">
            <v xml:space="preserve">Power and Communication Line and Related Structures ConstructionT </v>
          </cell>
        </row>
        <row r="222">
          <cell r="B222">
            <v>237130</v>
          </cell>
          <cell r="C222" t="str">
            <v xml:space="preserve">Power and Communication Line and Related Structures Construction </v>
          </cell>
        </row>
        <row r="223">
          <cell r="B223">
            <v>2372</v>
          </cell>
          <cell r="C223" t="str">
            <v xml:space="preserve">Land SubdivisionT </v>
          </cell>
        </row>
        <row r="224">
          <cell r="B224">
            <v>23721</v>
          </cell>
          <cell r="C224" t="str">
            <v xml:space="preserve">Land SubdivisionT </v>
          </cell>
        </row>
        <row r="225">
          <cell r="B225">
            <v>237210</v>
          </cell>
          <cell r="C225" t="str">
            <v xml:space="preserve">Land Subdivision </v>
          </cell>
        </row>
        <row r="226">
          <cell r="B226">
            <v>2373</v>
          </cell>
          <cell r="C226" t="str">
            <v xml:space="preserve">Highway, Street, and Bridge ConstructionT </v>
          </cell>
        </row>
        <row r="227">
          <cell r="B227">
            <v>23731</v>
          </cell>
          <cell r="C227" t="str">
            <v xml:space="preserve">Highway, Street, and Bridge ConstructionT </v>
          </cell>
        </row>
        <row r="228">
          <cell r="B228">
            <v>237310</v>
          </cell>
          <cell r="C228" t="str">
            <v xml:space="preserve">Highway, Street, and Bridge Construction </v>
          </cell>
        </row>
        <row r="229">
          <cell r="B229">
            <v>2379</v>
          </cell>
          <cell r="C229" t="str">
            <v xml:space="preserve">Other Heavy and Civil Engineering ConstructionT </v>
          </cell>
        </row>
        <row r="230">
          <cell r="B230">
            <v>23799</v>
          </cell>
          <cell r="C230" t="str">
            <v>Other Heavy and Civil Engineering ConstructionT</v>
          </cell>
        </row>
        <row r="231">
          <cell r="B231">
            <v>237990</v>
          </cell>
          <cell r="C231" t="str">
            <v xml:space="preserve">Other Heavy and Civil Engineering Construction </v>
          </cell>
        </row>
        <row r="232">
          <cell r="B232">
            <v>238</v>
          </cell>
          <cell r="C232" t="str">
            <v xml:space="preserve">Specialty Trade ContractorsT </v>
          </cell>
        </row>
        <row r="233">
          <cell r="B233">
            <v>2381</v>
          </cell>
          <cell r="C233" t="str">
            <v xml:space="preserve">Foundation, Structure, and Building Exterior ContractorsT </v>
          </cell>
        </row>
        <row r="234">
          <cell r="B234">
            <v>23811</v>
          </cell>
          <cell r="C234" t="str">
            <v xml:space="preserve">Poured Concrete Foundation and Structure Contractors </v>
          </cell>
        </row>
        <row r="235">
          <cell r="B235">
            <v>238110</v>
          </cell>
          <cell r="C235" t="str">
            <v xml:space="preserve">Poured Concrete Foundation and Structure Contractors </v>
          </cell>
        </row>
        <row r="236">
          <cell r="B236">
            <v>23812</v>
          </cell>
          <cell r="C236" t="str">
            <v xml:space="preserve">Structural Steel and Precast Concrete Contractors </v>
          </cell>
        </row>
        <row r="237">
          <cell r="B237">
            <v>238120</v>
          </cell>
          <cell r="C237" t="str">
            <v xml:space="preserve">Structural Steel and Precast Concrete Contractors </v>
          </cell>
        </row>
        <row r="238">
          <cell r="B238">
            <v>23813</v>
          </cell>
          <cell r="C238" t="str">
            <v xml:space="preserve">Framing Contractors </v>
          </cell>
        </row>
        <row r="239">
          <cell r="B239">
            <v>238130</v>
          </cell>
          <cell r="C239" t="str">
            <v xml:space="preserve">Framing Contractors </v>
          </cell>
        </row>
        <row r="240">
          <cell r="B240">
            <v>23814</v>
          </cell>
          <cell r="C240" t="str">
            <v xml:space="preserve">Masonry Contractors </v>
          </cell>
        </row>
        <row r="241">
          <cell r="B241">
            <v>238140</v>
          </cell>
          <cell r="C241" t="str">
            <v xml:space="preserve">Masonry Contractors </v>
          </cell>
        </row>
        <row r="242">
          <cell r="B242">
            <v>23815</v>
          </cell>
          <cell r="C242" t="str">
            <v xml:space="preserve">Glass and Glazing Contractors </v>
          </cell>
        </row>
        <row r="243">
          <cell r="B243">
            <v>238150</v>
          </cell>
          <cell r="C243" t="str">
            <v xml:space="preserve">Glass and Glazing Contractors </v>
          </cell>
        </row>
        <row r="244">
          <cell r="B244">
            <v>23816</v>
          </cell>
          <cell r="C244" t="str">
            <v xml:space="preserve">Roofing Contractors </v>
          </cell>
        </row>
        <row r="245">
          <cell r="B245">
            <v>238160</v>
          </cell>
          <cell r="C245" t="str">
            <v xml:space="preserve">Roofing Contractors </v>
          </cell>
        </row>
        <row r="246">
          <cell r="B246">
            <v>23817</v>
          </cell>
          <cell r="C246" t="str">
            <v xml:space="preserve">Siding Contractors </v>
          </cell>
        </row>
        <row r="247">
          <cell r="B247">
            <v>238170</v>
          </cell>
          <cell r="C247" t="str">
            <v xml:space="preserve">Siding Contractors </v>
          </cell>
        </row>
        <row r="248">
          <cell r="B248">
            <v>23819</v>
          </cell>
          <cell r="C248" t="str">
            <v xml:space="preserve">Other Foundation, Structure, and Building Exterior Contractors </v>
          </cell>
        </row>
        <row r="249">
          <cell r="B249">
            <v>238190</v>
          </cell>
          <cell r="C249" t="str">
            <v xml:space="preserve">Other Foundation, Structure, and Building Exterior Contractors </v>
          </cell>
        </row>
        <row r="250">
          <cell r="B250">
            <v>2382</v>
          </cell>
          <cell r="C250" t="str">
            <v xml:space="preserve">Building Equipment ContractorsT </v>
          </cell>
        </row>
        <row r="251">
          <cell r="B251">
            <v>23821</v>
          </cell>
          <cell r="C251" t="str">
            <v xml:space="preserve">Electrical Contractors and Other Wiring Installation ContractorsT </v>
          </cell>
        </row>
        <row r="252">
          <cell r="B252">
            <v>238210</v>
          </cell>
          <cell r="C252" t="str">
            <v>Electrical Contractors and Other Wiring Installation Contractors</v>
          </cell>
        </row>
        <row r="253">
          <cell r="B253">
            <v>23822</v>
          </cell>
          <cell r="C253" t="str">
            <v xml:space="preserve">Plumbing, Heating, and Air-Conditioning ContractorsT </v>
          </cell>
        </row>
        <row r="254">
          <cell r="B254">
            <v>238220</v>
          </cell>
          <cell r="C254" t="str">
            <v xml:space="preserve">Plumbing, Heating, and Air-Conditioning Contractors </v>
          </cell>
        </row>
        <row r="255">
          <cell r="B255">
            <v>23829</v>
          </cell>
          <cell r="C255" t="str">
            <v xml:space="preserve">Other Building Equipment ContractorsT </v>
          </cell>
        </row>
        <row r="256">
          <cell r="B256">
            <v>238290</v>
          </cell>
          <cell r="C256" t="str">
            <v xml:space="preserve">Other Building Equipment Contractors </v>
          </cell>
        </row>
        <row r="257">
          <cell r="B257">
            <v>2383</v>
          </cell>
          <cell r="C257" t="str">
            <v xml:space="preserve">Building Finishing ContractorsT </v>
          </cell>
        </row>
        <row r="258">
          <cell r="B258">
            <v>23831</v>
          </cell>
          <cell r="C258" t="str">
            <v xml:space="preserve">Drywall and Insulation ContractorsT </v>
          </cell>
        </row>
        <row r="259">
          <cell r="B259">
            <v>238310</v>
          </cell>
          <cell r="C259" t="str">
            <v xml:space="preserve">Drywall and Insulation Contractors </v>
          </cell>
        </row>
        <row r="260">
          <cell r="B260">
            <v>23832</v>
          </cell>
          <cell r="C260" t="str">
            <v xml:space="preserve">Painting and Wall Covering ContractorsT </v>
          </cell>
        </row>
        <row r="261">
          <cell r="B261">
            <v>238320</v>
          </cell>
          <cell r="C261" t="str">
            <v>Painting and Wall Covering Contractors</v>
          </cell>
        </row>
        <row r="262">
          <cell r="B262">
            <v>23833</v>
          </cell>
          <cell r="C262" t="str">
            <v xml:space="preserve">Flooring ContractorsT </v>
          </cell>
        </row>
        <row r="263">
          <cell r="B263">
            <v>238330</v>
          </cell>
          <cell r="C263" t="str">
            <v>Flooring Contractors</v>
          </cell>
        </row>
        <row r="264">
          <cell r="B264">
            <v>23834</v>
          </cell>
          <cell r="C264" t="str">
            <v>Tile and Terrazzo ContractorsT</v>
          </cell>
        </row>
        <row r="265">
          <cell r="B265">
            <v>238340</v>
          </cell>
          <cell r="C265" t="str">
            <v>Tile and Terrazzo Contractors</v>
          </cell>
        </row>
        <row r="266">
          <cell r="B266">
            <v>23835</v>
          </cell>
          <cell r="C266" t="str">
            <v xml:space="preserve">Finish Carpentry ContractorsT </v>
          </cell>
        </row>
        <row r="267">
          <cell r="B267">
            <v>238350</v>
          </cell>
          <cell r="C267" t="str">
            <v>Finish Carpentry Contractors</v>
          </cell>
        </row>
        <row r="268">
          <cell r="B268">
            <v>23839</v>
          </cell>
          <cell r="C268" t="str">
            <v xml:space="preserve">Other Building Finishing ContractorsT </v>
          </cell>
        </row>
        <row r="269">
          <cell r="B269">
            <v>238390</v>
          </cell>
          <cell r="C269" t="str">
            <v>Other Building Finishing Contractors</v>
          </cell>
        </row>
        <row r="270">
          <cell r="B270">
            <v>2389</v>
          </cell>
          <cell r="C270" t="str">
            <v xml:space="preserve">Other Specialty Trade ContractorsT </v>
          </cell>
        </row>
        <row r="271">
          <cell r="B271">
            <v>23891</v>
          </cell>
          <cell r="C271" t="str">
            <v xml:space="preserve">Site Preparation ContractorsT </v>
          </cell>
        </row>
        <row r="272">
          <cell r="B272">
            <v>238910</v>
          </cell>
          <cell r="C272" t="str">
            <v>Site Preparation Contractors</v>
          </cell>
        </row>
        <row r="273">
          <cell r="B273">
            <v>23899</v>
          </cell>
          <cell r="C273" t="str">
            <v xml:space="preserve">All Other Specialty Trade ContractorsT </v>
          </cell>
        </row>
        <row r="274">
          <cell r="B274">
            <v>238990</v>
          </cell>
          <cell r="C274" t="str">
            <v>All Other Specialty Trade Contractors</v>
          </cell>
        </row>
        <row r="276">
          <cell r="B276" t="str">
            <v>31-33</v>
          </cell>
          <cell r="C276" t="str">
            <v>ManufacturingT</v>
          </cell>
        </row>
        <row r="277">
          <cell r="B277">
            <v>311</v>
          </cell>
          <cell r="C277" t="str">
            <v xml:space="preserve">Food ManufacturingT </v>
          </cell>
        </row>
        <row r="278">
          <cell r="B278">
            <v>3111</v>
          </cell>
          <cell r="C278" t="str">
            <v xml:space="preserve">Animal Food ManufacturingT </v>
          </cell>
        </row>
        <row r="279">
          <cell r="B279">
            <v>31111</v>
          </cell>
          <cell r="C279" t="str">
            <v xml:space="preserve">Animal Food ManufacturingT </v>
          </cell>
        </row>
        <row r="280">
          <cell r="B280">
            <v>311111</v>
          </cell>
          <cell r="C280" t="str">
            <v xml:space="preserve">Dog and Cat Food Manufacturing </v>
          </cell>
        </row>
        <row r="281">
          <cell r="B281">
            <v>311119</v>
          </cell>
          <cell r="C281" t="str">
            <v xml:space="preserve">Other Animal Food Manufacturing </v>
          </cell>
        </row>
        <row r="282">
          <cell r="B282">
            <v>3112</v>
          </cell>
          <cell r="C282" t="str">
            <v xml:space="preserve">Grain and Oilseed MillingT </v>
          </cell>
        </row>
        <row r="283">
          <cell r="B283">
            <v>31121</v>
          </cell>
          <cell r="C283" t="str">
            <v xml:space="preserve">Flour Milling and Malt ManufacturingT </v>
          </cell>
        </row>
        <row r="284">
          <cell r="B284">
            <v>311211</v>
          </cell>
          <cell r="C284" t="str">
            <v xml:space="preserve">Flour Milling </v>
          </cell>
        </row>
        <row r="285">
          <cell r="B285">
            <v>311212</v>
          </cell>
          <cell r="C285" t="str">
            <v xml:space="preserve">Rice Milling </v>
          </cell>
        </row>
        <row r="286">
          <cell r="B286">
            <v>311213</v>
          </cell>
          <cell r="C286" t="str">
            <v xml:space="preserve">Malt Manufacturing </v>
          </cell>
        </row>
        <row r="287">
          <cell r="B287">
            <v>31122</v>
          </cell>
          <cell r="C287" t="str">
            <v xml:space="preserve">Starch and Vegetable Fats and Oils ManufacturingT </v>
          </cell>
        </row>
        <row r="288">
          <cell r="B288">
            <v>311221</v>
          </cell>
          <cell r="C288" t="str">
            <v xml:space="preserve">Wet Corn Milling and Starch Manufacturing </v>
          </cell>
        </row>
        <row r="289">
          <cell r="B289">
            <v>311224</v>
          </cell>
          <cell r="C289" t="str">
            <v xml:space="preserve">Soybean and Other Oilseed Processing </v>
          </cell>
        </row>
        <row r="290">
          <cell r="B290">
            <v>311225</v>
          </cell>
          <cell r="C290" t="str">
            <v xml:space="preserve">Fats and Oils Refining and Blending </v>
          </cell>
        </row>
        <row r="291">
          <cell r="B291">
            <v>31123</v>
          </cell>
          <cell r="C291" t="str">
            <v xml:space="preserve">Breakfast Cereal ManufacturingT </v>
          </cell>
        </row>
        <row r="292">
          <cell r="B292">
            <v>311230</v>
          </cell>
          <cell r="C292" t="str">
            <v>Breakfast Cereal Manufacturing</v>
          </cell>
        </row>
        <row r="293">
          <cell r="B293">
            <v>3113</v>
          </cell>
          <cell r="C293" t="str">
            <v xml:space="preserve">Sugar and Confectionery Product ManufacturingT </v>
          </cell>
        </row>
        <row r="294">
          <cell r="B294">
            <v>31131</v>
          </cell>
          <cell r="C294" t="str">
            <v xml:space="preserve">Sugar ManufacturingT </v>
          </cell>
        </row>
        <row r="295">
          <cell r="B295">
            <v>311313</v>
          </cell>
          <cell r="C295" t="str">
            <v xml:space="preserve">Beet Sugar Manufacturing </v>
          </cell>
        </row>
        <row r="296">
          <cell r="B296">
            <v>311314</v>
          </cell>
          <cell r="C296" t="str">
            <v xml:space="preserve">Cane Sugar Manufacturing </v>
          </cell>
        </row>
        <row r="297">
          <cell r="B297">
            <v>31134</v>
          </cell>
          <cell r="C297" t="str">
            <v xml:space="preserve">Nonchocolate Confectionery ManufacturingT </v>
          </cell>
        </row>
        <row r="298">
          <cell r="B298">
            <v>311340</v>
          </cell>
          <cell r="C298" t="str">
            <v>Nonchocolate Confectionery Manufacturing</v>
          </cell>
        </row>
        <row r="299">
          <cell r="B299">
            <v>31135</v>
          </cell>
          <cell r="C299" t="str">
            <v xml:space="preserve">Chocolate and Confectionery ManufacturingT </v>
          </cell>
        </row>
        <row r="300">
          <cell r="B300">
            <v>311351</v>
          </cell>
          <cell r="C300" t="str">
            <v xml:space="preserve">Chocolate and Confectionery Manufacturing from Cacao Beans </v>
          </cell>
        </row>
        <row r="301">
          <cell r="B301">
            <v>311352</v>
          </cell>
          <cell r="C301" t="str">
            <v xml:space="preserve">Confectionery Manufacturing from Purchased Chocolate </v>
          </cell>
        </row>
        <row r="302">
          <cell r="B302">
            <v>3114</v>
          </cell>
          <cell r="C302" t="str">
            <v xml:space="preserve">Fruit and Vegetable Preserving and Specialty Food ManufacturingT </v>
          </cell>
        </row>
        <row r="303">
          <cell r="B303">
            <v>31141</v>
          </cell>
          <cell r="C303" t="str">
            <v xml:space="preserve">Frozen Food ManufacturingT </v>
          </cell>
        </row>
        <row r="304">
          <cell r="B304">
            <v>311411</v>
          </cell>
          <cell r="C304" t="str">
            <v xml:space="preserve">Frozen Fruit, Juice, and Vegetable Manufacturing </v>
          </cell>
        </row>
        <row r="305">
          <cell r="B305">
            <v>311412</v>
          </cell>
          <cell r="C305" t="str">
            <v xml:space="preserve">Frozen Specialty Food Manufacturing </v>
          </cell>
        </row>
        <row r="306">
          <cell r="B306">
            <v>31142</v>
          </cell>
          <cell r="C306" t="str">
            <v xml:space="preserve">Fruit and Vegetable Canning, Pickling, and DryingT </v>
          </cell>
        </row>
        <row r="307">
          <cell r="B307">
            <v>311421</v>
          </cell>
          <cell r="C307" t="str">
            <v xml:space="preserve">Fruit and Vegetable Canning </v>
          </cell>
        </row>
        <row r="308">
          <cell r="B308">
            <v>311422</v>
          </cell>
          <cell r="C308" t="str">
            <v xml:space="preserve">Specialty Canning </v>
          </cell>
        </row>
        <row r="309">
          <cell r="B309">
            <v>311423</v>
          </cell>
          <cell r="C309" t="str">
            <v xml:space="preserve">Dried and Dehydrated Food Manufacturing </v>
          </cell>
        </row>
        <row r="310">
          <cell r="B310">
            <v>3115</v>
          </cell>
          <cell r="C310" t="str">
            <v xml:space="preserve">Dairy Product ManufacturingT </v>
          </cell>
        </row>
        <row r="311">
          <cell r="B311">
            <v>31151</v>
          </cell>
          <cell r="C311" t="str">
            <v xml:space="preserve">Dairy Product (except Frozen) ManufacturingT </v>
          </cell>
        </row>
        <row r="312">
          <cell r="B312">
            <v>311511</v>
          </cell>
          <cell r="C312" t="str">
            <v xml:space="preserve">Fluid Milk Manufacturing </v>
          </cell>
        </row>
        <row r="313">
          <cell r="B313">
            <v>311512</v>
          </cell>
          <cell r="C313" t="str">
            <v xml:space="preserve">Creamery Butter Manufacturing </v>
          </cell>
        </row>
        <row r="314">
          <cell r="B314">
            <v>311513</v>
          </cell>
          <cell r="C314" t="str">
            <v xml:space="preserve">Cheese Manufacturing </v>
          </cell>
        </row>
        <row r="315">
          <cell r="B315">
            <v>311514</v>
          </cell>
          <cell r="C315" t="str">
            <v xml:space="preserve">Dry, Condensed, and Evaporated Dairy Product Manufacturing </v>
          </cell>
        </row>
        <row r="316">
          <cell r="B316">
            <v>31152</v>
          </cell>
          <cell r="C316" t="str">
            <v xml:space="preserve">Ice Cream and Frozen Dessert ManufacturingT </v>
          </cell>
        </row>
        <row r="317">
          <cell r="B317">
            <v>311520</v>
          </cell>
          <cell r="C317" t="str">
            <v>Ice Cream and Frozen Dessert Manufacturing</v>
          </cell>
        </row>
        <row r="318">
          <cell r="B318">
            <v>3116</v>
          </cell>
          <cell r="C318" t="str">
            <v xml:space="preserve">Animal Slaughtering and ProcessingT </v>
          </cell>
        </row>
        <row r="319">
          <cell r="B319">
            <v>31161</v>
          </cell>
          <cell r="C319" t="str">
            <v xml:space="preserve">Animal Slaughtering and ProcessingT </v>
          </cell>
        </row>
        <row r="320">
          <cell r="B320">
            <v>311611</v>
          </cell>
          <cell r="C320" t="str">
            <v xml:space="preserve">Animal (except Poultry) Slaughtering </v>
          </cell>
        </row>
        <row r="321">
          <cell r="B321">
            <v>311612</v>
          </cell>
          <cell r="C321" t="str">
            <v xml:space="preserve">Meat Processed from Carcasses </v>
          </cell>
        </row>
        <row r="322">
          <cell r="B322">
            <v>311613</v>
          </cell>
          <cell r="C322" t="str">
            <v xml:space="preserve">Rendering and Meat Byproduct Processing </v>
          </cell>
        </row>
        <row r="323">
          <cell r="B323">
            <v>311615</v>
          </cell>
          <cell r="C323" t="str">
            <v xml:space="preserve">Poultry Processing </v>
          </cell>
        </row>
        <row r="324">
          <cell r="B324">
            <v>3117</v>
          </cell>
          <cell r="C324" t="str">
            <v xml:space="preserve">Seafood Product Preparation and PackagingT </v>
          </cell>
        </row>
        <row r="325">
          <cell r="B325">
            <v>31171</v>
          </cell>
          <cell r="C325" t="str">
            <v xml:space="preserve">Seafood Product Preparation and PackagingT </v>
          </cell>
        </row>
        <row r="326">
          <cell r="B326">
            <v>311710</v>
          </cell>
          <cell r="C326" t="str">
            <v>Seafood Product Preparation and Packaging</v>
          </cell>
        </row>
        <row r="327">
          <cell r="B327">
            <v>3118</v>
          </cell>
          <cell r="C327" t="str">
            <v xml:space="preserve">Bakeries and Tortilla ManufacturingT </v>
          </cell>
        </row>
        <row r="328">
          <cell r="B328">
            <v>31181</v>
          </cell>
          <cell r="C328" t="str">
            <v xml:space="preserve">Bread and Bakery Product ManufacturingT </v>
          </cell>
        </row>
        <row r="329">
          <cell r="B329">
            <v>311811</v>
          </cell>
          <cell r="C329" t="str">
            <v xml:space="preserve">Retail Bakeries </v>
          </cell>
        </row>
        <row r="330">
          <cell r="B330">
            <v>311812</v>
          </cell>
          <cell r="C330" t="str">
            <v xml:space="preserve">Commercial Bakeries </v>
          </cell>
        </row>
        <row r="331">
          <cell r="B331">
            <v>311813</v>
          </cell>
          <cell r="C331" t="str">
            <v xml:space="preserve">Frozen Cakes, Pies, and Other Pastries Manufacturing </v>
          </cell>
        </row>
        <row r="332">
          <cell r="B332">
            <v>31182</v>
          </cell>
          <cell r="C332" t="str">
            <v xml:space="preserve">Cookie, Cracker, and Pasta ManufacturingT </v>
          </cell>
        </row>
        <row r="333">
          <cell r="B333">
            <v>311821</v>
          </cell>
          <cell r="C333" t="str">
            <v xml:space="preserve">Cookie and Cracker Manufacturing </v>
          </cell>
        </row>
        <row r="334">
          <cell r="B334">
            <v>311824</v>
          </cell>
          <cell r="C334" t="str">
            <v xml:space="preserve">Dry Pasta, Dough, and Flour Mixes Manufacturing from Purchased Flour </v>
          </cell>
        </row>
        <row r="335">
          <cell r="B335">
            <v>31183</v>
          </cell>
          <cell r="C335" t="str">
            <v xml:space="preserve">Tortilla ManufacturingT </v>
          </cell>
        </row>
        <row r="336">
          <cell r="B336">
            <v>311830</v>
          </cell>
          <cell r="C336" t="str">
            <v>Tortilla Manufacturing</v>
          </cell>
        </row>
        <row r="337">
          <cell r="B337">
            <v>3119</v>
          </cell>
          <cell r="C337" t="str">
            <v xml:space="preserve">Other Food ManufacturingT </v>
          </cell>
        </row>
        <row r="338">
          <cell r="B338">
            <v>31191</v>
          </cell>
          <cell r="C338" t="str">
            <v xml:space="preserve">Snack Food ManufacturingT </v>
          </cell>
        </row>
        <row r="339">
          <cell r="B339">
            <v>311911</v>
          </cell>
          <cell r="C339" t="str">
            <v xml:space="preserve">Roasted Nuts and Peanut Butter Manufacturing </v>
          </cell>
        </row>
        <row r="340">
          <cell r="B340">
            <v>311919</v>
          </cell>
          <cell r="C340" t="str">
            <v xml:space="preserve">Other Snack Food Manufacturing </v>
          </cell>
        </row>
        <row r="341">
          <cell r="B341">
            <v>31192</v>
          </cell>
          <cell r="C341" t="str">
            <v xml:space="preserve">Coffee and Tea ManufacturingT </v>
          </cell>
        </row>
        <row r="342">
          <cell r="B342">
            <v>311920</v>
          </cell>
          <cell r="C342" t="str">
            <v xml:space="preserve">Coffee and Tea Manufacturing </v>
          </cell>
        </row>
        <row r="343">
          <cell r="B343">
            <v>31193</v>
          </cell>
          <cell r="C343" t="str">
            <v xml:space="preserve">Flavoring Syrup and Concentrate ManufacturingT </v>
          </cell>
        </row>
        <row r="344">
          <cell r="B344">
            <v>311930</v>
          </cell>
          <cell r="C344" t="str">
            <v>Flavoring Syrup and Concentrate Manufacturing</v>
          </cell>
        </row>
        <row r="345">
          <cell r="B345">
            <v>31194</v>
          </cell>
          <cell r="C345" t="str">
            <v xml:space="preserve">Seasoning and Dressing ManufacturingT </v>
          </cell>
        </row>
        <row r="346">
          <cell r="B346">
            <v>311941</v>
          </cell>
          <cell r="C346" t="str">
            <v xml:space="preserve">Mayonnaise, Dressing, and Other Prepared Sauce Manufacturing </v>
          </cell>
        </row>
        <row r="347">
          <cell r="B347">
            <v>311942</v>
          </cell>
          <cell r="C347" t="str">
            <v xml:space="preserve">Spice and Extract Manufacturing </v>
          </cell>
        </row>
        <row r="348">
          <cell r="B348">
            <v>31199</v>
          </cell>
          <cell r="C348" t="str">
            <v xml:space="preserve">All Other Food ManufacturingT </v>
          </cell>
        </row>
        <row r="349">
          <cell r="B349">
            <v>311991</v>
          </cell>
          <cell r="C349" t="str">
            <v xml:space="preserve">Perishable Prepared Food Manufacturing </v>
          </cell>
        </row>
        <row r="350">
          <cell r="B350">
            <v>311999</v>
          </cell>
          <cell r="C350" t="str">
            <v xml:space="preserve">All Other Miscellaneous Food Manufacturing </v>
          </cell>
        </row>
        <row r="351">
          <cell r="B351">
            <v>312</v>
          </cell>
          <cell r="C351" t="str">
            <v xml:space="preserve">Beverage and Tobacco Product ManufacturingT </v>
          </cell>
        </row>
        <row r="352">
          <cell r="B352">
            <v>3121</v>
          </cell>
          <cell r="C352" t="str">
            <v xml:space="preserve">Beverage ManufacturingT </v>
          </cell>
        </row>
        <row r="353">
          <cell r="B353">
            <v>31211</v>
          </cell>
          <cell r="C353" t="str">
            <v xml:space="preserve">Soft Drink and Ice ManufacturingT </v>
          </cell>
        </row>
        <row r="354">
          <cell r="B354">
            <v>312111</v>
          </cell>
          <cell r="C354" t="str">
            <v xml:space="preserve">Soft Drink Manufacturing </v>
          </cell>
        </row>
        <row r="355">
          <cell r="B355">
            <v>312112</v>
          </cell>
          <cell r="C355" t="str">
            <v xml:space="preserve">Bottled Water Manufacturing </v>
          </cell>
        </row>
        <row r="356">
          <cell r="B356">
            <v>312113</v>
          </cell>
          <cell r="C356" t="str">
            <v xml:space="preserve">Ice Manufacturing </v>
          </cell>
        </row>
        <row r="357">
          <cell r="B357">
            <v>31212</v>
          </cell>
          <cell r="C357" t="str">
            <v xml:space="preserve">BreweriesT </v>
          </cell>
        </row>
        <row r="358">
          <cell r="B358">
            <v>312120</v>
          </cell>
          <cell r="C358" t="str">
            <v>Breweries</v>
          </cell>
        </row>
        <row r="359">
          <cell r="B359">
            <v>31213</v>
          </cell>
          <cell r="C359" t="str">
            <v xml:space="preserve">WineriesT </v>
          </cell>
        </row>
        <row r="360">
          <cell r="B360">
            <v>312130</v>
          </cell>
          <cell r="C360" t="str">
            <v xml:space="preserve">Wineries </v>
          </cell>
        </row>
        <row r="361">
          <cell r="B361">
            <v>31214</v>
          </cell>
          <cell r="C361" t="str">
            <v xml:space="preserve">DistilleriesT </v>
          </cell>
        </row>
        <row r="362">
          <cell r="B362">
            <v>312140</v>
          </cell>
          <cell r="C362" t="str">
            <v xml:space="preserve">Distilleries </v>
          </cell>
        </row>
        <row r="363">
          <cell r="B363">
            <v>3122</v>
          </cell>
          <cell r="C363" t="str">
            <v xml:space="preserve">Tobacco ManufacturingT </v>
          </cell>
        </row>
        <row r="364">
          <cell r="B364">
            <v>31223</v>
          </cell>
          <cell r="C364" t="str">
            <v>Tobacco Manufacturing</v>
          </cell>
        </row>
        <row r="365">
          <cell r="B365">
            <v>312230</v>
          </cell>
          <cell r="C365" t="str">
            <v xml:space="preserve">Tobacco Manufacturing </v>
          </cell>
        </row>
        <row r="366">
          <cell r="B366">
            <v>313</v>
          </cell>
          <cell r="C366" t="str">
            <v xml:space="preserve">Textile MillsT </v>
          </cell>
        </row>
        <row r="367">
          <cell r="B367">
            <v>3131</v>
          </cell>
          <cell r="C367" t="str">
            <v xml:space="preserve">Fiber, Yarn, and Thread MillsT </v>
          </cell>
        </row>
        <row r="368">
          <cell r="B368">
            <v>31311</v>
          </cell>
          <cell r="C368" t="str">
            <v xml:space="preserve">Fiber, Yarn, and Thread MillsT </v>
          </cell>
        </row>
        <row r="369">
          <cell r="B369">
            <v>313110</v>
          </cell>
          <cell r="C369" t="str">
            <v xml:space="preserve">Fiber, Yarn, and Thread Mills </v>
          </cell>
        </row>
        <row r="370">
          <cell r="B370">
            <v>3132</v>
          </cell>
          <cell r="C370" t="str">
            <v xml:space="preserve">Fabric MillsT </v>
          </cell>
        </row>
        <row r="371">
          <cell r="B371">
            <v>31321</v>
          </cell>
          <cell r="C371" t="str">
            <v xml:space="preserve">Broadwoven Fabric MillsT </v>
          </cell>
        </row>
        <row r="372">
          <cell r="B372">
            <v>313210</v>
          </cell>
          <cell r="C372" t="str">
            <v>Broadwoven Fabric Mills</v>
          </cell>
        </row>
        <row r="373">
          <cell r="B373">
            <v>31322</v>
          </cell>
          <cell r="C373" t="str">
            <v xml:space="preserve">Narrow Fabric Mills and Schiffli Machine EmbroideryT </v>
          </cell>
        </row>
        <row r="374">
          <cell r="B374">
            <v>313220</v>
          </cell>
          <cell r="C374" t="str">
            <v>Narrow Fabric Mills and Schiffli Machine Embroidery</v>
          </cell>
        </row>
        <row r="375">
          <cell r="B375">
            <v>31323</v>
          </cell>
          <cell r="C375" t="str">
            <v xml:space="preserve">Nonwoven Fabric MillsT </v>
          </cell>
        </row>
        <row r="376">
          <cell r="B376">
            <v>313230</v>
          </cell>
          <cell r="C376" t="str">
            <v>Nonwoven Fabric Mills</v>
          </cell>
        </row>
        <row r="377">
          <cell r="B377">
            <v>31324</v>
          </cell>
          <cell r="C377" t="str">
            <v xml:space="preserve">Knit Fabric MillsT </v>
          </cell>
        </row>
        <row r="378">
          <cell r="B378">
            <v>313240</v>
          </cell>
          <cell r="C378" t="str">
            <v>Knit Fabric Mills</v>
          </cell>
        </row>
        <row r="379">
          <cell r="B379">
            <v>3133</v>
          </cell>
          <cell r="C379" t="str">
            <v xml:space="preserve">Textile and Fabric Finishing and Fabric Coating MillsT </v>
          </cell>
        </row>
        <row r="380">
          <cell r="B380">
            <v>31331</v>
          </cell>
          <cell r="C380" t="str">
            <v>Textile and Fabric Finishing MillsT</v>
          </cell>
        </row>
        <row r="381">
          <cell r="B381">
            <v>313310</v>
          </cell>
          <cell r="C381" t="str">
            <v xml:space="preserve">Textile and Fabric Finishing Mills </v>
          </cell>
        </row>
        <row r="382">
          <cell r="B382">
            <v>31332</v>
          </cell>
          <cell r="C382" t="str">
            <v xml:space="preserve">Fabric Coating MillsT </v>
          </cell>
        </row>
        <row r="383">
          <cell r="B383">
            <v>313320</v>
          </cell>
          <cell r="C383" t="str">
            <v>Fabric Coating Mills</v>
          </cell>
        </row>
        <row r="384">
          <cell r="B384">
            <v>314</v>
          </cell>
          <cell r="C384" t="str">
            <v xml:space="preserve">Textile Product MillsT </v>
          </cell>
        </row>
        <row r="385">
          <cell r="B385">
            <v>3141</v>
          </cell>
          <cell r="C385" t="str">
            <v xml:space="preserve">Textile Furnishings MillsT </v>
          </cell>
        </row>
        <row r="386">
          <cell r="B386">
            <v>31411</v>
          </cell>
          <cell r="C386" t="str">
            <v xml:space="preserve">Carpet and Rug MillsT </v>
          </cell>
        </row>
        <row r="387">
          <cell r="B387">
            <v>314110</v>
          </cell>
          <cell r="C387" t="str">
            <v>Carpet and Rug Mills</v>
          </cell>
        </row>
        <row r="388">
          <cell r="B388">
            <v>31412</v>
          </cell>
          <cell r="C388" t="str">
            <v xml:space="preserve">Curtain and Linen MillsT </v>
          </cell>
        </row>
        <row r="389">
          <cell r="B389">
            <v>314120</v>
          </cell>
          <cell r="C389" t="str">
            <v>Curtain and Linen Mills</v>
          </cell>
        </row>
        <row r="390">
          <cell r="B390">
            <v>3149</v>
          </cell>
          <cell r="C390" t="str">
            <v xml:space="preserve">Other Textile Product MillsT </v>
          </cell>
        </row>
        <row r="391">
          <cell r="B391">
            <v>31491</v>
          </cell>
          <cell r="C391" t="str">
            <v xml:space="preserve">Textile Bag and Canvas MillsT </v>
          </cell>
        </row>
        <row r="392">
          <cell r="B392">
            <v>314910</v>
          </cell>
          <cell r="C392" t="str">
            <v xml:space="preserve">Textile Bag and Canvas Mills </v>
          </cell>
        </row>
        <row r="393">
          <cell r="B393">
            <v>31499</v>
          </cell>
          <cell r="C393" t="str">
            <v xml:space="preserve">All Other Textile Product MillsT </v>
          </cell>
        </row>
        <row r="394">
          <cell r="B394">
            <v>314994</v>
          </cell>
          <cell r="C394" t="str">
            <v xml:space="preserve">Rope, Cordage, Twine, Tire Cord, and Tire Fabric Mills </v>
          </cell>
        </row>
        <row r="395">
          <cell r="B395">
            <v>314999</v>
          </cell>
          <cell r="C395" t="str">
            <v xml:space="preserve">All Other Miscellaneous Textile Product Mills </v>
          </cell>
        </row>
        <row r="396">
          <cell r="B396">
            <v>315</v>
          </cell>
          <cell r="C396" t="str">
            <v xml:space="preserve">Apparel ManufacturingT </v>
          </cell>
        </row>
        <row r="397">
          <cell r="B397">
            <v>3151</v>
          </cell>
          <cell r="C397" t="str">
            <v xml:space="preserve">Apparel Knitting MillsT </v>
          </cell>
        </row>
        <row r="398">
          <cell r="B398">
            <v>31512</v>
          </cell>
          <cell r="C398" t="str">
            <v xml:space="preserve">Apparel Knitting MillsT </v>
          </cell>
        </row>
        <row r="399">
          <cell r="B399">
            <v>315120</v>
          </cell>
          <cell r="C399" t="str">
            <v>Apparel Knitting Mills</v>
          </cell>
        </row>
        <row r="400">
          <cell r="B400">
            <v>3152</v>
          </cell>
          <cell r="C400" t="str">
            <v xml:space="preserve">Cut and Sew Apparel ManufacturingT </v>
          </cell>
        </row>
        <row r="401">
          <cell r="B401">
            <v>31521</v>
          </cell>
          <cell r="C401" t="str">
            <v xml:space="preserve">Cut and Sew Apparel Contractors </v>
          </cell>
        </row>
        <row r="402">
          <cell r="B402">
            <v>315210</v>
          </cell>
          <cell r="C402" t="str">
            <v xml:space="preserve">Cut and Sew Apparel Contractors </v>
          </cell>
        </row>
        <row r="403">
          <cell r="B403">
            <v>31525</v>
          </cell>
          <cell r="C403" t="str">
            <v xml:space="preserve">Cut and Sew Apparel Manufacturing (except Contractors) </v>
          </cell>
        </row>
        <row r="404">
          <cell r="B404">
            <v>315250</v>
          </cell>
          <cell r="C404" t="str">
            <v xml:space="preserve">Cut and Sew Apparel Manufacturing (except Contractors) </v>
          </cell>
        </row>
        <row r="405">
          <cell r="B405">
            <v>3159</v>
          </cell>
          <cell r="C405" t="str">
            <v xml:space="preserve">Apparel Accessories and Other Apparel ManufacturingT </v>
          </cell>
        </row>
        <row r="406">
          <cell r="B406">
            <v>31599</v>
          </cell>
          <cell r="C406" t="str">
            <v xml:space="preserve">Apparel Accessories and Other Apparel ManufacturingT </v>
          </cell>
        </row>
        <row r="407">
          <cell r="B407">
            <v>315990</v>
          </cell>
          <cell r="C407" t="str">
            <v xml:space="preserve">Apparel Accessories and Other Apparel Manufacturing </v>
          </cell>
        </row>
        <row r="408">
          <cell r="B408">
            <v>316</v>
          </cell>
          <cell r="C408" t="str">
            <v xml:space="preserve">Leather and Allied Product ManufacturingT </v>
          </cell>
        </row>
        <row r="409">
          <cell r="B409">
            <v>3161</v>
          </cell>
          <cell r="C409" t="str">
            <v xml:space="preserve">Leather and Hide Tanning and FinishingT </v>
          </cell>
        </row>
        <row r="410">
          <cell r="B410">
            <v>31611</v>
          </cell>
          <cell r="C410" t="str">
            <v xml:space="preserve">Leather and Hide Tanning and FinishingT </v>
          </cell>
        </row>
        <row r="411">
          <cell r="B411">
            <v>316110</v>
          </cell>
          <cell r="C411" t="str">
            <v>Leather and Hide Tanning and Finishing</v>
          </cell>
        </row>
        <row r="412">
          <cell r="B412">
            <v>3162</v>
          </cell>
          <cell r="C412" t="str">
            <v xml:space="preserve">Footwear ManufacturingT </v>
          </cell>
        </row>
        <row r="413">
          <cell r="B413">
            <v>31621</v>
          </cell>
          <cell r="C413" t="str">
            <v xml:space="preserve">Footwear ManufacturingT </v>
          </cell>
        </row>
        <row r="414">
          <cell r="B414">
            <v>316210</v>
          </cell>
          <cell r="C414" t="str">
            <v xml:space="preserve">Footwear Manufacturing </v>
          </cell>
        </row>
        <row r="415">
          <cell r="B415">
            <v>3169</v>
          </cell>
          <cell r="C415" t="str">
            <v xml:space="preserve">Other Leather and Allied Product ManufacturingT </v>
          </cell>
        </row>
        <row r="416">
          <cell r="B416">
            <v>31699</v>
          </cell>
          <cell r="C416" t="str">
            <v xml:space="preserve">Other Leather and Allied Product ManufacturingT </v>
          </cell>
        </row>
        <row r="417">
          <cell r="B417">
            <v>316990</v>
          </cell>
          <cell r="C417" t="str">
            <v xml:space="preserve">Other Leather and Allied Product Manufacturing </v>
          </cell>
        </row>
        <row r="418">
          <cell r="B418">
            <v>321</v>
          </cell>
          <cell r="C418" t="str">
            <v xml:space="preserve">Wood Product ManufacturingT </v>
          </cell>
        </row>
        <row r="419">
          <cell r="B419">
            <v>3211</v>
          </cell>
          <cell r="C419" t="str">
            <v xml:space="preserve">Sawmills and Wood PreservationT </v>
          </cell>
        </row>
        <row r="420">
          <cell r="B420">
            <v>32111</v>
          </cell>
          <cell r="C420" t="str">
            <v xml:space="preserve">Sawmills and Wood PreservationT </v>
          </cell>
        </row>
        <row r="421">
          <cell r="B421">
            <v>321113</v>
          </cell>
          <cell r="C421" t="str">
            <v xml:space="preserve">Sawmills </v>
          </cell>
        </row>
        <row r="422">
          <cell r="B422">
            <v>321114</v>
          </cell>
          <cell r="C422" t="str">
            <v xml:space="preserve">Wood Preservation </v>
          </cell>
        </row>
        <row r="423">
          <cell r="B423">
            <v>3212</v>
          </cell>
          <cell r="C423" t="str">
            <v xml:space="preserve">Veneer, Plywood, and Engineered Wood Product ManufacturingT </v>
          </cell>
        </row>
        <row r="424">
          <cell r="B424">
            <v>32121</v>
          </cell>
          <cell r="C424" t="str">
            <v xml:space="preserve">Veneer, Plywood, and Engineered Wood Product ManufacturingT </v>
          </cell>
        </row>
        <row r="425">
          <cell r="B425">
            <v>321211</v>
          </cell>
          <cell r="C425" t="str">
            <v xml:space="preserve">Hardwood Veneer and Plywood Manufacturing </v>
          </cell>
        </row>
        <row r="426">
          <cell r="B426">
            <v>321212</v>
          </cell>
          <cell r="C426" t="str">
            <v xml:space="preserve">Softwood Veneer and Plywood Manufacturing </v>
          </cell>
        </row>
        <row r="427">
          <cell r="B427">
            <v>321215</v>
          </cell>
          <cell r="C427" t="str">
            <v xml:space="preserve">Engineered Wood Member Manufacturing </v>
          </cell>
        </row>
        <row r="428">
          <cell r="B428">
            <v>321219</v>
          </cell>
          <cell r="C428" t="str">
            <v xml:space="preserve">Reconstituted Wood Product Manufacturing </v>
          </cell>
        </row>
        <row r="429">
          <cell r="B429">
            <v>3219</v>
          </cell>
          <cell r="C429" t="str">
            <v xml:space="preserve">Other Wood Product ManufacturingT </v>
          </cell>
        </row>
        <row r="430">
          <cell r="B430">
            <v>32191</v>
          </cell>
          <cell r="C430" t="str">
            <v xml:space="preserve">MillworkT </v>
          </cell>
        </row>
        <row r="431">
          <cell r="B431">
            <v>321911</v>
          </cell>
          <cell r="C431" t="str">
            <v xml:space="preserve">Wood Window and Door Manufacturing </v>
          </cell>
        </row>
        <row r="432">
          <cell r="B432">
            <v>321912</v>
          </cell>
          <cell r="C432" t="str">
            <v xml:space="preserve">Cut Stock, Resawing Lumber, and Planing </v>
          </cell>
        </row>
        <row r="433">
          <cell r="B433">
            <v>321918</v>
          </cell>
          <cell r="C433" t="str">
            <v xml:space="preserve">Other Millwork (including Flooring) </v>
          </cell>
        </row>
        <row r="434">
          <cell r="B434">
            <v>32192</v>
          </cell>
          <cell r="C434" t="str">
            <v xml:space="preserve">Wood Container and Pallet ManufacturingT </v>
          </cell>
        </row>
        <row r="435">
          <cell r="B435">
            <v>321920</v>
          </cell>
          <cell r="C435" t="str">
            <v>Wood Container and Pallet Manufacturing</v>
          </cell>
        </row>
        <row r="436">
          <cell r="B436">
            <v>32199</v>
          </cell>
          <cell r="C436" t="str">
            <v xml:space="preserve">All Other Wood Product ManufacturingT </v>
          </cell>
        </row>
        <row r="437">
          <cell r="B437">
            <v>321991</v>
          </cell>
          <cell r="C437" t="str">
            <v xml:space="preserve">Manufactured Home (Mobile Home) Manufacturing </v>
          </cell>
        </row>
        <row r="438">
          <cell r="B438">
            <v>321992</v>
          </cell>
          <cell r="C438" t="str">
            <v xml:space="preserve">Prefabricated Wood Building Manufacturing </v>
          </cell>
        </row>
        <row r="439">
          <cell r="B439">
            <v>321999</v>
          </cell>
          <cell r="C439" t="str">
            <v xml:space="preserve">All Other Miscellaneous Wood Product Manufacturing </v>
          </cell>
        </row>
        <row r="440">
          <cell r="B440">
            <v>322</v>
          </cell>
          <cell r="C440" t="str">
            <v xml:space="preserve">Paper ManufacturingT </v>
          </cell>
        </row>
        <row r="441">
          <cell r="B441">
            <v>3221</v>
          </cell>
          <cell r="C441" t="str">
            <v xml:space="preserve">Pulp, Paper, and Paperboard MillsT </v>
          </cell>
        </row>
        <row r="442">
          <cell r="B442">
            <v>32211</v>
          </cell>
          <cell r="C442" t="str">
            <v xml:space="preserve">Pulp MillsT </v>
          </cell>
        </row>
        <row r="443">
          <cell r="B443">
            <v>322110</v>
          </cell>
          <cell r="C443" t="str">
            <v xml:space="preserve">Pulp Mills </v>
          </cell>
        </row>
        <row r="444">
          <cell r="B444">
            <v>32212</v>
          </cell>
          <cell r="C444" t="str">
            <v xml:space="preserve">Paper MillsT </v>
          </cell>
        </row>
        <row r="445">
          <cell r="B445">
            <v>322120</v>
          </cell>
          <cell r="C445" t="str">
            <v xml:space="preserve">Paper Mills </v>
          </cell>
        </row>
        <row r="446">
          <cell r="B446">
            <v>32213</v>
          </cell>
          <cell r="C446" t="str">
            <v xml:space="preserve">Paperboard MillsT </v>
          </cell>
        </row>
        <row r="447">
          <cell r="B447">
            <v>322130</v>
          </cell>
          <cell r="C447" t="str">
            <v xml:space="preserve">Paperboard Mills </v>
          </cell>
        </row>
        <row r="448">
          <cell r="B448">
            <v>3222</v>
          </cell>
          <cell r="C448" t="str">
            <v xml:space="preserve">Converted Paper Product ManufacturingT </v>
          </cell>
        </row>
        <row r="449">
          <cell r="B449">
            <v>32221</v>
          </cell>
          <cell r="C449" t="str">
            <v xml:space="preserve">Paperboard Container ManufacturingT </v>
          </cell>
        </row>
        <row r="450">
          <cell r="B450">
            <v>322211</v>
          </cell>
          <cell r="C450" t="str">
            <v xml:space="preserve">Corrugated and Solid Fiber Box Manufacturing </v>
          </cell>
        </row>
        <row r="451">
          <cell r="B451">
            <v>322212</v>
          </cell>
          <cell r="C451" t="str">
            <v xml:space="preserve">Folding Paperboard Box Manufacturing </v>
          </cell>
        </row>
        <row r="452">
          <cell r="B452">
            <v>322219</v>
          </cell>
          <cell r="C452" t="str">
            <v xml:space="preserve">Other Paperboard Container Manufacturing </v>
          </cell>
        </row>
        <row r="453">
          <cell r="B453">
            <v>32222</v>
          </cell>
          <cell r="C453" t="str">
            <v xml:space="preserve">Paper Bag and Coated and Treated Paper ManufacturingT </v>
          </cell>
        </row>
        <row r="454">
          <cell r="B454">
            <v>322220</v>
          </cell>
          <cell r="C454" t="str">
            <v>Paper Bag and Coated and Treated Paper Manufacturing</v>
          </cell>
        </row>
        <row r="455">
          <cell r="B455">
            <v>32223</v>
          </cell>
          <cell r="C455" t="str">
            <v xml:space="preserve">Stationery Product ManufacturingT </v>
          </cell>
        </row>
        <row r="456">
          <cell r="B456">
            <v>322230</v>
          </cell>
          <cell r="C456" t="str">
            <v>Stationery Product Manufacturing</v>
          </cell>
        </row>
        <row r="457">
          <cell r="B457">
            <v>32229</v>
          </cell>
          <cell r="C457" t="str">
            <v xml:space="preserve">Other Converted Paper Product ManufacturingT </v>
          </cell>
        </row>
        <row r="458">
          <cell r="B458">
            <v>322291</v>
          </cell>
          <cell r="C458" t="str">
            <v xml:space="preserve">Sanitary Paper Product Manufacturing </v>
          </cell>
        </row>
        <row r="459">
          <cell r="B459">
            <v>322299</v>
          </cell>
          <cell r="C459" t="str">
            <v xml:space="preserve">All Other Converted Paper Product Manufacturing </v>
          </cell>
        </row>
        <row r="460">
          <cell r="B460">
            <v>323</v>
          </cell>
          <cell r="C460" t="str">
            <v xml:space="preserve">Printing and Related Support ActivitiesT </v>
          </cell>
        </row>
        <row r="461">
          <cell r="B461">
            <v>3231</v>
          </cell>
          <cell r="C461" t="str">
            <v xml:space="preserve">Printing and Related Support ActivitiesT </v>
          </cell>
        </row>
        <row r="462">
          <cell r="B462">
            <v>32311</v>
          </cell>
          <cell r="C462" t="str">
            <v xml:space="preserve">PrintingT </v>
          </cell>
        </row>
        <row r="463">
          <cell r="B463">
            <v>323111</v>
          </cell>
          <cell r="C463" t="str">
            <v xml:space="preserve">Commercial Printing (except Screen and Books) </v>
          </cell>
        </row>
        <row r="464">
          <cell r="B464">
            <v>323113</v>
          </cell>
          <cell r="C464" t="str">
            <v xml:space="preserve">Commercial Screen Printing </v>
          </cell>
        </row>
        <row r="465">
          <cell r="B465">
            <v>323117</v>
          </cell>
          <cell r="C465" t="str">
            <v xml:space="preserve">Books Printing </v>
          </cell>
        </row>
        <row r="466">
          <cell r="B466">
            <v>32312</v>
          </cell>
          <cell r="C466" t="str">
            <v xml:space="preserve">Support Activities for PrintingT </v>
          </cell>
        </row>
        <row r="467">
          <cell r="B467">
            <v>323120</v>
          </cell>
          <cell r="C467" t="str">
            <v>Support Activities for Printing</v>
          </cell>
        </row>
        <row r="468">
          <cell r="B468">
            <v>324</v>
          </cell>
          <cell r="C468" t="str">
            <v xml:space="preserve">Petroleum and Coal Products ManufacturingT </v>
          </cell>
        </row>
        <row r="469">
          <cell r="B469">
            <v>3241</v>
          </cell>
          <cell r="C469" t="str">
            <v xml:space="preserve">Petroleum and Coal Products ManufacturingT </v>
          </cell>
        </row>
        <row r="470">
          <cell r="B470">
            <v>32411</v>
          </cell>
          <cell r="C470" t="str">
            <v xml:space="preserve">Petroleum RefineriesT </v>
          </cell>
        </row>
        <row r="471">
          <cell r="B471">
            <v>324110</v>
          </cell>
          <cell r="C471" t="str">
            <v>Petroleum Refineries</v>
          </cell>
        </row>
        <row r="472">
          <cell r="B472">
            <v>32412</v>
          </cell>
          <cell r="C472" t="str">
            <v xml:space="preserve">Asphalt Paving, Roofing, and Saturated Materials ManufacturingT </v>
          </cell>
        </row>
        <row r="473">
          <cell r="B473">
            <v>324121</v>
          </cell>
          <cell r="C473" t="str">
            <v xml:space="preserve">Asphalt Paving Mixture and Block Manufacturing </v>
          </cell>
        </row>
        <row r="474">
          <cell r="B474">
            <v>324122</v>
          </cell>
          <cell r="C474" t="str">
            <v xml:space="preserve">Asphalt Shingle and Coating Materials Manufacturing </v>
          </cell>
        </row>
        <row r="475">
          <cell r="B475">
            <v>32419</v>
          </cell>
          <cell r="C475" t="str">
            <v xml:space="preserve">Other Petroleum and Coal Products ManufacturingT </v>
          </cell>
        </row>
        <row r="476">
          <cell r="B476">
            <v>324191</v>
          </cell>
          <cell r="C476" t="str">
            <v xml:space="preserve">Petroleum Lubricating Oil and Grease Manufacturing </v>
          </cell>
        </row>
        <row r="477">
          <cell r="B477">
            <v>324199</v>
          </cell>
          <cell r="C477" t="str">
            <v xml:space="preserve">All Other Petroleum and Coal Products Manufacturing </v>
          </cell>
        </row>
        <row r="478">
          <cell r="B478">
            <v>325</v>
          </cell>
          <cell r="C478" t="str">
            <v xml:space="preserve">Chemical ManufacturingT </v>
          </cell>
        </row>
        <row r="479">
          <cell r="B479">
            <v>3251</v>
          </cell>
          <cell r="C479" t="str">
            <v xml:space="preserve">Basic Chemical ManufacturingT </v>
          </cell>
        </row>
        <row r="480">
          <cell r="B480">
            <v>32511</v>
          </cell>
          <cell r="C480" t="str">
            <v xml:space="preserve">Petrochemical ManufacturingT </v>
          </cell>
        </row>
        <row r="481">
          <cell r="B481">
            <v>325110</v>
          </cell>
          <cell r="C481" t="str">
            <v>Petrochemical Manufacturing</v>
          </cell>
        </row>
        <row r="482">
          <cell r="B482">
            <v>32512</v>
          </cell>
          <cell r="C482" t="str">
            <v xml:space="preserve">Industrial Gas ManufacturingT </v>
          </cell>
        </row>
        <row r="483">
          <cell r="B483">
            <v>325120</v>
          </cell>
          <cell r="C483" t="str">
            <v>Industrial Gas Manufacturing</v>
          </cell>
        </row>
        <row r="484">
          <cell r="B484">
            <v>32513</v>
          </cell>
          <cell r="C484" t="str">
            <v xml:space="preserve">Synthetic Dye and Pigment ManufacturingT </v>
          </cell>
        </row>
        <row r="485">
          <cell r="B485">
            <v>325130</v>
          </cell>
          <cell r="C485" t="str">
            <v>Synthetic Dye and Pigment Manufacturing</v>
          </cell>
        </row>
        <row r="486">
          <cell r="B486">
            <v>32518</v>
          </cell>
          <cell r="C486" t="str">
            <v xml:space="preserve">Other Basic Inorganic Chemical ManufacturingT </v>
          </cell>
        </row>
        <row r="487">
          <cell r="B487">
            <v>325180</v>
          </cell>
          <cell r="C487" t="str">
            <v xml:space="preserve">Other Basic Inorganic Chemical Manufacturing </v>
          </cell>
        </row>
        <row r="488">
          <cell r="B488">
            <v>32519</v>
          </cell>
          <cell r="C488" t="str">
            <v xml:space="preserve">Other Basic Organic Chemical ManufacturingT </v>
          </cell>
        </row>
        <row r="489">
          <cell r="B489">
            <v>325193</v>
          </cell>
          <cell r="C489" t="str">
            <v xml:space="preserve">Ethyl Alcohol Manufacturing </v>
          </cell>
        </row>
        <row r="490">
          <cell r="B490">
            <v>325194</v>
          </cell>
          <cell r="C490" t="str">
            <v xml:space="preserve">Cyclic Crude, Intermediate, and Gum and Wood Chemical Manufacturing </v>
          </cell>
        </row>
        <row r="491">
          <cell r="B491">
            <v>325199</v>
          </cell>
          <cell r="C491" t="str">
            <v xml:space="preserve">All Other Basic Organic Chemical Manufacturing </v>
          </cell>
        </row>
        <row r="492">
          <cell r="B492">
            <v>3252</v>
          </cell>
          <cell r="C492" t="str">
            <v xml:space="preserve">Resin, Synthetic Rubber, and Artificial and Synthetic Fibers and Filaments ManufacturingT </v>
          </cell>
        </row>
        <row r="493">
          <cell r="B493">
            <v>32521</v>
          </cell>
          <cell r="C493" t="str">
            <v xml:space="preserve">Resin and Synthetic Rubber ManufacturingT </v>
          </cell>
        </row>
        <row r="494">
          <cell r="B494">
            <v>325211</v>
          </cell>
          <cell r="C494" t="str">
            <v xml:space="preserve">Plastics Material and Resin Manufacturing </v>
          </cell>
        </row>
        <row r="495">
          <cell r="B495">
            <v>325212</v>
          </cell>
          <cell r="C495" t="str">
            <v xml:space="preserve">Synthetic Rubber Manufacturing </v>
          </cell>
        </row>
        <row r="496">
          <cell r="B496">
            <v>32522</v>
          </cell>
          <cell r="C496" t="str">
            <v xml:space="preserve">Artificial and Synthetic Fibers and Filaments ManufacturingT </v>
          </cell>
        </row>
        <row r="497">
          <cell r="B497">
            <v>325220</v>
          </cell>
          <cell r="C497" t="str">
            <v>Artificial and Synthetic Fibers and Filaments Manufacturing</v>
          </cell>
        </row>
        <row r="498">
          <cell r="B498">
            <v>3253</v>
          </cell>
          <cell r="C498" t="str">
            <v xml:space="preserve">Pesticide, Fertilizer, and Other Agricultural Chemical ManufacturingT </v>
          </cell>
        </row>
        <row r="499">
          <cell r="B499">
            <v>32531</v>
          </cell>
          <cell r="C499" t="str">
            <v xml:space="preserve">Fertilizer and Compost ManufacturingT </v>
          </cell>
        </row>
        <row r="500">
          <cell r="B500">
            <v>325311</v>
          </cell>
          <cell r="C500" t="str">
            <v xml:space="preserve">Nitrogenous Fertilizer Manufacturing </v>
          </cell>
        </row>
        <row r="501">
          <cell r="B501">
            <v>325312</v>
          </cell>
          <cell r="C501" t="str">
            <v xml:space="preserve">Phosphatic Fertilizer Manufacturing </v>
          </cell>
        </row>
        <row r="502">
          <cell r="B502">
            <v>325314</v>
          </cell>
          <cell r="C502" t="str">
            <v xml:space="preserve">Fertilizer (Mixing Only) Manufacturing </v>
          </cell>
        </row>
        <row r="503">
          <cell r="B503">
            <v>325315</v>
          </cell>
          <cell r="C503" t="str">
            <v>Compost Manufacturing</v>
          </cell>
        </row>
        <row r="504">
          <cell r="B504">
            <v>32532</v>
          </cell>
          <cell r="C504" t="str">
            <v xml:space="preserve">Pesticide and Other Agricultural Chemical ManufacturingT </v>
          </cell>
        </row>
        <row r="505">
          <cell r="B505">
            <v>325320</v>
          </cell>
          <cell r="C505" t="str">
            <v>Pesticide and Other Agricultural Chemical Manufacturing</v>
          </cell>
        </row>
        <row r="506">
          <cell r="B506">
            <v>3254</v>
          </cell>
          <cell r="C506" t="str">
            <v xml:space="preserve">Pharmaceutical and Medicine ManufacturingT </v>
          </cell>
        </row>
        <row r="507">
          <cell r="B507">
            <v>32541</v>
          </cell>
          <cell r="C507" t="str">
            <v xml:space="preserve">Pharmaceutical and Medicine ManufacturingT </v>
          </cell>
        </row>
        <row r="508">
          <cell r="B508">
            <v>325411</v>
          </cell>
          <cell r="C508" t="str">
            <v xml:space="preserve">Medicinal and Botanical Manufacturing </v>
          </cell>
        </row>
        <row r="509">
          <cell r="B509">
            <v>325412</v>
          </cell>
          <cell r="C509" t="str">
            <v xml:space="preserve">Pharmaceutical Preparation Manufacturing </v>
          </cell>
        </row>
        <row r="510">
          <cell r="B510">
            <v>325413</v>
          </cell>
          <cell r="C510" t="str">
            <v xml:space="preserve">In-Vitro Diagnostic Substance Manufacturing </v>
          </cell>
        </row>
        <row r="511">
          <cell r="B511">
            <v>325414</v>
          </cell>
          <cell r="C511" t="str">
            <v xml:space="preserve">Biological Product (except Diagnostic) Manufacturing </v>
          </cell>
        </row>
        <row r="512">
          <cell r="B512">
            <v>3255</v>
          </cell>
          <cell r="C512" t="str">
            <v xml:space="preserve">Paint, Coating, and Adhesive ManufacturingT </v>
          </cell>
        </row>
        <row r="513">
          <cell r="B513">
            <v>32551</v>
          </cell>
          <cell r="C513" t="str">
            <v xml:space="preserve">Paint and Coating ManufacturingT </v>
          </cell>
        </row>
        <row r="514">
          <cell r="B514">
            <v>325510</v>
          </cell>
          <cell r="C514" t="str">
            <v>Paint and Coating Manufacturing</v>
          </cell>
        </row>
        <row r="515">
          <cell r="B515">
            <v>32552</v>
          </cell>
          <cell r="C515" t="str">
            <v xml:space="preserve">Adhesive ManufacturingT </v>
          </cell>
        </row>
        <row r="516">
          <cell r="B516">
            <v>325520</v>
          </cell>
          <cell r="C516" t="str">
            <v>Adhesive Manufacturing</v>
          </cell>
        </row>
        <row r="517">
          <cell r="B517">
            <v>3256</v>
          </cell>
          <cell r="C517" t="str">
            <v xml:space="preserve">Soap, Cleaning Compound, and Toilet Preparation ManufacturingT </v>
          </cell>
        </row>
        <row r="518">
          <cell r="B518">
            <v>32561</v>
          </cell>
          <cell r="C518" t="str">
            <v xml:space="preserve">Soap and Cleaning Compound ManufacturingT </v>
          </cell>
        </row>
        <row r="519">
          <cell r="B519">
            <v>325611</v>
          </cell>
          <cell r="C519" t="str">
            <v xml:space="preserve">Soap and Other Detergent Manufacturing </v>
          </cell>
        </row>
        <row r="520">
          <cell r="B520">
            <v>325612</v>
          </cell>
          <cell r="C520" t="str">
            <v xml:space="preserve">Polish and Other Sanitation Good Manufacturing </v>
          </cell>
        </row>
        <row r="521">
          <cell r="B521">
            <v>325613</v>
          </cell>
          <cell r="C521" t="str">
            <v xml:space="preserve">Surface Active Agent Manufacturing </v>
          </cell>
        </row>
        <row r="522">
          <cell r="B522">
            <v>32562</v>
          </cell>
          <cell r="C522" t="str">
            <v xml:space="preserve">Toilet Preparation ManufacturingT </v>
          </cell>
        </row>
        <row r="523">
          <cell r="B523">
            <v>325620</v>
          </cell>
          <cell r="C523" t="str">
            <v>Toilet Preparation Manufacturing</v>
          </cell>
        </row>
        <row r="524">
          <cell r="B524">
            <v>3259</v>
          </cell>
          <cell r="C524" t="str">
            <v xml:space="preserve">Other Chemical Product and Preparation ManufacturingT </v>
          </cell>
        </row>
        <row r="525">
          <cell r="B525">
            <v>32591</v>
          </cell>
          <cell r="C525" t="str">
            <v xml:space="preserve">Printing Ink ManufacturingT </v>
          </cell>
        </row>
        <row r="526">
          <cell r="B526">
            <v>325910</v>
          </cell>
          <cell r="C526" t="str">
            <v>Printing Ink Manufacturing</v>
          </cell>
        </row>
        <row r="527">
          <cell r="B527">
            <v>32592</v>
          </cell>
          <cell r="C527" t="str">
            <v xml:space="preserve">Explosives ManufacturingT </v>
          </cell>
        </row>
        <row r="528">
          <cell r="B528">
            <v>325920</v>
          </cell>
          <cell r="C528" t="str">
            <v>Explosives Manufacturing</v>
          </cell>
        </row>
        <row r="529">
          <cell r="B529">
            <v>32599</v>
          </cell>
          <cell r="C529" t="str">
            <v xml:space="preserve">All Other Chemical Product and Preparation ManufacturingT </v>
          </cell>
        </row>
        <row r="530">
          <cell r="B530">
            <v>325991</v>
          </cell>
          <cell r="C530" t="str">
            <v xml:space="preserve">Custom Compounding of Purchased Resins </v>
          </cell>
        </row>
        <row r="531">
          <cell r="B531">
            <v>325992</v>
          </cell>
          <cell r="C531" t="str">
            <v xml:space="preserve">Photographic Film, Paper, Plate, Chemical, and Copy Toner Manufacturing </v>
          </cell>
        </row>
        <row r="532">
          <cell r="B532">
            <v>325998</v>
          </cell>
          <cell r="C532" t="str">
            <v xml:space="preserve">All Other Miscellaneous Chemical Product and Preparation Manufacturing </v>
          </cell>
        </row>
        <row r="533">
          <cell r="B533">
            <v>326</v>
          </cell>
          <cell r="C533" t="str">
            <v xml:space="preserve">Plastics and Rubber Products ManufacturingT </v>
          </cell>
        </row>
        <row r="534">
          <cell r="B534">
            <v>3261</v>
          </cell>
          <cell r="C534" t="str">
            <v xml:space="preserve">Plastics Product ManufacturingT </v>
          </cell>
        </row>
        <row r="535">
          <cell r="B535">
            <v>32611</v>
          </cell>
          <cell r="C535" t="str">
            <v xml:space="preserve">Plastics Packaging Materials and Unlaminated Film and Sheet ManufacturingT </v>
          </cell>
        </row>
        <row r="536">
          <cell r="B536">
            <v>326111</v>
          </cell>
          <cell r="C536" t="str">
            <v xml:space="preserve">Plastics Bag and Pouch Manufacturing </v>
          </cell>
        </row>
        <row r="537">
          <cell r="B537">
            <v>326112</v>
          </cell>
          <cell r="C537" t="str">
            <v xml:space="preserve">Plastics Packaging Film and Sheet (including Laminated) Manufacturing </v>
          </cell>
        </row>
        <row r="538">
          <cell r="B538">
            <v>326113</v>
          </cell>
          <cell r="C538" t="str">
            <v xml:space="preserve">Unlaminated Plastics Film and Sheet (except Packaging) Manufacturing </v>
          </cell>
        </row>
        <row r="539">
          <cell r="B539">
            <v>32612</v>
          </cell>
          <cell r="C539" t="str">
            <v xml:space="preserve">Plastics Pipe, Pipe Fitting, and Unlaminated Profile Shape ManufacturingT </v>
          </cell>
        </row>
        <row r="540">
          <cell r="B540">
            <v>326121</v>
          </cell>
          <cell r="C540" t="str">
            <v xml:space="preserve">Unlaminated Plastics Profile Shape Manufacturing </v>
          </cell>
        </row>
        <row r="541">
          <cell r="B541">
            <v>326122</v>
          </cell>
          <cell r="C541" t="str">
            <v xml:space="preserve">Plastics Pipe and Pipe Fitting Manufacturing </v>
          </cell>
        </row>
        <row r="542">
          <cell r="B542">
            <v>32613</v>
          </cell>
          <cell r="C542" t="str">
            <v xml:space="preserve">Laminated Plastics Plate, Sheet (except Packaging), and Shape ManufacturingT </v>
          </cell>
        </row>
        <row r="543">
          <cell r="B543">
            <v>326130</v>
          </cell>
          <cell r="C543" t="str">
            <v>Laminated Plastics Plate, Sheet (except Packaging), and Shape Manufacturing</v>
          </cell>
        </row>
        <row r="544">
          <cell r="B544">
            <v>32614</v>
          </cell>
          <cell r="C544" t="str">
            <v xml:space="preserve">Polystyrene Foam Product ManufacturingT </v>
          </cell>
        </row>
        <row r="545">
          <cell r="B545">
            <v>326140</v>
          </cell>
          <cell r="C545" t="str">
            <v>Polystyrene Foam Product Manufacturing</v>
          </cell>
        </row>
        <row r="546">
          <cell r="B546">
            <v>32615</v>
          </cell>
          <cell r="C546" t="str">
            <v xml:space="preserve">Urethane and Other Foam Product (except Polystyrene) ManufacturingT </v>
          </cell>
        </row>
        <row r="547">
          <cell r="B547">
            <v>326150</v>
          </cell>
          <cell r="C547" t="str">
            <v>Urethane and Other Foam Product (except Polystyrene) Manufacturing</v>
          </cell>
        </row>
        <row r="548">
          <cell r="B548">
            <v>32616</v>
          </cell>
          <cell r="C548" t="str">
            <v xml:space="preserve">Plastics Bottle ManufacturingT </v>
          </cell>
        </row>
        <row r="549">
          <cell r="B549">
            <v>326160</v>
          </cell>
          <cell r="C549" t="str">
            <v>Plastics Bottle Manufacturing</v>
          </cell>
        </row>
        <row r="550">
          <cell r="B550">
            <v>32619</v>
          </cell>
          <cell r="C550" t="str">
            <v xml:space="preserve">Other Plastics Product ManufacturingT </v>
          </cell>
        </row>
        <row r="551">
          <cell r="B551">
            <v>326191</v>
          </cell>
          <cell r="C551" t="str">
            <v xml:space="preserve">Plastics Plumbing Fixture Manufacturing </v>
          </cell>
        </row>
        <row r="552">
          <cell r="B552">
            <v>326199</v>
          </cell>
          <cell r="C552" t="str">
            <v xml:space="preserve">All Other Plastics Product Manufacturing </v>
          </cell>
        </row>
        <row r="553">
          <cell r="B553">
            <v>3262</v>
          </cell>
          <cell r="C553" t="str">
            <v xml:space="preserve">Rubber Product ManufacturingT </v>
          </cell>
        </row>
        <row r="554">
          <cell r="B554">
            <v>32621</v>
          </cell>
          <cell r="C554" t="str">
            <v xml:space="preserve">Tire ManufacturingT </v>
          </cell>
        </row>
        <row r="555">
          <cell r="B555">
            <v>326211</v>
          </cell>
          <cell r="C555" t="str">
            <v xml:space="preserve">Tire Manufacturing (except Retreading) </v>
          </cell>
        </row>
        <row r="556">
          <cell r="B556">
            <v>326212</v>
          </cell>
          <cell r="C556" t="str">
            <v xml:space="preserve">Tire Retreading </v>
          </cell>
        </row>
        <row r="557">
          <cell r="B557">
            <v>32622</v>
          </cell>
          <cell r="C557" t="str">
            <v xml:space="preserve">Rubber and Plastics Hoses and Belting ManufacturingT </v>
          </cell>
        </row>
        <row r="558">
          <cell r="B558">
            <v>326220</v>
          </cell>
          <cell r="C558" t="str">
            <v>Rubber and Plastics Hoses and Belting Manufacturing</v>
          </cell>
        </row>
        <row r="559">
          <cell r="B559">
            <v>32629</v>
          </cell>
          <cell r="C559" t="str">
            <v xml:space="preserve">Other Rubber Product ManufacturingT </v>
          </cell>
        </row>
        <row r="560">
          <cell r="B560">
            <v>326291</v>
          </cell>
          <cell r="C560" t="str">
            <v xml:space="preserve">Rubber Product Manufacturing for Mechanical Use </v>
          </cell>
        </row>
        <row r="561">
          <cell r="B561">
            <v>326299</v>
          </cell>
          <cell r="C561" t="str">
            <v xml:space="preserve">All Other Rubber Product Manufacturing </v>
          </cell>
        </row>
        <row r="562">
          <cell r="B562">
            <v>327</v>
          </cell>
          <cell r="C562" t="str">
            <v xml:space="preserve">Nonmetallic Mineral Product ManufacturingT </v>
          </cell>
        </row>
        <row r="563">
          <cell r="B563">
            <v>3271</v>
          </cell>
          <cell r="C563" t="str">
            <v xml:space="preserve">Clay Product and Refractory ManufacturingT </v>
          </cell>
        </row>
        <row r="564">
          <cell r="B564">
            <v>32711</v>
          </cell>
          <cell r="C564" t="str">
            <v xml:space="preserve">Pottery, Ceramics, and Plumbing Fixture ManufacturingT </v>
          </cell>
        </row>
        <row r="565">
          <cell r="B565">
            <v>327110</v>
          </cell>
          <cell r="C565" t="str">
            <v xml:space="preserve">Pottery, Ceramics, and Plumbing Fixture Manufacturing </v>
          </cell>
        </row>
        <row r="566">
          <cell r="B566">
            <v>32712</v>
          </cell>
          <cell r="C566" t="str">
            <v xml:space="preserve">Clay Building Material and Refractories ManufacturingT </v>
          </cell>
        </row>
        <row r="567">
          <cell r="B567">
            <v>327120</v>
          </cell>
          <cell r="C567" t="str">
            <v xml:space="preserve">Clay Building Material and Refractories Manufacturing </v>
          </cell>
        </row>
        <row r="568">
          <cell r="B568">
            <v>3272</v>
          </cell>
          <cell r="C568" t="str">
            <v xml:space="preserve">Glass and Glass Product ManufacturingT </v>
          </cell>
        </row>
        <row r="569">
          <cell r="B569">
            <v>32721</v>
          </cell>
          <cell r="C569" t="str">
            <v xml:space="preserve">Glass and Glass Product ManufacturingT </v>
          </cell>
        </row>
        <row r="570">
          <cell r="B570">
            <v>327211</v>
          </cell>
          <cell r="C570" t="str">
            <v xml:space="preserve">Flat Glass Manufacturing </v>
          </cell>
        </row>
        <row r="571">
          <cell r="B571">
            <v>327212</v>
          </cell>
          <cell r="C571" t="str">
            <v xml:space="preserve">Other Pressed and Blown Glass and Glassware Manufacturing </v>
          </cell>
        </row>
        <row r="572">
          <cell r="B572">
            <v>327213</v>
          </cell>
          <cell r="C572" t="str">
            <v xml:space="preserve">Glass Container Manufacturing </v>
          </cell>
        </row>
        <row r="573">
          <cell r="B573">
            <v>327215</v>
          </cell>
          <cell r="C573" t="str">
            <v xml:space="preserve">Glass Product Manufacturing Made of Purchased Glass </v>
          </cell>
        </row>
        <row r="574">
          <cell r="B574">
            <v>3273</v>
          </cell>
          <cell r="C574" t="str">
            <v xml:space="preserve">Cement and Concrete Product ManufacturingT </v>
          </cell>
        </row>
        <row r="575">
          <cell r="B575">
            <v>32731</v>
          </cell>
          <cell r="C575" t="str">
            <v xml:space="preserve">Cement ManufacturingT </v>
          </cell>
        </row>
        <row r="576">
          <cell r="B576">
            <v>327310</v>
          </cell>
          <cell r="C576" t="str">
            <v>Cement Manufacturing</v>
          </cell>
        </row>
        <row r="577">
          <cell r="B577">
            <v>32732</v>
          </cell>
          <cell r="C577" t="str">
            <v xml:space="preserve">Ready-Mix Concrete ManufacturingT </v>
          </cell>
        </row>
        <row r="578">
          <cell r="B578">
            <v>327320</v>
          </cell>
          <cell r="C578" t="str">
            <v>Ready-Mix Concrete Manufacturing</v>
          </cell>
        </row>
        <row r="579">
          <cell r="B579">
            <v>32733</v>
          </cell>
          <cell r="C579" t="str">
            <v xml:space="preserve">Concrete Pipe, Brick, and Block ManufacturingT </v>
          </cell>
        </row>
        <row r="580">
          <cell r="B580">
            <v>327331</v>
          </cell>
          <cell r="C580" t="str">
            <v xml:space="preserve">Concrete Block and Brick Manufacturing </v>
          </cell>
        </row>
        <row r="581">
          <cell r="B581">
            <v>327332</v>
          </cell>
          <cell r="C581" t="str">
            <v xml:space="preserve">Concrete Pipe Manufacturing </v>
          </cell>
        </row>
        <row r="582">
          <cell r="B582">
            <v>32739</v>
          </cell>
          <cell r="C582" t="str">
            <v xml:space="preserve">Other Concrete Product ManufacturingT </v>
          </cell>
        </row>
        <row r="583">
          <cell r="B583">
            <v>327390</v>
          </cell>
          <cell r="C583" t="str">
            <v xml:space="preserve">Other Concrete Product Manufacturing </v>
          </cell>
        </row>
        <row r="584">
          <cell r="B584">
            <v>3274</v>
          </cell>
          <cell r="C584" t="str">
            <v xml:space="preserve">Lime and Gypsum Product ManufacturingT </v>
          </cell>
        </row>
        <row r="585">
          <cell r="B585">
            <v>32741</v>
          </cell>
          <cell r="C585" t="str">
            <v xml:space="preserve">Lime ManufacturingT </v>
          </cell>
        </row>
        <row r="586">
          <cell r="B586">
            <v>327410</v>
          </cell>
          <cell r="C586" t="str">
            <v>Lime Manufacturing</v>
          </cell>
        </row>
        <row r="587">
          <cell r="B587">
            <v>32742</v>
          </cell>
          <cell r="C587" t="str">
            <v xml:space="preserve">Gypsum Product ManufacturingT </v>
          </cell>
        </row>
        <row r="588">
          <cell r="B588">
            <v>327420</v>
          </cell>
          <cell r="C588" t="str">
            <v>Gypsum Product Manufacturing</v>
          </cell>
        </row>
        <row r="589">
          <cell r="B589">
            <v>3279</v>
          </cell>
          <cell r="C589" t="str">
            <v xml:space="preserve">Other Nonmetallic Mineral Product ManufacturingT </v>
          </cell>
        </row>
        <row r="590">
          <cell r="B590">
            <v>32791</v>
          </cell>
          <cell r="C590" t="str">
            <v xml:space="preserve">Abrasive Product ManufacturingT </v>
          </cell>
        </row>
        <row r="591">
          <cell r="B591">
            <v>327910</v>
          </cell>
          <cell r="C591" t="str">
            <v>Abrasive Product Manufacturing</v>
          </cell>
        </row>
        <row r="592">
          <cell r="B592">
            <v>32799</v>
          </cell>
          <cell r="C592" t="str">
            <v xml:space="preserve">All Other Nonmetallic Mineral Product ManufacturingT </v>
          </cell>
        </row>
        <row r="593">
          <cell r="B593">
            <v>327991</v>
          </cell>
          <cell r="C593" t="str">
            <v xml:space="preserve">Cut Stone and Stone Product Manufacturing </v>
          </cell>
        </row>
        <row r="594">
          <cell r="B594">
            <v>327992</v>
          </cell>
          <cell r="C594" t="str">
            <v xml:space="preserve">Ground or Treated Mineral and Earth Manufacturing </v>
          </cell>
        </row>
        <row r="595">
          <cell r="B595">
            <v>327993</v>
          </cell>
          <cell r="C595" t="str">
            <v xml:space="preserve">Mineral Wool Manufacturing </v>
          </cell>
        </row>
        <row r="596">
          <cell r="B596">
            <v>327999</v>
          </cell>
          <cell r="C596" t="str">
            <v xml:space="preserve">All Other Miscellaneous Nonmetallic Mineral Product Manufacturing </v>
          </cell>
        </row>
        <row r="597">
          <cell r="B597">
            <v>331</v>
          </cell>
          <cell r="C597" t="str">
            <v xml:space="preserve">Primary Metal ManufacturingT </v>
          </cell>
        </row>
        <row r="598">
          <cell r="B598">
            <v>3311</v>
          </cell>
          <cell r="C598" t="str">
            <v xml:space="preserve">Iron and Steel Mills and Ferroalloy ManufacturingT </v>
          </cell>
        </row>
        <row r="599">
          <cell r="B599">
            <v>33111</v>
          </cell>
          <cell r="C599" t="str">
            <v xml:space="preserve">Iron and Steel Mills and Ferroalloy ManufacturingT </v>
          </cell>
        </row>
        <row r="600">
          <cell r="B600">
            <v>331110</v>
          </cell>
          <cell r="C600" t="str">
            <v xml:space="preserve">Iron and Steel Mills and Ferroalloy Manufacturing </v>
          </cell>
        </row>
        <row r="601">
          <cell r="B601">
            <v>3312</v>
          </cell>
          <cell r="C601" t="str">
            <v xml:space="preserve">Steel Product Manufacturing from Purchased SteelT </v>
          </cell>
        </row>
        <row r="602">
          <cell r="B602">
            <v>33121</v>
          </cell>
          <cell r="C602" t="str">
            <v xml:space="preserve">Iron and Steel Pipe and Tube Manufacturing from Purchased SteelT </v>
          </cell>
        </row>
        <row r="603">
          <cell r="B603">
            <v>331210</v>
          </cell>
          <cell r="C603" t="str">
            <v>Iron and Steel Pipe and Tube Manufacturing from Purchased Steel</v>
          </cell>
        </row>
        <row r="604">
          <cell r="B604">
            <v>33122</v>
          </cell>
          <cell r="C604" t="str">
            <v xml:space="preserve">Rolling and Drawing of Purchased SteelT </v>
          </cell>
        </row>
        <row r="605">
          <cell r="B605">
            <v>331221</v>
          </cell>
          <cell r="C605" t="str">
            <v xml:space="preserve">Rolled Steel Shape Manufacturing </v>
          </cell>
        </row>
        <row r="606">
          <cell r="B606">
            <v>331222</v>
          </cell>
          <cell r="C606" t="str">
            <v xml:space="preserve">Steel Wire Drawing </v>
          </cell>
        </row>
        <row r="607">
          <cell r="B607">
            <v>3313</v>
          </cell>
          <cell r="C607" t="str">
            <v xml:space="preserve">Alumina and Aluminum Production and ProcessingT </v>
          </cell>
        </row>
        <row r="608">
          <cell r="B608">
            <v>33131</v>
          </cell>
          <cell r="C608" t="str">
            <v xml:space="preserve">Alumina and Aluminum Production and ProcessingT </v>
          </cell>
        </row>
        <row r="609">
          <cell r="B609">
            <v>331313</v>
          </cell>
          <cell r="C609" t="str">
            <v xml:space="preserve">Alumina Refining and Primary Aluminum Production </v>
          </cell>
        </row>
        <row r="610">
          <cell r="B610">
            <v>331314</v>
          </cell>
          <cell r="C610" t="str">
            <v xml:space="preserve">Secondary Smelting and Alloying of Aluminum </v>
          </cell>
        </row>
        <row r="611">
          <cell r="B611">
            <v>331315</v>
          </cell>
          <cell r="C611" t="str">
            <v xml:space="preserve">Aluminum Sheet, Plate, and Foil Manufacturing </v>
          </cell>
        </row>
        <row r="612">
          <cell r="B612">
            <v>331318</v>
          </cell>
          <cell r="C612" t="str">
            <v xml:space="preserve">Other Aluminum Rolling, Drawing, and Extruding </v>
          </cell>
        </row>
        <row r="613">
          <cell r="B613">
            <v>3314</v>
          </cell>
          <cell r="C613" t="str">
            <v xml:space="preserve">Nonferrous Metal (except Aluminum) Production and ProcessingT </v>
          </cell>
        </row>
        <row r="614">
          <cell r="B614">
            <v>33141</v>
          </cell>
          <cell r="C614" t="str">
            <v xml:space="preserve">Nonferrous Metal (except Aluminum) Smelting and RefiningT </v>
          </cell>
        </row>
        <row r="615">
          <cell r="B615">
            <v>331410</v>
          </cell>
          <cell r="C615" t="str">
            <v xml:space="preserve">Nonferrous Metal (except Aluminum) Smelting and Refining </v>
          </cell>
        </row>
        <row r="616">
          <cell r="B616">
            <v>33142</v>
          </cell>
          <cell r="C616" t="str">
            <v xml:space="preserve">Copper Rolling, Drawing, Extruding, and AlloyingT </v>
          </cell>
        </row>
        <row r="617">
          <cell r="B617">
            <v>331420</v>
          </cell>
          <cell r="C617" t="str">
            <v>Copper Rolling, Drawing, Extruding, and Alloying</v>
          </cell>
        </row>
        <row r="618">
          <cell r="B618">
            <v>33149</v>
          </cell>
          <cell r="C618" t="str">
            <v xml:space="preserve">Nonferrous Metal (except Copper and Aluminum) Rolling, Drawing, Extruding, and AlloyingT </v>
          </cell>
        </row>
        <row r="619">
          <cell r="B619">
            <v>331491</v>
          </cell>
          <cell r="C619" t="str">
            <v xml:space="preserve">Nonferrous Metal (except Copper and Aluminum) Rolling, Drawing, and Extruding </v>
          </cell>
        </row>
        <row r="620">
          <cell r="B620">
            <v>331492</v>
          </cell>
          <cell r="C620" t="str">
            <v xml:space="preserve">Secondary Smelting, Refining, and Alloying of Nonferrous Metal (except Copper and Aluminum) </v>
          </cell>
        </row>
        <row r="621">
          <cell r="B621">
            <v>3315</v>
          </cell>
          <cell r="C621" t="str">
            <v xml:space="preserve">FoundriesT </v>
          </cell>
        </row>
        <row r="622">
          <cell r="B622">
            <v>33151</v>
          </cell>
          <cell r="C622" t="str">
            <v xml:space="preserve">Ferrous Metal FoundriesT </v>
          </cell>
        </row>
        <row r="623">
          <cell r="B623">
            <v>331511</v>
          </cell>
          <cell r="C623" t="str">
            <v xml:space="preserve">Iron Foundries </v>
          </cell>
        </row>
        <row r="624">
          <cell r="B624">
            <v>331512</v>
          </cell>
          <cell r="C624" t="str">
            <v xml:space="preserve">Steel Investment Foundries </v>
          </cell>
        </row>
        <row r="625">
          <cell r="B625">
            <v>331513</v>
          </cell>
          <cell r="C625" t="str">
            <v xml:space="preserve">Steel Foundries (except Investment) </v>
          </cell>
        </row>
        <row r="626">
          <cell r="B626">
            <v>33152</v>
          </cell>
          <cell r="C626" t="str">
            <v xml:space="preserve">Nonferrous Metal FoundriesT </v>
          </cell>
        </row>
        <row r="627">
          <cell r="B627">
            <v>331523</v>
          </cell>
          <cell r="C627" t="str">
            <v xml:space="preserve">Nonferrous Metal Die-Casting Foundries </v>
          </cell>
        </row>
        <row r="628">
          <cell r="B628">
            <v>331524</v>
          </cell>
          <cell r="C628" t="str">
            <v xml:space="preserve">Aluminum Foundries (except Die-Casting) </v>
          </cell>
        </row>
        <row r="629">
          <cell r="B629">
            <v>331529</v>
          </cell>
          <cell r="C629" t="str">
            <v xml:space="preserve">Other Nonferrous Metal Foundries (except Die-Casting) </v>
          </cell>
        </row>
        <row r="630">
          <cell r="B630">
            <v>332</v>
          </cell>
          <cell r="C630" t="str">
            <v xml:space="preserve">Fabricated Metal Product ManufacturingT </v>
          </cell>
        </row>
        <row r="631">
          <cell r="B631">
            <v>3321</v>
          </cell>
          <cell r="C631" t="str">
            <v xml:space="preserve">Forging and StampingT </v>
          </cell>
        </row>
        <row r="632">
          <cell r="B632">
            <v>33211</v>
          </cell>
          <cell r="C632" t="str">
            <v xml:space="preserve">Forging and StampingT </v>
          </cell>
        </row>
        <row r="633">
          <cell r="B633">
            <v>332111</v>
          </cell>
          <cell r="C633" t="str">
            <v xml:space="preserve">Iron and Steel Forging </v>
          </cell>
        </row>
        <row r="634">
          <cell r="B634">
            <v>332112</v>
          </cell>
          <cell r="C634" t="str">
            <v xml:space="preserve">Nonferrous Forging </v>
          </cell>
        </row>
        <row r="635">
          <cell r="B635">
            <v>332114</v>
          </cell>
          <cell r="C635" t="str">
            <v xml:space="preserve">Custom Roll Forming </v>
          </cell>
        </row>
        <row r="636">
          <cell r="B636">
            <v>332117</v>
          </cell>
          <cell r="C636" t="str">
            <v xml:space="preserve">Powder Metallurgy Part Manufacturing </v>
          </cell>
        </row>
        <row r="637">
          <cell r="B637">
            <v>332119</v>
          </cell>
          <cell r="C637" t="str">
            <v xml:space="preserve">Metal Crown, Closure, and Other Metal Stamping (except Automotive) </v>
          </cell>
        </row>
        <row r="638">
          <cell r="B638">
            <v>3322</v>
          </cell>
          <cell r="C638" t="str">
            <v xml:space="preserve">Cutlery and Handtool ManufacturingT </v>
          </cell>
        </row>
        <row r="639">
          <cell r="B639">
            <v>33221</v>
          </cell>
          <cell r="C639" t="str">
            <v xml:space="preserve">Cutlery and Handtool ManufacturingT </v>
          </cell>
        </row>
        <row r="640">
          <cell r="B640">
            <v>332215</v>
          </cell>
          <cell r="C640" t="str">
            <v xml:space="preserve">Metal Kitchen Cookware, Utensil, Cutlery, and Flatware (except Precious) Manufacturing </v>
          </cell>
        </row>
        <row r="641">
          <cell r="B641">
            <v>332216</v>
          </cell>
          <cell r="C641" t="str">
            <v xml:space="preserve">Saw Blade and Handtool Manufacturing </v>
          </cell>
        </row>
        <row r="642">
          <cell r="B642">
            <v>3323</v>
          </cell>
          <cell r="C642" t="str">
            <v xml:space="preserve">Architectural and Structural Metals ManufacturingT </v>
          </cell>
        </row>
        <row r="643">
          <cell r="B643">
            <v>33231</v>
          </cell>
          <cell r="C643" t="str">
            <v xml:space="preserve">Plate Work and Fabricated Structural Product ManufacturingT </v>
          </cell>
        </row>
        <row r="644">
          <cell r="B644">
            <v>332311</v>
          </cell>
          <cell r="C644" t="str">
            <v xml:space="preserve">Prefabricated Metal Building and Component Manufacturing </v>
          </cell>
        </row>
        <row r="645">
          <cell r="B645">
            <v>332312</v>
          </cell>
          <cell r="C645" t="str">
            <v xml:space="preserve">Fabricated Structural Metal Manufacturing </v>
          </cell>
        </row>
        <row r="646">
          <cell r="B646">
            <v>332313</v>
          </cell>
          <cell r="C646" t="str">
            <v xml:space="preserve">Plate Work Manufacturing </v>
          </cell>
        </row>
        <row r="647">
          <cell r="B647">
            <v>33232</v>
          </cell>
          <cell r="C647" t="str">
            <v xml:space="preserve">Ornamental and Architectural Metal Products ManufacturingT </v>
          </cell>
        </row>
        <row r="648">
          <cell r="B648">
            <v>332321</v>
          </cell>
          <cell r="C648" t="str">
            <v xml:space="preserve">Metal Window and Door Manufacturing </v>
          </cell>
        </row>
        <row r="649">
          <cell r="B649">
            <v>332322</v>
          </cell>
          <cell r="C649" t="str">
            <v xml:space="preserve">Sheet Metal Work Manufacturing </v>
          </cell>
        </row>
        <row r="650">
          <cell r="B650">
            <v>332323</v>
          </cell>
          <cell r="C650" t="str">
            <v xml:space="preserve">Ornamental and Architectural Metal Work Manufacturing </v>
          </cell>
        </row>
        <row r="651">
          <cell r="B651">
            <v>3324</v>
          </cell>
          <cell r="C651" t="str">
            <v xml:space="preserve">Boiler, Tank, and Shipping Container ManufacturingT </v>
          </cell>
        </row>
        <row r="652">
          <cell r="B652">
            <v>33241</v>
          </cell>
          <cell r="C652" t="str">
            <v xml:space="preserve">Power Boiler and Heat Exchanger ManufacturingT </v>
          </cell>
        </row>
        <row r="653">
          <cell r="B653">
            <v>332410</v>
          </cell>
          <cell r="C653" t="str">
            <v>Power Boiler and Heat Exchanger Manufacturing</v>
          </cell>
        </row>
        <row r="654">
          <cell r="B654">
            <v>33242</v>
          </cell>
          <cell r="C654" t="str">
            <v xml:space="preserve">Metal Tank (Heavy Gauge) ManufacturingT </v>
          </cell>
        </row>
        <row r="655">
          <cell r="B655">
            <v>332420</v>
          </cell>
          <cell r="C655" t="str">
            <v>Metal Tank (Heavy Gauge) Manufacturing</v>
          </cell>
        </row>
        <row r="656">
          <cell r="B656">
            <v>33243</v>
          </cell>
          <cell r="C656" t="str">
            <v xml:space="preserve">Metal Can, Box, and Other Metal Container (Light Gauge) ManufacturingT </v>
          </cell>
        </row>
        <row r="657">
          <cell r="B657">
            <v>332431</v>
          </cell>
          <cell r="C657" t="str">
            <v xml:space="preserve">Metal Can Manufacturing </v>
          </cell>
        </row>
        <row r="658">
          <cell r="B658">
            <v>332439</v>
          </cell>
          <cell r="C658" t="str">
            <v xml:space="preserve">Other Metal Container Manufacturing </v>
          </cell>
        </row>
        <row r="659">
          <cell r="B659">
            <v>3325</v>
          </cell>
          <cell r="C659" t="str">
            <v xml:space="preserve">Hardware ManufacturingT </v>
          </cell>
        </row>
        <row r="660">
          <cell r="B660">
            <v>33251</v>
          </cell>
          <cell r="C660" t="str">
            <v xml:space="preserve">Hardware ManufacturingT </v>
          </cell>
        </row>
        <row r="661">
          <cell r="B661">
            <v>332510</v>
          </cell>
          <cell r="C661" t="str">
            <v>Hardware Manufacturing</v>
          </cell>
        </row>
        <row r="662">
          <cell r="B662">
            <v>3326</v>
          </cell>
          <cell r="C662" t="str">
            <v xml:space="preserve">Spring and Wire Product ManufacturingT </v>
          </cell>
        </row>
        <row r="663">
          <cell r="B663">
            <v>33261</v>
          </cell>
          <cell r="C663" t="str">
            <v xml:space="preserve">Spring and Wire Product ManufacturingT </v>
          </cell>
        </row>
        <row r="664">
          <cell r="B664">
            <v>332613</v>
          </cell>
          <cell r="C664" t="str">
            <v xml:space="preserve">Spring Manufacturing </v>
          </cell>
        </row>
        <row r="665">
          <cell r="B665">
            <v>332618</v>
          </cell>
          <cell r="C665" t="str">
            <v xml:space="preserve">Other Fabricated Wire Product Manufacturing </v>
          </cell>
        </row>
        <row r="666">
          <cell r="B666">
            <v>3327</v>
          </cell>
          <cell r="C666" t="str">
            <v xml:space="preserve">Machine Shops; Turned Product; and Screw, Nut, and Bolt ManufacturingT </v>
          </cell>
        </row>
        <row r="667">
          <cell r="B667">
            <v>33271</v>
          </cell>
          <cell r="C667" t="str">
            <v xml:space="preserve">Machine ShopsT </v>
          </cell>
        </row>
        <row r="668">
          <cell r="B668">
            <v>332710</v>
          </cell>
          <cell r="C668" t="str">
            <v>Machine Shops</v>
          </cell>
        </row>
        <row r="669">
          <cell r="B669">
            <v>33272</v>
          </cell>
          <cell r="C669" t="str">
            <v xml:space="preserve">Turned Product and Screw, Nut, and Bolt ManufacturingT </v>
          </cell>
        </row>
        <row r="670">
          <cell r="B670">
            <v>332721</v>
          </cell>
          <cell r="C670" t="str">
            <v xml:space="preserve">Precision Turned Product Manufacturing </v>
          </cell>
        </row>
        <row r="671">
          <cell r="B671">
            <v>332722</v>
          </cell>
          <cell r="C671" t="str">
            <v xml:space="preserve">Bolt, Nut, Screw, Rivet, and Washer Manufacturing </v>
          </cell>
        </row>
        <row r="672">
          <cell r="B672">
            <v>3328</v>
          </cell>
          <cell r="C672" t="str">
            <v xml:space="preserve">Coating, Engraving, Heat Treating, and Allied ActivitiesT </v>
          </cell>
        </row>
        <row r="673">
          <cell r="B673">
            <v>33281</v>
          </cell>
          <cell r="C673" t="str">
            <v xml:space="preserve">Coating, Engraving, Heat Treating, and Allied ActivitiesT </v>
          </cell>
        </row>
        <row r="674">
          <cell r="B674">
            <v>332811</v>
          </cell>
          <cell r="C674" t="str">
            <v xml:space="preserve">Metal Heat Treating </v>
          </cell>
        </row>
        <row r="675">
          <cell r="B675">
            <v>332812</v>
          </cell>
          <cell r="C675" t="str">
            <v xml:space="preserve">Metal Coating, Engraving (except Jewelry and Silverware), and Allied Services to Manufacturers </v>
          </cell>
        </row>
        <row r="676">
          <cell r="B676">
            <v>332813</v>
          </cell>
          <cell r="C676" t="str">
            <v xml:space="preserve">Electroplating, Plating, Polishing, Anodizing, and Coloring </v>
          </cell>
        </row>
        <row r="677">
          <cell r="B677">
            <v>3329</v>
          </cell>
          <cell r="C677" t="str">
            <v xml:space="preserve">Other Fabricated Metal Product ManufacturingT </v>
          </cell>
        </row>
        <row r="678">
          <cell r="B678">
            <v>33291</v>
          </cell>
          <cell r="C678" t="str">
            <v xml:space="preserve">Metal Valve ManufacturingT </v>
          </cell>
        </row>
        <row r="679">
          <cell r="B679">
            <v>332911</v>
          </cell>
          <cell r="C679" t="str">
            <v xml:space="preserve">Industrial Valve Manufacturing </v>
          </cell>
        </row>
        <row r="680">
          <cell r="B680">
            <v>332912</v>
          </cell>
          <cell r="C680" t="str">
            <v xml:space="preserve">Fluid Power Valve and Hose Fitting Manufacturing </v>
          </cell>
        </row>
        <row r="681">
          <cell r="B681">
            <v>332913</v>
          </cell>
          <cell r="C681" t="str">
            <v xml:space="preserve">Plumbing Fixture Fitting and Trim Manufacturing </v>
          </cell>
        </row>
        <row r="682">
          <cell r="B682">
            <v>332919</v>
          </cell>
          <cell r="C682" t="str">
            <v xml:space="preserve">Other Metal Valve and Pipe Fitting Manufacturing </v>
          </cell>
        </row>
        <row r="683">
          <cell r="B683">
            <v>33299</v>
          </cell>
          <cell r="C683" t="str">
            <v xml:space="preserve">All Other Fabricated Metal Product ManufacturingT </v>
          </cell>
        </row>
        <row r="684">
          <cell r="B684">
            <v>332991</v>
          </cell>
          <cell r="C684" t="str">
            <v>Ball and Roller Bearing Manufacturing</v>
          </cell>
        </row>
        <row r="685">
          <cell r="B685">
            <v>332992</v>
          </cell>
          <cell r="C685" t="str">
            <v xml:space="preserve">Small Arms Ammunition Manufacturing </v>
          </cell>
        </row>
        <row r="686">
          <cell r="B686">
            <v>332993</v>
          </cell>
          <cell r="C686" t="str">
            <v xml:space="preserve">Ammunition (except Small Arms) Manufacturing </v>
          </cell>
        </row>
        <row r="687">
          <cell r="B687">
            <v>332994</v>
          </cell>
          <cell r="C687" t="str">
            <v xml:space="preserve">Small Arms, Ordnance, and Ordnance Accessories Manufacturing </v>
          </cell>
        </row>
        <row r="688">
          <cell r="B688">
            <v>332996</v>
          </cell>
          <cell r="C688" t="str">
            <v xml:space="preserve">Fabricated Pipe and Pipe Fitting Manufacturing </v>
          </cell>
        </row>
        <row r="689">
          <cell r="B689">
            <v>332999</v>
          </cell>
          <cell r="C689" t="str">
            <v xml:space="preserve">All Other Miscellaneous Fabricated Metal Product Manufacturing </v>
          </cell>
        </row>
        <row r="690">
          <cell r="B690">
            <v>333</v>
          </cell>
          <cell r="C690" t="str">
            <v xml:space="preserve">Machinery ManufacturingT </v>
          </cell>
        </row>
        <row r="691">
          <cell r="B691">
            <v>3331</v>
          </cell>
          <cell r="C691" t="str">
            <v xml:space="preserve">Agriculture, Construction, and Mining Machinery ManufacturingT </v>
          </cell>
        </row>
        <row r="692">
          <cell r="B692">
            <v>33311</v>
          </cell>
          <cell r="C692" t="str">
            <v xml:space="preserve">Agricultural Implement ManufacturingT </v>
          </cell>
        </row>
        <row r="693">
          <cell r="B693">
            <v>333111</v>
          </cell>
          <cell r="C693" t="str">
            <v xml:space="preserve">Farm Machinery and Equipment Manufacturing </v>
          </cell>
        </row>
        <row r="694">
          <cell r="B694">
            <v>333112</v>
          </cell>
          <cell r="C694" t="str">
            <v xml:space="preserve">Lawn and Garden Tractor and Home Lawn and Garden Equipment Manufacturing </v>
          </cell>
        </row>
        <row r="695">
          <cell r="B695">
            <v>33312</v>
          </cell>
          <cell r="C695" t="str">
            <v xml:space="preserve">Construction Machinery ManufacturingT </v>
          </cell>
        </row>
        <row r="696">
          <cell r="B696">
            <v>333120</v>
          </cell>
          <cell r="C696" t="str">
            <v>Construction Machinery Manufacturing</v>
          </cell>
        </row>
        <row r="697">
          <cell r="B697">
            <v>33313</v>
          </cell>
          <cell r="C697" t="str">
            <v xml:space="preserve">Mining and Oil and Gas Field Machinery ManufacturingT </v>
          </cell>
        </row>
        <row r="698">
          <cell r="B698">
            <v>333131</v>
          </cell>
          <cell r="C698" t="str">
            <v xml:space="preserve">Mining Machinery and Equipment Manufacturing </v>
          </cell>
        </row>
        <row r="699">
          <cell r="B699">
            <v>333132</v>
          </cell>
          <cell r="C699" t="str">
            <v xml:space="preserve">Oil and Gas Field Machinery and Equipment Manufacturing </v>
          </cell>
        </row>
        <row r="700">
          <cell r="B700">
            <v>3332</v>
          </cell>
          <cell r="C700" t="str">
            <v xml:space="preserve">Industrial Machinery ManufacturingT </v>
          </cell>
        </row>
        <row r="701">
          <cell r="B701">
            <v>33324</v>
          </cell>
          <cell r="C701" t="str">
            <v xml:space="preserve">Industrial Machinery ManufacturingT </v>
          </cell>
        </row>
        <row r="702">
          <cell r="B702">
            <v>333241</v>
          </cell>
          <cell r="C702" t="str">
            <v xml:space="preserve">Food Product Machinery Manufacturing </v>
          </cell>
        </row>
        <row r="703">
          <cell r="B703">
            <v>333242</v>
          </cell>
          <cell r="C703" t="str">
            <v xml:space="preserve">Semiconductor Machinery Manufacturing </v>
          </cell>
        </row>
        <row r="704">
          <cell r="B704">
            <v>333243</v>
          </cell>
          <cell r="C704" t="str">
            <v xml:space="preserve">Sawmill, Woodworking, and Paper Machinery Manufacturing </v>
          </cell>
        </row>
        <row r="705">
          <cell r="B705">
            <v>333248</v>
          </cell>
          <cell r="C705" t="str">
            <v xml:space="preserve">All Other Industrial Machinery Manufacturing </v>
          </cell>
        </row>
        <row r="706">
          <cell r="B706">
            <v>3333</v>
          </cell>
          <cell r="C706" t="str">
            <v xml:space="preserve">Commercial and Service Industry Machinery ManufacturingT </v>
          </cell>
        </row>
        <row r="707">
          <cell r="B707">
            <v>33331</v>
          </cell>
          <cell r="C707" t="str">
            <v xml:space="preserve">Commercial and Service Industry Machinery ManufacturingT </v>
          </cell>
        </row>
        <row r="708">
          <cell r="B708">
            <v>333310</v>
          </cell>
          <cell r="C708" t="str">
            <v xml:space="preserve">Commercial and Service Industry Machinery Manufacturing </v>
          </cell>
        </row>
        <row r="709">
          <cell r="B709">
            <v>3334</v>
          </cell>
          <cell r="C709" t="str">
            <v xml:space="preserve">Ventilation, Heating, Air-Conditioning, and Commercial Refrigeration Equipment ManufacturingT </v>
          </cell>
        </row>
        <row r="710">
          <cell r="B710">
            <v>33341</v>
          </cell>
          <cell r="C710" t="str">
            <v xml:space="preserve">Ventilation, Heating, Air-Conditioning, and Commercial Refrigeration Equipment ManufacturingT </v>
          </cell>
        </row>
        <row r="711">
          <cell r="B711">
            <v>333413</v>
          </cell>
          <cell r="C711" t="str">
            <v xml:space="preserve">Industrial and Commercial Fan and Blower and Air Purification Equipment Manufacturing </v>
          </cell>
        </row>
        <row r="712">
          <cell r="B712">
            <v>333414</v>
          </cell>
          <cell r="C712" t="str">
            <v xml:space="preserve">Heating Equipment (except Warm Air Furnaces) Manufacturing </v>
          </cell>
        </row>
        <row r="713">
          <cell r="B713">
            <v>333415</v>
          </cell>
          <cell r="C713" t="str">
            <v xml:space="preserve">Air-Conditioning and Warm Air Heating Equipment and Commercial and Industrial Refrigeration Equipment Manufacturing </v>
          </cell>
        </row>
        <row r="714">
          <cell r="B714">
            <v>3335</v>
          </cell>
          <cell r="C714" t="str">
            <v xml:space="preserve">Metalworking Machinery ManufacturingT </v>
          </cell>
        </row>
        <row r="715">
          <cell r="B715">
            <v>33351</v>
          </cell>
          <cell r="C715" t="str">
            <v xml:space="preserve">Metalworking Machinery ManufacturingT </v>
          </cell>
        </row>
        <row r="716">
          <cell r="B716">
            <v>333511</v>
          </cell>
          <cell r="C716" t="str">
            <v xml:space="preserve">Industrial Mold Manufacturing </v>
          </cell>
        </row>
        <row r="717">
          <cell r="B717">
            <v>333514</v>
          </cell>
          <cell r="C717" t="str">
            <v xml:space="preserve">Special Die and Tool, Die Set, Jig, and Fixture Manufacturing </v>
          </cell>
        </row>
        <row r="718">
          <cell r="B718">
            <v>333515</v>
          </cell>
          <cell r="C718" t="str">
            <v xml:space="preserve">Cutting Tool and Machine Tool Accessory Manufacturing </v>
          </cell>
        </row>
        <row r="719">
          <cell r="B719">
            <v>333517</v>
          </cell>
          <cell r="C719" t="str">
            <v xml:space="preserve">Machine Tool Manufacturing </v>
          </cell>
        </row>
        <row r="720">
          <cell r="B720">
            <v>333519</v>
          </cell>
          <cell r="C720" t="str">
            <v xml:space="preserve">Rolling Mill and Other Metalworking Machinery Manufacturing </v>
          </cell>
        </row>
        <row r="721">
          <cell r="B721">
            <v>3336</v>
          </cell>
          <cell r="C721" t="str">
            <v xml:space="preserve">Engine, Turbine, and Power Transmission Equipment ManufacturingT </v>
          </cell>
        </row>
        <row r="722">
          <cell r="B722">
            <v>33361</v>
          </cell>
          <cell r="C722" t="str">
            <v xml:space="preserve">Engine, Turbine, and Power Transmission Equipment ManufacturingT </v>
          </cell>
        </row>
        <row r="723">
          <cell r="B723">
            <v>333611</v>
          </cell>
          <cell r="C723" t="str">
            <v xml:space="preserve">Turbine and Turbine Generator Set Units Manufacturing </v>
          </cell>
        </row>
        <row r="724">
          <cell r="B724">
            <v>333612</v>
          </cell>
          <cell r="C724" t="str">
            <v xml:space="preserve">Speed Changer, Industrial High-Speed Drive, and Gear Manufacturing </v>
          </cell>
        </row>
        <row r="725">
          <cell r="B725">
            <v>333613</v>
          </cell>
          <cell r="C725" t="str">
            <v xml:space="preserve">Mechanical Power Transmission Equipment Manufacturing </v>
          </cell>
        </row>
        <row r="726">
          <cell r="B726">
            <v>333618</v>
          </cell>
          <cell r="C726" t="str">
            <v xml:space="preserve">Other Engine Equipment Manufacturing </v>
          </cell>
        </row>
        <row r="727">
          <cell r="B727">
            <v>3339</v>
          </cell>
          <cell r="C727" t="str">
            <v xml:space="preserve">Other General Purpose Machinery ManufacturingT </v>
          </cell>
        </row>
        <row r="728">
          <cell r="B728">
            <v>33391</v>
          </cell>
          <cell r="C728" t="str">
            <v xml:space="preserve">Pump and Compressor ManufacturingT </v>
          </cell>
        </row>
        <row r="729">
          <cell r="B729">
            <v>333912</v>
          </cell>
          <cell r="C729" t="str">
            <v xml:space="preserve">Air and Gas Compressor Manufacturing </v>
          </cell>
        </row>
        <row r="730">
          <cell r="B730">
            <v>333914</v>
          </cell>
          <cell r="C730" t="str">
            <v xml:space="preserve">Measuring, Dispensing, and Other Pumping Equipment Manufacturing </v>
          </cell>
        </row>
        <row r="731">
          <cell r="B731">
            <v>33392</v>
          </cell>
          <cell r="C731" t="str">
            <v xml:space="preserve">Material Handling Equipment ManufacturingT </v>
          </cell>
        </row>
        <row r="732">
          <cell r="B732">
            <v>333921</v>
          </cell>
          <cell r="C732" t="str">
            <v xml:space="preserve">Elevator and Moving Stairway Manufacturing </v>
          </cell>
        </row>
        <row r="733">
          <cell r="B733">
            <v>333922</v>
          </cell>
          <cell r="C733" t="str">
            <v xml:space="preserve">Conveyor and Conveying Equipment Manufacturing </v>
          </cell>
        </row>
        <row r="734">
          <cell r="B734">
            <v>333923</v>
          </cell>
          <cell r="C734" t="str">
            <v xml:space="preserve">Overhead Traveling Crane, Hoist, and Monorail System Manufacturing </v>
          </cell>
        </row>
        <row r="735">
          <cell r="B735">
            <v>333924</v>
          </cell>
          <cell r="C735" t="str">
            <v xml:space="preserve">Industrial Truck, Tractor, Trailer, and Stacker Machinery Manufacturing </v>
          </cell>
        </row>
        <row r="736">
          <cell r="B736">
            <v>33399</v>
          </cell>
          <cell r="C736" t="str">
            <v xml:space="preserve">All Other General Purpose Machinery ManufacturingT </v>
          </cell>
        </row>
        <row r="737">
          <cell r="B737">
            <v>333991</v>
          </cell>
          <cell r="C737" t="str">
            <v xml:space="preserve">Power-Driven Handtool Manufacturing </v>
          </cell>
        </row>
        <row r="738">
          <cell r="B738">
            <v>333992</v>
          </cell>
          <cell r="C738" t="str">
            <v xml:space="preserve">Welding and Soldering Equipment Manufacturing </v>
          </cell>
        </row>
        <row r="739">
          <cell r="B739">
            <v>333993</v>
          </cell>
          <cell r="C739" t="str">
            <v xml:space="preserve">Packaging Machinery Manufacturing </v>
          </cell>
        </row>
        <row r="740">
          <cell r="B740">
            <v>333994</v>
          </cell>
          <cell r="C740" t="str">
            <v xml:space="preserve">Industrial Process Furnace and Oven Manufacturing </v>
          </cell>
        </row>
        <row r="741">
          <cell r="B741">
            <v>333995</v>
          </cell>
          <cell r="C741" t="str">
            <v xml:space="preserve">Fluid Power Cylinder and Actuator Manufacturing </v>
          </cell>
        </row>
        <row r="742">
          <cell r="B742">
            <v>333996</v>
          </cell>
          <cell r="C742" t="str">
            <v xml:space="preserve">Fluid Power Pump and Motor Manufacturing </v>
          </cell>
        </row>
        <row r="743">
          <cell r="B743">
            <v>333998</v>
          </cell>
          <cell r="C743" t="str">
            <v xml:space="preserve">All Other Miscellaneous General Purpose Machinery Manufacturing </v>
          </cell>
        </row>
        <row r="744">
          <cell r="B744">
            <v>334</v>
          </cell>
          <cell r="C744" t="str">
            <v xml:space="preserve">Computer and Electronic Product ManufacturingT </v>
          </cell>
        </row>
        <row r="745">
          <cell r="B745">
            <v>3341</v>
          </cell>
          <cell r="C745" t="str">
            <v xml:space="preserve">Computer and Peripheral Equipment ManufacturingT </v>
          </cell>
        </row>
        <row r="746">
          <cell r="B746">
            <v>33411</v>
          </cell>
          <cell r="C746" t="str">
            <v xml:space="preserve">Computer and Peripheral Equipment ManufacturingT </v>
          </cell>
        </row>
        <row r="747">
          <cell r="B747">
            <v>334111</v>
          </cell>
          <cell r="C747" t="str">
            <v xml:space="preserve">Electronic Computer Manufacturing </v>
          </cell>
        </row>
        <row r="748">
          <cell r="B748">
            <v>334112</v>
          </cell>
          <cell r="C748" t="str">
            <v xml:space="preserve">Computer Storage Device Manufacturing </v>
          </cell>
        </row>
        <row r="749">
          <cell r="B749">
            <v>334118</v>
          </cell>
          <cell r="C749" t="str">
            <v xml:space="preserve">Computer Terminal and Other Computer Peripheral Equipment Manufacturing </v>
          </cell>
        </row>
        <row r="750">
          <cell r="B750">
            <v>3342</v>
          </cell>
          <cell r="C750" t="str">
            <v xml:space="preserve">Communications Equipment ManufacturingT </v>
          </cell>
        </row>
        <row r="751">
          <cell r="B751">
            <v>33421</v>
          </cell>
          <cell r="C751" t="str">
            <v xml:space="preserve">Telephone Apparatus ManufacturingT </v>
          </cell>
        </row>
        <row r="752">
          <cell r="B752">
            <v>334210</v>
          </cell>
          <cell r="C752" t="str">
            <v>Telephone Apparatus Manufacturing</v>
          </cell>
        </row>
        <row r="753">
          <cell r="B753">
            <v>33422</v>
          </cell>
          <cell r="C753" t="str">
            <v xml:space="preserve">Radio and Television Broadcasting and Wireless Communications Equipment ManufacturingT </v>
          </cell>
        </row>
        <row r="754">
          <cell r="B754">
            <v>334220</v>
          </cell>
          <cell r="C754" t="str">
            <v>Radio and Television Broadcasting and Wireless Communications Equipment Manufacturing</v>
          </cell>
        </row>
        <row r="755">
          <cell r="B755">
            <v>33429</v>
          </cell>
          <cell r="C755" t="str">
            <v xml:space="preserve">Other Communications Equipment ManufacturingT </v>
          </cell>
        </row>
        <row r="756">
          <cell r="B756">
            <v>334290</v>
          </cell>
          <cell r="C756" t="str">
            <v>Other Communications Equipment Manufacturing</v>
          </cell>
        </row>
        <row r="757">
          <cell r="B757">
            <v>3343</v>
          </cell>
          <cell r="C757" t="str">
            <v xml:space="preserve">Audio and Video Equipment ManufacturingT </v>
          </cell>
        </row>
        <row r="758">
          <cell r="B758">
            <v>33431</v>
          </cell>
          <cell r="C758" t="str">
            <v xml:space="preserve">Audio and Video Equipment ManufacturingT </v>
          </cell>
        </row>
        <row r="759">
          <cell r="B759">
            <v>334310</v>
          </cell>
          <cell r="C759" t="str">
            <v>Audio and Video Equipment Manufacturing</v>
          </cell>
        </row>
        <row r="760">
          <cell r="B760">
            <v>3344</v>
          </cell>
          <cell r="C760" t="str">
            <v xml:space="preserve">Semiconductor and Other Electronic Component ManufacturingT </v>
          </cell>
        </row>
        <row r="761">
          <cell r="B761">
            <v>33441</v>
          </cell>
          <cell r="C761" t="str">
            <v xml:space="preserve">Semiconductor and Other Electronic Component ManufacturingT </v>
          </cell>
        </row>
        <row r="762">
          <cell r="B762">
            <v>334412</v>
          </cell>
          <cell r="C762" t="str">
            <v xml:space="preserve">Bare Printed Circuit Board Manufacturing  </v>
          </cell>
        </row>
        <row r="763">
          <cell r="B763">
            <v>334413</v>
          </cell>
          <cell r="C763" t="str">
            <v xml:space="preserve">Semiconductor and Related Device Manufacturing </v>
          </cell>
        </row>
        <row r="764">
          <cell r="B764">
            <v>334416</v>
          </cell>
          <cell r="C764" t="str">
            <v xml:space="preserve">Capacitor, Resistor, Coil, Transformer, and Other Inductor Manufacturing </v>
          </cell>
        </row>
        <row r="765">
          <cell r="B765">
            <v>334417</v>
          </cell>
          <cell r="C765" t="str">
            <v xml:space="preserve">Electronic Connector Manufacturing </v>
          </cell>
        </row>
        <row r="766">
          <cell r="B766">
            <v>334418</v>
          </cell>
          <cell r="C766" t="str">
            <v xml:space="preserve">Printed Circuit Assembly (Electronic Assembly) Manufacturing </v>
          </cell>
        </row>
        <row r="767">
          <cell r="B767">
            <v>334419</v>
          </cell>
          <cell r="C767" t="str">
            <v xml:space="preserve">Other Electronic Component Manufacturing </v>
          </cell>
        </row>
        <row r="768">
          <cell r="B768">
            <v>3345</v>
          </cell>
          <cell r="C768" t="str">
            <v xml:space="preserve">Navigational, Measuring, Electromedical, and Control Instruments ManufacturingT </v>
          </cell>
        </row>
        <row r="769">
          <cell r="B769">
            <v>33451</v>
          </cell>
          <cell r="C769" t="str">
            <v xml:space="preserve">Navigational, Measuring, Electromedical, and Control Instruments ManufacturingT </v>
          </cell>
        </row>
        <row r="770">
          <cell r="B770">
            <v>334510</v>
          </cell>
          <cell r="C770" t="str">
            <v xml:space="preserve">Electromedical and Electrotherapeutic Apparatus Manufacturing </v>
          </cell>
        </row>
        <row r="771">
          <cell r="B771">
            <v>334511</v>
          </cell>
          <cell r="C771" t="str">
            <v xml:space="preserve">Search, Detection, Navigation, Guidance, Aeronautical, and Nautical System and Instrument Manufacturing </v>
          </cell>
        </row>
        <row r="772">
          <cell r="B772">
            <v>334512</v>
          </cell>
          <cell r="C772" t="str">
            <v xml:space="preserve">Automatic Environmental Control Manufacturing for Residential, Commercial, and Appliance Use </v>
          </cell>
        </row>
        <row r="773">
          <cell r="B773">
            <v>334513</v>
          </cell>
          <cell r="C773" t="str">
            <v xml:space="preserve">Instruments and Related Products Manufacturing for Measuring, Displaying, and Controlling Industrial Process Variables </v>
          </cell>
        </row>
        <row r="774">
          <cell r="B774">
            <v>334514</v>
          </cell>
          <cell r="C774" t="str">
            <v xml:space="preserve">Totalizing Fluid Meter and Counting Device Manufacturing </v>
          </cell>
        </row>
        <row r="775">
          <cell r="B775">
            <v>334515</v>
          </cell>
          <cell r="C775" t="str">
            <v xml:space="preserve">Instrument Manufacturing for Measuring and Testing Electricity and Electrical Signals </v>
          </cell>
        </row>
        <row r="776">
          <cell r="B776">
            <v>334516</v>
          </cell>
          <cell r="C776" t="str">
            <v xml:space="preserve">Analytical Laboratory Instrument Manufacturing </v>
          </cell>
        </row>
        <row r="777">
          <cell r="B777">
            <v>334517</v>
          </cell>
          <cell r="C777" t="str">
            <v xml:space="preserve">Irradiation Apparatus Manufacturing </v>
          </cell>
        </row>
        <row r="778">
          <cell r="B778">
            <v>334519</v>
          </cell>
          <cell r="C778" t="str">
            <v xml:space="preserve">Other Measuring and Controlling Device Manufacturing </v>
          </cell>
        </row>
        <row r="779">
          <cell r="B779">
            <v>3346</v>
          </cell>
          <cell r="C779" t="str">
            <v xml:space="preserve">Manufacturing and Reproducing Magnetic and Optical MediaT </v>
          </cell>
        </row>
        <row r="780">
          <cell r="B780">
            <v>33461</v>
          </cell>
          <cell r="C780" t="str">
            <v xml:space="preserve">Manufacturing and Reproducing Magnetic and Optical MediaT </v>
          </cell>
        </row>
        <row r="781">
          <cell r="B781">
            <v>334610</v>
          </cell>
          <cell r="C781" t="str">
            <v xml:space="preserve">Manufacturing and Reproducing Magnetic and Optical Media </v>
          </cell>
        </row>
        <row r="782">
          <cell r="B782">
            <v>335</v>
          </cell>
          <cell r="C782" t="str">
            <v xml:space="preserve">Electrical Equipment, Appliance, and Component ManufacturingT </v>
          </cell>
        </row>
        <row r="783">
          <cell r="B783">
            <v>3351</v>
          </cell>
          <cell r="C783" t="str">
            <v xml:space="preserve">Electric Lighting Equipment ManufacturingT </v>
          </cell>
        </row>
        <row r="784">
          <cell r="B784">
            <v>33513</v>
          </cell>
          <cell r="C784" t="str">
            <v xml:space="preserve">Electric Lighting Equipment ManufacturingT </v>
          </cell>
        </row>
        <row r="785">
          <cell r="B785">
            <v>335131</v>
          </cell>
          <cell r="C785" t="str">
            <v xml:space="preserve">Residential Electric Lighting Fixture Manufacturing </v>
          </cell>
        </row>
        <row r="786">
          <cell r="B786">
            <v>335132</v>
          </cell>
          <cell r="C786" t="str">
            <v xml:space="preserve">Commercial, Industrial, and Institutional Electric Lighting Fixture Manufacturing </v>
          </cell>
        </row>
        <row r="787">
          <cell r="B787">
            <v>335139</v>
          </cell>
          <cell r="C787" t="str">
            <v xml:space="preserve">Electric Lamp Bulb and Other Lighting Equipment Manufacturing </v>
          </cell>
        </row>
        <row r="788">
          <cell r="B788">
            <v>3352</v>
          </cell>
          <cell r="C788" t="str">
            <v xml:space="preserve">Household Appliance ManufacturingT </v>
          </cell>
        </row>
        <row r="789">
          <cell r="B789">
            <v>33521</v>
          </cell>
          <cell r="C789" t="str">
            <v xml:space="preserve">Small Electrical Appliance ManufacturingT </v>
          </cell>
        </row>
        <row r="790">
          <cell r="B790">
            <v>335210</v>
          </cell>
          <cell r="C790" t="str">
            <v>Small Electrical Appliance Manufacturing</v>
          </cell>
        </row>
        <row r="791">
          <cell r="B791">
            <v>33522</v>
          </cell>
          <cell r="C791" t="str">
            <v xml:space="preserve">Major Household Appliance ManufacturingT </v>
          </cell>
        </row>
        <row r="792">
          <cell r="B792">
            <v>335220</v>
          </cell>
          <cell r="C792" t="str">
            <v xml:space="preserve">Major Household Appliance Manufacturing </v>
          </cell>
        </row>
        <row r="793">
          <cell r="B793">
            <v>3353</v>
          </cell>
          <cell r="C793" t="str">
            <v xml:space="preserve">Electrical Equipment ManufacturingT </v>
          </cell>
        </row>
        <row r="794">
          <cell r="B794">
            <v>33531</v>
          </cell>
          <cell r="C794" t="str">
            <v xml:space="preserve">Electrical Equipment ManufacturingT </v>
          </cell>
        </row>
        <row r="795">
          <cell r="B795">
            <v>335311</v>
          </cell>
          <cell r="C795" t="str">
            <v xml:space="preserve">Power, Distribution, and Specialty Transformer Manufacturing </v>
          </cell>
        </row>
        <row r="796">
          <cell r="B796">
            <v>335312</v>
          </cell>
          <cell r="C796" t="str">
            <v xml:space="preserve">Motor and Generator Manufacturing </v>
          </cell>
        </row>
        <row r="797">
          <cell r="B797">
            <v>335313</v>
          </cell>
          <cell r="C797" t="str">
            <v xml:space="preserve">Switchgear and Switchboard Apparatus Manufacturing </v>
          </cell>
        </row>
        <row r="798">
          <cell r="B798">
            <v>335314</v>
          </cell>
          <cell r="C798" t="str">
            <v xml:space="preserve">Relay and Industrial Control Manufacturing </v>
          </cell>
        </row>
        <row r="799">
          <cell r="B799">
            <v>3359</v>
          </cell>
          <cell r="C799" t="str">
            <v xml:space="preserve">Other Electrical Equipment and Component ManufacturingT </v>
          </cell>
        </row>
        <row r="800">
          <cell r="B800">
            <v>33591</v>
          </cell>
          <cell r="C800" t="str">
            <v xml:space="preserve">Battery ManufacturingT </v>
          </cell>
        </row>
        <row r="801">
          <cell r="B801">
            <v>335910</v>
          </cell>
          <cell r="C801" t="str">
            <v xml:space="preserve">Battery Manufacturing </v>
          </cell>
        </row>
        <row r="802">
          <cell r="B802">
            <v>33592</v>
          </cell>
          <cell r="C802" t="str">
            <v xml:space="preserve">Communication and Energy Wire and Cable ManufacturingT </v>
          </cell>
        </row>
        <row r="803">
          <cell r="B803">
            <v>335921</v>
          </cell>
          <cell r="C803" t="str">
            <v xml:space="preserve">Fiber Optic Cable Manufacturing </v>
          </cell>
        </row>
        <row r="804">
          <cell r="B804">
            <v>335929</v>
          </cell>
          <cell r="C804" t="str">
            <v xml:space="preserve">Other Communication and Energy Wire Manufacturing </v>
          </cell>
        </row>
        <row r="805">
          <cell r="B805">
            <v>33593</v>
          </cell>
          <cell r="C805" t="str">
            <v xml:space="preserve">Wiring Device ManufacturingT </v>
          </cell>
        </row>
        <row r="806">
          <cell r="B806">
            <v>335931</v>
          </cell>
          <cell r="C806" t="str">
            <v xml:space="preserve">Current-Carrying Wiring Device Manufacturing </v>
          </cell>
        </row>
        <row r="807">
          <cell r="B807">
            <v>335932</v>
          </cell>
          <cell r="C807" t="str">
            <v xml:space="preserve">Noncurrent-Carrying Wiring Device Manufacturing </v>
          </cell>
        </row>
        <row r="808">
          <cell r="B808">
            <v>33599</v>
          </cell>
          <cell r="C808" t="str">
            <v xml:space="preserve">All Other Electrical Equipment and Component ManufacturingT </v>
          </cell>
        </row>
        <row r="809">
          <cell r="B809">
            <v>335991</v>
          </cell>
          <cell r="C809" t="str">
            <v xml:space="preserve">Carbon and Graphite Product Manufacturing </v>
          </cell>
        </row>
        <row r="810">
          <cell r="B810">
            <v>335999</v>
          </cell>
          <cell r="C810" t="str">
            <v xml:space="preserve">All Other Miscellaneous Electrical Equipment and Component Manufacturing </v>
          </cell>
        </row>
        <row r="811">
          <cell r="B811">
            <v>336</v>
          </cell>
          <cell r="C811" t="str">
            <v xml:space="preserve">Transportation Equipment ManufacturingT </v>
          </cell>
        </row>
        <row r="812">
          <cell r="B812">
            <v>3361</v>
          </cell>
          <cell r="C812" t="str">
            <v xml:space="preserve">Motor Vehicle ManufacturingT </v>
          </cell>
        </row>
        <row r="813">
          <cell r="B813">
            <v>33611</v>
          </cell>
          <cell r="C813" t="str">
            <v xml:space="preserve">Automobile and Light Duty Motor Vehicle ManufacturingT </v>
          </cell>
        </row>
        <row r="814">
          <cell r="B814">
            <v>336110</v>
          </cell>
          <cell r="C814" t="str">
            <v xml:space="preserve">Automobile and Light Duty Motor Vehicle Manufacturing </v>
          </cell>
        </row>
        <row r="815">
          <cell r="B815">
            <v>33612</v>
          </cell>
          <cell r="C815" t="str">
            <v xml:space="preserve">Heavy Duty Truck ManufacturingT </v>
          </cell>
        </row>
        <row r="816">
          <cell r="B816">
            <v>336120</v>
          </cell>
          <cell r="C816" t="str">
            <v>Heavy Duty Truck Manufacturing</v>
          </cell>
        </row>
        <row r="817">
          <cell r="B817">
            <v>3362</v>
          </cell>
          <cell r="C817" t="str">
            <v xml:space="preserve">Motor Vehicle Body and Trailer ManufacturingT </v>
          </cell>
        </row>
        <row r="818">
          <cell r="B818">
            <v>33621</v>
          </cell>
          <cell r="C818" t="str">
            <v xml:space="preserve">Motor Vehicle Body and Trailer ManufacturingT </v>
          </cell>
        </row>
        <row r="819">
          <cell r="B819">
            <v>336211</v>
          </cell>
          <cell r="C819" t="str">
            <v xml:space="preserve">Motor Vehicle Body Manufacturing </v>
          </cell>
        </row>
        <row r="820">
          <cell r="B820">
            <v>336212</v>
          </cell>
          <cell r="C820" t="str">
            <v xml:space="preserve">Truck Trailer Manufacturing </v>
          </cell>
        </row>
        <row r="821">
          <cell r="B821">
            <v>336213</v>
          </cell>
          <cell r="C821" t="str">
            <v xml:space="preserve">Motor Home Manufacturing </v>
          </cell>
        </row>
        <row r="822">
          <cell r="B822">
            <v>336214</v>
          </cell>
          <cell r="C822" t="str">
            <v xml:space="preserve">Travel Trailer and Camper Manufacturing </v>
          </cell>
        </row>
        <row r="823">
          <cell r="B823">
            <v>3363</v>
          </cell>
          <cell r="C823" t="str">
            <v xml:space="preserve">Motor Vehicle Parts ManufacturingT </v>
          </cell>
        </row>
        <row r="824">
          <cell r="B824">
            <v>33631</v>
          </cell>
          <cell r="C824" t="str">
            <v xml:space="preserve">Motor Vehicle Gasoline Engine and Engine Parts ManufacturingT </v>
          </cell>
        </row>
        <row r="825">
          <cell r="B825">
            <v>336310</v>
          </cell>
          <cell r="C825" t="str">
            <v>Motor Vehicle Gasoline Engine and Engine Parts Manufacturing</v>
          </cell>
        </row>
        <row r="826">
          <cell r="B826">
            <v>33632</v>
          </cell>
          <cell r="C826" t="str">
            <v xml:space="preserve">Motor Vehicle Electrical and Electronic Equipment ManufacturingT </v>
          </cell>
        </row>
        <row r="827">
          <cell r="B827">
            <v>336320</v>
          </cell>
          <cell r="C827" t="str">
            <v>Motor Vehicle Electrical and Electronic Equipment Manufacturing</v>
          </cell>
        </row>
        <row r="828">
          <cell r="B828">
            <v>33633</v>
          </cell>
          <cell r="C828" t="str">
            <v xml:space="preserve">Motor Vehicle Steering and Suspension Components (except Spring) ManufacturingT </v>
          </cell>
        </row>
        <row r="829">
          <cell r="B829">
            <v>336330</v>
          </cell>
          <cell r="C829" t="str">
            <v>Motor Vehicle Steering and Suspension Components (except Spring) Manufacturing</v>
          </cell>
        </row>
        <row r="830">
          <cell r="B830">
            <v>33634</v>
          </cell>
          <cell r="C830" t="str">
            <v xml:space="preserve">Motor Vehicle Brake System ManufacturingT </v>
          </cell>
        </row>
        <row r="831">
          <cell r="B831">
            <v>336340</v>
          </cell>
          <cell r="C831" t="str">
            <v>Motor Vehicle Brake System Manufacturing</v>
          </cell>
        </row>
        <row r="832">
          <cell r="B832">
            <v>33635</v>
          </cell>
          <cell r="C832" t="str">
            <v xml:space="preserve">Motor Vehicle Transmission and Power Train Parts ManufacturingT </v>
          </cell>
        </row>
        <row r="833">
          <cell r="B833">
            <v>336350</v>
          </cell>
          <cell r="C833" t="str">
            <v>Motor Vehicle Transmission and Power Train Parts Manufacturing</v>
          </cell>
        </row>
        <row r="834">
          <cell r="B834">
            <v>33636</v>
          </cell>
          <cell r="C834" t="str">
            <v xml:space="preserve">Motor Vehicle Seating and Interior Trim ManufacturingT </v>
          </cell>
        </row>
        <row r="835">
          <cell r="B835">
            <v>336360</v>
          </cell>
          <cell r="C835" t="str">
            <v>Motor Vehicle Seating and Interior Trim Manufacturing</v>
          </cell>
        </row>
        <row r="836">
          <cell r="B836">
            <v>33637</v>
          </cell>
          <cell r="C836" t="str">
            <v xml:space="preserve">Motor Vehicle Metal StampingT </v>
          </cell>
        </row>
        <row r="837">
          <cell r="B837">
            <v>336370</v>
          </cell>
          <cell r="C837" t="str">
            <v>Motor Vehicle Metal Stamping</v>
          </cell>
        </row>
        <row r="838">
          <cell r="B838">
            <v>33639</v>
          </cell>
          <cell r="C838" t="str">
            <v xml:space="preserve">Other Motor Vehicle Parts ManufacturingT </v>
          </cell>
        </row>
        <row r="839">
          <cell r="B839">
            <v>336390</v>
          </cell>
          <cell r="C839" t="str">
            <v>Other Motor Vehicle Parts Manufacturing</v>
          </cell>
        </row>
        <row r="840">
          <cell r="B840">
            <v>3364</v>
          </cell>
          <cell r="C840" t="str">
            <v xml:space="preserve">Aerospace Product and Parts ManufacturingT </v>
          </cell>
        </row>
        <row r="841">
          <cell r="B841">
            <v>33641</v>
          </cell>
          <cell r="C841" t="str">
            <v xml:space="preserve">Aerospace Product and Parts ManufacturingT </v>
          </cell>
        </row>
        <row r="842">
          <cell r="B842">
            <v>336411</v>
          </cell>
          <cell r="C842" t="str">
            <v xml:space="preserve">Aircraft Manufacturing </v>
          </cell>
        </row>
        <row r="843">
          <cell r="B843">
            <v>336412</v>
          </cell>
          <cell r="C843" t="str">
            <v xml:space="preserve">Aircraft Engine and Engine Parts Manufacturing </v>
          </cell>
        </row>
        <row r="844">
          <cell r="B844">
            <v>336413</v>
          </cell>
          <cell r="C844" t="str">
            <v xml:space="preserve">Other Aircraft Parts and Auxiliary Equipment Manufacturing </v>
          </cell>
        </row>
        <row r="845">
          <cell r="B845">
            <v>336414</v>
          </cell>
          <cell r="C845" t="str">
            <v xml:space="preserve">Guided Missile and Space Vehicle Manufacturing </v>
          </cell>
        </row>
        <row r="846">
          <cell r="B846">
            <v>336415</v>
          </cell>
          <cell r="C846" t="str">
            <v xml:space="preserve">Guided Missile and Space Vehicle Propulsion Unit and Propulsion Unit Parts Manufacturing </v>
          </cell>
        </row>
        <row r="847">
          <cell r="B847">
            <v>336419</v>
          </cell>
          <cell r="C847" t="str">
            <v xml:space="preserve">Other Guided Missile and Space Vehicle Parts and Auxiliary Equipment Manufacturing </v>
          </cell>
        </row>
        <row r="848">
          <cell r="B848">
            <v>3365</v>
          </cell>
          <cell r="C848" t="str">
            <v xml:space="preserve">Railroad Rolling Stock ManufacturingT </v>
          </cell>
        </row>
        <row r="849">
          <cell r="B849">
            <v>33651</v>
          </cell>
          <cell r="C849" t="str">
            <v xml:space="preserve">Railroad Rolling Stock ManufacturingT </v>
          </cell>
        </row>
        <row r="850">
          <cell r="B850">
            <v>336510</v>
          </cell>
          <cell r="C850" t="str">
            <v>Railroad Rolling Stock Manufacturing</v>
          </cell>
        </row>
        <row r="851">
          <cell r="B851">
            <v>3366</v>
          </cell>
          <cell r="C851" t="str">
            <v xml:space="preserve">Ship and Boat BuildingT </v>
          </cell>
        </row>
        <row r="852">
          <cell r="B852">
            <v>33661</v>
          </cell>
          <cell r="C852" t="str">
            <v xml:space="preserve">Ship and Boat BuildingT </v>
          </cell>
        </row>
        <row r="853">
          <cell r="B853">
            <v>336611</v>
          </cell>
          <cell r="C853" t="str">
            <v xml:space="preserve">Ship Building and Repairing </v>
          </cell>
        </row>
        <row r="854">
          <cell r="B854">
            <v>336612</v>
          </cell>
          <cell r="C854" t="str">
            <v xml:space="preserve">Boat Building </v>
          </cell>
        </row>
        <row r="855">
          <cell r="B855">
            <v>3369</v>
          </cell>
          <cell r="C855" t="str">
            <v xml:space="preserve">Other Transportation Equipment ManufacturingT </v>
          </cell>
        </row>
        <row r="856">
          <cell r="B856">
            <v>33699</v>
          </cell>
          <cell r="C856" t="str">
            <v xml:space="preserve">Other Transportation Equipment ManufacturingT </v>
          </cell>
        </row>
        <row r="857">
          <cell r="B857">
            <v>336991</v>
          </cell>
          <cell r="C857" t="str">
            <v xml:space="preserve">Motorcycle, Bicycle, and Parts Manufacturing </v>
          </cell>
        </row>
        <row r="858">
          <cell r="B858">
            <v>336992</v>
          </cell>
          <cell r="C858" t="str">
            <v xml:space="preserve">Military Armored Vehicle, Tank, and Tank Component Manufacturing </v>
          </cell>
        </row>
        <row r="859">
          <cell r="B859">
            <v>336999</v>
          </cell>
          <cell r="C859" t="str">
            <v xml:space="preserve">All Other Transportation Equipment Manufacturing </v>
          </cell>
        </row>
        <row r="860">
          <cell r="B860">
            <v>337</v>
          </cell>
          <cell r="C860" t="str">
            <v xml:space="preserve">Furniture and Related Product ManufacturingT </v>
          </cell>
        </row>
        <row r="861">
          <cell r="B861">
            <v>3371</v>
          </cell>
          <cell r="C861" t="str">
            <v xml:space="preserve">Household and Institutional Furniture and Kitchen Cabinet ManufacturingT </v>
          </cell>
        </row>
        <row r="862">
          <cell r="B862">
            <v>33711</v>
          </cell>
          <cell r="C862" t="str">
            <v xml:space="preserve">Wood Kitchen Cabinet and Countertop ManufacturingT </v>
          </cell>
        </row>
        <row r="863">
          <cell r="B863">
            <v>337110</v>
          </cell>
          <cell r="C863" t="str">
            <v>Wood Kitchen Cabinet and Countertop Manufacturing</v>
          </cell>
        </row>
        <row r="864">
          <cell r="B864">
            <v>33712</v>
          </cell>
          <cell r="C864" t="str">
            <v xml:space="preserve">Household and Institutional Furniture ManufacturingT </v>
          </cell>
        </row>
        <row r="865">
          <cell r="B865">
            <v>337121</v>
          </cell>
          <cell r="C865" t="str">
            <v xml:space="preserve">Upholstered Household Furniture Manufacturing </v>
          </cell>
        </row>
        <row r="866">
          <cell r="B866">
            <v>337122</v>
          </cell>
          <cell r="C866" t="str">
            <v xml:space="preserve">Nonupholstered Wood Household Furniture Manufacturing </v>
          </cell>
        </row>
        <row r="867">
          <cell r="B867">
            <v>337126</v>
          </cell>
          <cell r="C867" t="str">
            <v xml:space="preserve">Household Furniture (except Wood and Upholstered) Manufacturing </v>
          </cell>
        </row>
        <row r="868">
          <cell r="B868">
            <v>337127</v>
          </cell>
          <cell r="C868" t="str">
            <v xml:space="preserve">Institutional Furniture Manufacturing </v>
          </cell>
        </row>
        <row r="869">
          <cell r="B869">
            <v>3372</v>
          </cell>
          <cell r="C869" t="str">
            <v xml:space="preserve">Office Furniture (including Fixtures) ManufacturingT </v>
          </cell>
        </row>
        <row r="870">
          <cell r="B870">
            <v>33721</v>
          </cell>
          <cell r="C870" t="str">
            <v xml:space="preserve">Office Furniture (including Fixtures) ManufacturingT </v>
          </cell>
        </row>
        <row r="871">
          <cell r="B871">
            <v>337211</v>
          </cell>
          <cell r="C871" t="str">
            <v xml:space="preserve">Wood Office Furniture Manufacturing </v>
          </cell>
        </row>
        <row r="872">
          <cell r="B872">
            <v>337212</v>
          </cell>
          <cell r="C872" t="str">
            <v xml:space="preserve">Custom Architectural Woodwork and Millwork Manufacturing </v>
          </cell>
        </row>
        <row r="873">
          <cell r="B873">
            <v>337214</v>
          </cell>
          <cell r="C873" t="str">
            <v xml:space="preserve">Office Furniture (except Wood) Manufacturing </v>
          </cell>
        </row>
        <row r="874">
          <cell r="B874">
            <v>337215</v>
          </cell>
          <cell r="C874" t="str">
            <v xml:space="preserve">Showcase, Partition, Shelving, and Locker Manufacturing </v>
          </cell>
        </row>
        <row r="875">
          <cell r="B875">
            <v>3379</v>
          </cell>
          <cell r="C875" t="str">
            <v xml:space="preserve">Other Furniture Related Product ManufacturingT </v>
          </cell>
        </row>
        <row r="876">
          <cell r="B876">
            <v>33791</v>
          </cell>
          <cell r="C876" t="str">
            <v xml:space="preserve">Mattress ManufacturingT </v>
          </cell>
        </row>
        <row r="877">
          <cell r="B877">
            <v>337910</v>
          </cell>
          <cell r="C877" t="str">
            <v>Mattress Manufacturing</v>
          </cell>
        </row>
        <row r="878">
          <cell r="B878">
            <v>33792</v>
          </cell>
          <cell r="C878" t="str">
            <v xml:space="preserve">Blind and Shade ManufacturingT </v>
          </cell>
        </row>
        <row r="879">
          <cell r="B879">
            <v>337920</v>
          </cell>
          <cell r="C879" t="str">
            <v>Blind and Shade Manufacturing</v>
          </cell>
        </row>
        <row r="880">
          <cell r="B880">
            <v>339</v>
          </cell>
          <cell r="C880" t="str">
            <v xml:space="preserve">Miscellaneous ManufacturingT </v>
          </cell>
        </row>
        <row r="881">
          <cell r="B881">
            <v>3391</v>
          </cell>
          <cell r="C881" t="str">
            <v xml:space="preserve">Medical Equipment and Supplies ManufacturingT </v>
          </cell>
        </row>
        <row r="882">
          <cell r="B882">
            <v>33911</v>
          </cell>
          <cell r="C882" t="str">
            <v xml:space="preserve">Medical Equipment and Supplies ManufacturingT </v>
          </cell>
        </row>
        <row r="883">
          <cell r="B883">
            <v>339112</v>
          </cell>
          <cell r="C883" t="str">
            <v xml:space="preserve">Surgical and Medical Instrument Manufacturing </v>
          </cell>
        </row>
        <row r="884">
          <cell r="B884">
            <v>339113</v>
          </cell>
          <cell r="C884" t="str">
            <v xml:space="preserve">Surgical Appliance and Supplies Manufacturing </v>
          </cell>
        </row>
        <row r="885">
          <cell r="B885">
            <v>339114</v>
          </cell>
          <cell r="C885" t="str">
            <v xml:space="preserve">Dental Equipment and Supplies Manufacturing </v>
          </cell>
        </row>
        <row r="886">
          <cell r="B886">
            <v>339115</v>
          </cell>
          <cell r="C886" t="str">
            <v xml:space="preserve">Ophthalmic Goods Manufacturing </v>
          </cell>
        </row>
        <row r="887">
          <cell r="B887">
            <v>339116</v>
          </cell>
          <cell r="C887" t="str">
            <v xml:space="preserve">Dental Laboratories </v>
          </cell>
        </row>
        <row r="888">
          <cell r="B888">
            <v>3399</v>
          </cell>
          <cell r="C888" t="str">
            <v xml:space="preserve">Other Miscellaneous ManufacturingT </v>
          </cell>
        </row>
        <row r="889">
          <cell r="B889">
            <v>33991</v>
          </cell>
          <cell r="C889" t="str">
            <v xml:space="preserve">Jewelry and Silverware ManufacturingT </v>
          </cell>
        </row>
        <row r="890">
          <cell r="B890">
            <v>339910</v>
          </cell>
          <cell r="C890" t="str">
            <v xml:space="preserve">Jewelry and Silverware Manufacturing </v>
          </cell>
        </row>
        <row r="891">
          <cell r="B891">
            <v>33992</v>
          </cell>
          <cell r="C891" t="str">
            <v xml:space="preserve">Sporting and Athletic Goods ManufacturingT </v>
          </cell>
        </row>
        <row r="892">
          <cell r="B892">
            <v>339920</v>
          </cell>
          <cell r="C892" t="str">
            <v>Sporting and Athletic Goods Manufacturing</v>
          </cell>
        </row>
        <row r="893">
          <cell r="B893">
            <v>33993</v>
          </cell>
          <cell r="C893" t="str">
            <v xml:space="preserve">Doll, Toy, and Game ManufacturingT </v>
          </cell>
        </row>
        <row r="894">
          <cell r="B894">
            <v>339930</v>
          </cell>
          <cell r="C894" t="str">
            <v>Doll, Toy, and Game Manufacturing</v>
          </cell>
        </row>
        <row r="895">
          <cell r="B895">
            <v>33994</v>
          </cell>
          <cell r="C895" t="str">
            <v xml:space="preserve">Office Supplies (except Paper) ManufacturingT </v>
          </cell>
        </row>
        <row r="896">
          <cell r="B896">
            <v>339940</v>
          </cell>
          <cell r="C896" t="str">
            <v>Office Supplies (except Paper) Manufacturing</v>
          </cell>
        </row>
        <row r="897">
          <cell r="B897">
            <v>33995</v>
          </cell>
          <cell r="C897" t="str">
            <v xml:space="preserve">Sign ManufacturingT </v>
          </cell>
        </row>
        <row r="898">
          <cell r="B898">
            <v>339950</v>
          </cell>
          <cell r="C898" t="str">
            <v>Sign Manufacturing</v>
          </cell>
        </row>
        <row r="899">
          <cell r="B899">
            <v>33999</v>
          </cell>
          <cell r="C899" t="str">
            <v xml:space="preserve">All Other Miscellaneous ManufacturingT </v>
          </cell>
        </row>
        <row r="900">
          <cell r="B900">
            <v>339991</v>
          </cell>
          <cell r="C900" t="str">
            <v xml:space="preserve">Gasket, Packing, and Sealing Device Manufacturing </v>
          </cell>
        </row>
        <row r="901">
          <cell r="B901">
            <v>339992</v>
          </cell>
          <cell r="C901" t="str">
            <v xml:space="preserve">Musical Instrument Manufacturing </v>
          </cell>
        </row>
        <row r="902">
          <cell r="B902">
            <v>339993</v>
          </cell>
          <cell r="C902" t="str">
            <v xml:space="preserve">Fastener, Button, Needle, and Pin Manufacturing </v>
          </cell>
        </row>
        <row r="903">
          <cell r="B903">
            <v>339994</v>
          </cell>
          <cell r="C903" t="str">
            <v xml:space="preserve">Broom, Brush, and Mop Manufacturing </v>
          </cell>
        </row>
        <row r="904">
          <cell r="B904">
            <v>339995</v>
          </cell>
          <cell r="C904" t="str">
            <v xml:space="preserve">Burial Casket Manufacturing </v>
          </cell>
        </row>
        <row r="905">
          <cell r="B905">
            <v>339999</v>
          </cell>
          <cell r="C905" t="str">
            <v xml:space="preserve">All Other Miscellaneous Manufacturing </v>
          </cell>
        </row>
        <row r="907">
          <cell r="B907">
            <v>42</v>
          </cell>
          <cell r="C907" t="str">
            <v>Wholesale TradeT</v>
          </cell>
        </row>
        <row r="908">
          <cell r="B908">
            <v>423</v>
          </cell>
          <cell r="C908" t="str">
            <v xml:space="preserve">Merchant Wholesalers, Durable Goods </v>
          </cell>
        </row>
        <row r="909">
          <cell r="B909">
            <v>4231</v>
          </cell>
          <cell r="C909" t="str">
            <v xml:space="preserve">Motor Vehicle and Motor Vehicle Parts and Supplies Merchant Wholesalers </v>
          </cell>
        </row>
        <row r="910">
          <cell r="B910">
            <v>42311</v>
          </cell>
          <cell r="C910" t="str">
            <v xml:space="preserve">Automobile and Other Motor Vehicle Merchant Wholesalers </v>
          </cell>
        </row>
        <row r="911">
          <cell r="B911">
            <v>423110</v>
          </cell>
          <cell r="C911" t="str">
            <v xml:space="preserve">Automobile and Other Motor Vehicle Merchant Wholesalers </v>
          </cell>
        </row>
        <row r="912">
          <cell r="B912">
            <v>42312</v>
          </cell>
          <cell r="C912" t="str">
            <v xml:space="preserve">Motor Vehicle Supplies and New Parts Merchant Wholesalers </v>
          </cell>
        </row>
        <row r="913">
          <cell r="B913">
            <v>423120</v>
          </cell>
          <cell r="C913" t="str">
            <v xml:space="preserve">Motor Vehicle Supplies and New Parts Merchant Wholesalers </v>
          </cell>
        </row>
        <row r="914">
          <cell r="B914">
            <v>42313</v>
          </cell>
          <cell r="C914" t="str">
            <v xml:space="preserve">Tire and Tube Merchant Wholesalers </v>
          </cell>
        </row>
        <row r="915">
          <cell r="B915">
            <v>423130</v>
          </cell>
          <cell r="C915" t="str">
            <v xml:space="preserve">Tire and Tube Merchant Wholesalers </v>
          </cell>
        </row>
        <row r="916">
          <cell r="B916">
            <v>42314</v>
          </cell>
          <cell r="C916" t="str">
            <v xml:space="preserve">Motor Vehicle Parts (Used) Merchant Wholesalers </v>
          </cell>
        </row>
        <row r="917">
          <cell r="B917">
            <v>423140</v>
          </cell>
          <cell r="C917" t="str">
            <v xml:space="preserve">Motor Vehicle Parts (Used) Merchant Wholesalers </v>
          </cell>
        </row>
        <row r="918">
          <cell r="B918">
            <v>4232</v>
          </cell>
          <cell r="C918" t="str">
            <v xml:space="preserve">Furniture and Home Furnishing Merchant Wholesalers </v>
          </cell>
        </row>
        <row r="919">
          <cell r="B919">
            <v>42321</v>
          </cell>
          <cell r="C919" t="str">
            <v xml:space="preserve">Furniture Merchant Wholesalers </v>
          </cell>
        </row>
        <row r="920">
          <cell r="B920">
            <v>423210</v>
          </cell>
          <cell r="C920" t="str">
            <v xml:space="preserve">Furniture Merchant Wholesalers </v>
          </cell>
        </row>
        <row r="921">
          <cell r="B921">
            <v>42322</v>
          </cell>
          <cell r="C921" t="str">
            <v xml:space="preserve">Home Furnishing Merchant Wholesalers </v>
          </cell>
        </row>
        <row r="922">
          <cell r="B922">
            <v>423220</v>
          </cell>
          <cell r="C922" t="str">
            <v xml:space="preserve">Home Furnishing Merchant Wholesalers </v>
          </cell>
        </row>
        <row r="923">
          <cell r="B923">
            <v>4233</v>
          </cell>
          <cell r="C923" t="str">
            <v xml:space="preserve">Lumber and Other Construction Materials Merchant Wholesalers </v>
          </cell>
        </row>
        <row r="924">
          <cell r="B924">
            <v>42331</v>
          </cell>
          <cell r="C924" t="str">
            <v xml:space="preserve">Lumber, Plywood, Millwork, and Wood Panel Merchant Wholesalers </v>
          </cell>
        </row>
        <row r="925">
          <cell r="B925">
            <v>423310</v>
          </cell>
          <cell r="C925" t="str">
            <v xml:space="preserve">Lumber, Plywood, Millwork, and Wood Panel Merchant Wholesalers </v>
          </cell>
        </row>
        <row r="926">
          <cell r="B926">
            <v>42332</v>
          </cell>
          <cell r="C926" t="str">
            <v xml:space="preserve">Brick, Stone, and Related Construction Material Merchant Wholesalers </v>
          </cell>
        </row>
        <row r="927">
          <cell r="B927">
            <v>423320</v>
          </cell>
          <cell r="C927" t="str">
            <v xml:space="preserve">Brick, Stone, and Related Construction Material Merchant Wholesalers </v>
          </cell>
        </row>
        <row r="928">
          <cell r="B928">
            <v>42333</v>
          </cell>
          <cell r="C928" t="str">
            <v xml:space="preserve">Roofing, Siding, and Insulation Material Merchant Wholesalers </v>
          </cell>
        </row>
        <row r="929">
          <cell r="B929">
            <v>423330</v>
          </cell>
          <cell r="C929" t="str">
            <v xml:space="preserve">Roofing, Siding, and Insulation Material Merchant Wholesalers </v>
          </cell>
        </row>
        <row r="930">
          <cell r="B930">
            <v>42339</v>
          </cell>
          <cell r="C930" t="str">
            <v xml:space="preserve">Other Construction Material Merchant Wholesalers </v>
          </cell>
        </row>
        <row r="931">
          <cell r="B931">
            <v>423390</v>
          </cell>
          <cell r="C931" t="str">
            <v xml:space="preserve">Other Construction Material Merchant Wholesalers </v>
          </cell>
        </row>
        <row r="932">
          <cell r="B932">
            <v>4234</v>
          </cell>
          <cell r="C932" t="str">
            <v xml:space="preserve">Professional and Commercial Equipment and Supplies Merchant Wholesalers </v>
          </cell>
        </row>
        <row r="933">
          <cell r="B933">
            <v>42341</v>
          </cell>
          <cell r="C933" t="str">
            <v xml:space="preserve">Photographic Equipment and Supplies Merchant Wholesalers </v>
          </cell>
        </row>
        <row r="934">
          <cell r="B934">
            <v>423410</v>
          </cell>
          <cell r="C934" t="str">
            <v xml:space="preserve">Photographic Equipment and Supplies Merchant Wholesalers </v>
          </cell>
        </row>
        <row r="935">
          <cell r="B935">
            <v>42342</v>
          </cell>
          <cell r="C935" t="str">
            <v xml:space="preserve">Office Equipment Merchant Wholesalers </v>
          </cell>
        </row>
        <row r="936">
          <cell r="B936">
            <v>423420</v>
          </cell>
          <cell r="C936" t="str">
            <v xml:space="preserve">Office Equipment Merchant Wholesalers </v>
          </cell>
        </row>
        <row r="937">
          <cell r="B937">
            <v>42343</v>
          </cell>
          <cell r="C937" t="str">
            <v xml:space="preserve">Computer and Computer Peripheral Equipment and Software Merchant Wholesalers </v>
          </cell>
        </row>
        <row r="938">
          <cell r="B938">
            <v>423430</v>
          </cell>
          <cell r="C938" t="str">
            <v xml:space="preserve">Computer and Computer Peripheral Equipment and Software Merchant Wholesalers </v>
          </cell>
        </row>
        <row r="939">
          <cell r="B939">
            <v>42344</v>
          </cell>
          <cell r="C939" t="str">
            <v xml:space="preserve">Other Commercial Equipment Merchant Wholesalers </v>
          </cell>
        </row>
        <row r="940">
          <cell r="B940">
            <v>423440</v>
          </cell>
          <cell r="C940" t="str">
            <v xml:space="preserve">Other Commercial Equipment Merchant Wholesalers </v>
          </cell>
        </row>
        <row r="941">
          <cell r="B941">
            <v>42345</v>
          </cell>
          <cell r="C941" t="str">
            <v xml:space="preserve">Medical, Dental, and Hospital Equipment and Supplies Merchant Wholesalers </v>
          </cell>
        </row>
        <row r="942">
          <cell r="B942">
            <v>423450</v>
          </cell>
          <cell r="C942" t="str">
            <v xml:space="preserve">Medical, Dental, and Hospital Equipment and Supplies Merchant Wholesalers </v>
          </cell>
        </row>
        <row r="943">
          <cell r="B943">
            <v>42346</v>
          </cell>
          <cell r="C943" t="str">
            <v xml:space="preserve">Ophthalmic Goods Merchant Wholesalers </v>
          </cell>
        </row>
        <row r="944">
          <cell r="B944">
            <v>423460</v>
          </cell>
          <cell r="C944" t="str">
            <v xml:space="preserve">Ophthalmic Goods Merchant Wholesalers </v>
          </cell>
        </row>
        <row r="945">
          <cell r="B945">
            <v>42349</v>
          </cell>
          <cell r="C945" t="str">
            <v xml:space="preserve">Other Professional Equipment and Supplies Merchant Wholesalers </v>
          </cell>
        </row>
        <row r="946">
          <cell r="B946">
            <v>423490</v>
          </cell>
          <cell r="C946" t="str">
            <v xml:space="preserve">Other Professional Equipment and Supplies Merchant Wholesalers </v>
          </cell>
        </row>
        <row r="947">
          <cell r="B947">
            <v>4235</v>
          </cell>
          <cell r="C947" t="str">
            <v xml:space="preserve">Metal and Mineral (except Petroleum) Merchant Wholesalers </v>
          </cell>
        </row>
        <row r="948">
          <cell r="B948">
            <v>42351</v>
          </cell>
          <cell r="C948" t="str">
            <v xml:space="preserve">Metal Service Centers and Other Metal Merchant Wholesalers </v>
          </cell>
        </row>
        <row r="949">
          <cell r="B949">
            <v>423510</v>
          </cell>
          <cell r="C949" t="str">
            <v xml:space="preserve">Metal Service Centers and Other Metal Merchant Wholesalers </v>
          </cell>
        </row>
        <row r="950">
          <cell r="B950">
            <v>42352</v>
          </cell>
          <cell r="C950" t="str">
            <v xml:space="preserve">Coal and Other Mineral and Ore Merchant Wholesalers </v>
          </cell>
        </row>
        <row r="951">
          <cell r="B951">
            <v>423520</v>
          </cell>
          <cell r="C951" t="str">
            <v xml:space="preserve">Coal and Other Mineral and Ore Merchant Wholesalers </v>
          </cell>
        </row>
        <row r="952">
          <cell r="B952">
            <v>4236</v>
          </cell>
          <cell r="C952" t="str">
            <v xml:space="preserve">Household Appliances and Electrical and Electronic Goods Merchant Wholesalers </v>
          </cell>
        </row>
        <row r="953">
          <cell r="B953">
            <v>42361</v>
          </cell>
          <cell r="C953" t="str">
            <v xml:space="preserve">Electrical Apparatus and Equipment, Wiring Supplies, and Related Equipment Merchant Wholesalers </v>
          </cell>
        </row>
        <row r="954">
          <cell r="B954">
            <v>423610</v>
          </cell>
          <cell r="C954" t="str">
            <v xml:space="preserve">Electrical Apparatus and Equipment, Wiring Supplies, and Related Equipment Merchant Wholesalers </v>
          </cell>
        </row>
        <row r="955">
          <cell r="B955">
            <v>42362</v>
          </cell>
          <cell r="C955" t="str">
            <v xml:space="preserve">Household Appliances, Electric Housewares, and Consumer Electronics Merchant Wholesalers </v>
          </cell>
        </row>
        <row r="956">
          <cell r="B956">
            <v>423620</v>
          </cell>
          <cell r="C956" t="str">
            <v xml:space="preserve">Household Appliances, Electric Housewares, and Consumer Electronics Merchant Wholesalers </v>
          </cell>
        </row>
        <row r="957">
          <cell r="B957">
            <v>42369</v>
          </cell>
          <cell r="C957" t="str">
            <v xml:space="preserve">Other Electronic Parts and Equipment Merchant Wholesalers </v>
          </cell>
        </row>
        <row r="958">
          <cell r="B958">
            <v>423690</v>
          </cell>
          <cell r="C958" t="str">
            <v xml:space="preserve">Other Electronic Parts and Equipment Merchant Wholesalers </v>
          </cell>
        </row>
        <row r="959">
          <cell r="B959">
            <v>4237</v>
          </cell>
          <cell r="C959" t="str">
            <v xml:space="preserve">Hardware, and Plumbing and Heating Equipment and Supplies Merchant Wholesalers </v>
          </cell>
        </row>
        <row r="960">
          <cell r="B960">
            <v>42371</v>
          </cell>
          <cell r="C960" t="str">
            <v xml:space="preserve">Hardware Merchant Wholesalers </v>
          </cell>
        </row>
        <row r="961">
          <cell r="B961">
            <v>423710</v>
          </cell>
          <cell r="C961" t="str">
            <v xml:space="preserve">Hardware Merchant Wholesalers </v>
          </cell>
        </row>
        <row r="962">
          <cell r="B962">
            <v>42372</v>
          </cell>
          <cell r="C962" t="str">
            <v xml:space="preserve">Plumbing and Heating Equipment and Supplies (Hydronics) Merchant Wholesalers </v>
          </cell>
        </row>
        <row r="963">
          <cell r="B963">
            <v>423720</v>
          </cell>
          <cell r="C963" t="str">
            <v xml:space="preserve">Plumbing and Heating Equipment and Supplies (Hydronics) Merchant Wholesalers </v>
          </cell>
        </row>
        <row r="964">
          <cell r="B964">
            <v>42373</v>
          </cell>
          <cell r="C964" t="str">
            <v xml:space="preserve">Warm Air Heating and Air-Conditioning Equipment and Supplies Merchant Wholesalers </v>
          </cell>
        </row>
        <row r="965">
          <cell r="B965">
            <v>423730</v>
          </cell>
          <cell r="C965" t="str">
            <v xml:space="preserve">Warm Air Heating and Air-Conditioning Equipment and Supplies Merchant Wholesalers </v>
          </cell>
        </row>
        <row r="966">
          <cell r="B966">
            <v>42374</v>
          </cell>
          <cell r="C966" t="str">
            <v xml:space="preserve">Refrigeration Equipment and Supplies Merchant Wholesalers </v>
          </cell>
        </row>
        <row r="967">
          <cell r="B967">
            <v>423740</v>
          </cell>
          <cell r="C967" t="str">
            <v xml:space="preserve">Refrigeration Equipment and Supplies Merchant Wholesalers </v>
          </cell>
        </row>
        <row r="968">
          <cell r="B968">
            <v>4238</v>
          </cell>
          <cell r="C968" t="str">
            <v xml:space="preserve">Machinery, Equipment, and Supplies Merchant Wholesalers </v>
          </cell>
        </row>
        <row r="969">
          <cell r="B969">
            <v>42381</v>
          </cell>
          <cell r="C969" t="str">
            <v xml:space="preserve">Construction and Mining (except Oil Well) Machinery and Equipment Merchant Wholesalers </v>
          </cell>
        </row>
        <row r="970">
          <cell r="B970">
            <v>423810</v>
          </cell>
          <cell r="C970" t="str">
            <v xml:space="preserve">Construction and Mining (except Oil Well) Machinery and Equipment Merchant Wholesalers </v>
          </cell>
        </row>
        <row r="971">
          <cell r="B971">
            <v>42382</v>
          </cell>
          <cell r="C971" t="str">
            <v xml:space="preserve">Farm and Garden Machinery and Equipment Merchant Wholesalers </v>
          </cell>
        </row>
        <row r="972">
          <cell r="B972">
            <v>423820</v>
          </cell>
          <cell r="C972" t="str">
            <v xml:space="preserve">Farm and Garden Machinery and Equipment Merchant Wholesalers </v>
          </cell>
        </row>
        <row r="973">
          <cell r="B973">
            <v>42383</v>
          </cell>
          <cell r="C973" t="str">
            <v xml:space="preserve">Industrial Machinery and Equipment Merchant Wholesalers </v>
          </cell>
        </row>
        <row r="974">
          <cell r="B974">
            <v>423830</v>
          </cell>
          <cell r="C974" t="str">
            <v xml:space="preserve">Industrial Machinery and Equipment Merchant Wholesalers </v>
          </cell>
        </row>
        <row r="975">
          <cell r="B975">
            <v>42384</v>
          </cell>
          <cell r="C975" t="str">
            <v xml:space="preserve">Industrial Supplies Merchant Wholesalers </v>
          </cell>
        </row>
        <row r="976">
          <cell r="B976">
            <v>423840</v>
          </cell>
          <cell r="C976" t="str">
            <v>Industrial Supplies Merchant Wholesalers</v>
          </cell>
        </row>
        <row r="977">
          <cell r="B977">
            <v>42385</v>
          </cell>
          <cell r="C977" t="str">
            <v xml:space="preserve">Service Establishment Equipment and Supplies Merchant Wholesalers </v>
          </cell>
        </row>
        <row r="978">
          <cell r="B978">
            <v>423850</v>
          </cell>
          <cell r="C978" t="str">
            <v xml:space="preserve">Service Establishment Equipment and Supplies Merchant Wholesalers </v>
          </cell>
        </row>
        <row r="979">
          <cell r="B979">
            <v>42386</v>
          </cell>
          <cell r="C979" t="str">
            <v xml:space="preserve">Transportation Equipment and Supplies (except Motor Vehicle) Merchant Wholesalers </v>
          </cell>
        </row>
        <row r="980">
          <cell r="B980">
            <v>423860</v>
          </cell>
          <cell r="C980" t="str">
            <v xml:space="preserve">Transportation Equipment and Supplies (except Motor Vehicle) Merchant Wholesalers </v>
          </cell>
        </row>
        <row r="981">
          <cell r="B981">
            <v>4239</v>
          </cell>
          <cell r="C981" t="str">
            <v xml:space="preserve">Miscellaneous Durable Goods Merchant Wholesalers </v>
          </cell>
        </row>
        <row r="982">
          <cell r="B982">
            <v>42391</v>
          </cell>
          <cell r="C982" t="str">
            <v>Sporting and Recreational Goods and Supplies Merchant Wholesalers</v>
          </cell>
        </row>
        <row r="983">
          <cell r="B983">
            <v>423910</v>
          </cell>
          <cell r="C983" t="str">
            <v xml:space="preserve">Sporting and Recreational Goods and Supplies Merchant Wholesalers </v>
          </cell>
        </row>
        <row r="984">
          <cell r="B984">
            <v>42392</v>
          </cell>
          <cell r="C984" t="str">
            <v xml:space="preserve">Toy and Hobby Goods and Supplies Merchant Wholesalers </v>
          </cell>
        </row>
        <row r="985">
          <cell r="B985">
            <v>423920</v>
          </cell>
          <cell r="C985" t="str">
            <v xml:space="preserve">Toy and Hobby Goods and Supplies Merchant Wholesalers </v>
          </cell>
        </row>
        <row r="986">
          <cell r="B986">
            <v>42393</v>
          </cell>
          <cell r="C986" t="str">
            <v xml:space="preserve">Recyclable Material Merchant Wholesalers </v>
          </cell>
        </row>
        <row r="987">
          <cell r="B987">
            <v>423930</v>
          </cell>
          <cell r="C987" t="str">
            <v xml:space="preserve">Recyclable Material Merchant Wholesalers </v>
          </cell>
        </row>
        <row r="988">
          <cell r="B988">
            <v>42394</v>
          </cell>
          <cell r="C988" t="str">
            <v xml:space="preserve">Jewelry, Watch, Precious Stone, and Precious Metal Merchant Wholesalers </v>
          </cell>
        </row>
        <row r="989">
          <cell r="B989">
            <v>423940</v>
          </cell>
          <cell r="C989" t="str">
            <v xml:space="preserve">Jewelry, Watch, Precious Stone, and Precious Metal Merchant Wholesalers </v>
          </cell>
        </row>
        <row r="990">
          <cell r="B990">
            <v>42399</v>
          </cell>
          <cell r="C990" t="str">
            <v xml:space="preserve">Other Miscellaneous Durable Goods Merchant Wholesalers </v>
          </cell>
        </row>
        <row r="991">
          <cell r="B991">
            <v>423990</v>
          </cell>
          <cell r="C991" t="str">
            <v xml:space="preserve">Other Miscellaneous Durable Goods Merchant Wholesalers </v>
          </cell>
        </row>
        <row r="992">
          <cell r="B992">
            <v>424</v>
          </cell>
          <cell r="C992" t="str">
            <v xml:space="preserve">Merchant Wholesalers, Nondurable Goods </v>
          </cell>
        </row>
        <row r="993">
          <cell r="B993">
            <v>4241</v>
          </cell>
          <cell r="C993" t="str">
            <v xml:space="preserve">Paper and Paper Product Merchant Wholesalers </v>
          </cell>
        </row>
        <row r="994">
          <cell r="B994">
            <v>42411</v>
          </cell>
          <cell r="C994" t="str">
            <v xml:space="preserve">Printing and Writing Paper Merchant Wholesalers </v>
          </cell>
        </row>
        <row r="995">
          <cell r="B995">
            <v>424110</v>
          </cell>
          <cell r="C995" t="str">
            <v xml:space="preserve">Printing and Writing Paper Merchant Wholesalers </v>
          </cell>
        </row>
        <row r="996">
          <cell r="B996">
            <v>42412</v>
          </cell>
          <cell r="C996" t="str">
            <v xml:space="preserve">Stationery and Office Supplies Merchant Wholesalers </v>
          </cell>
        </row>
        <row r="997">
          <cell r="B997">
            <v>424120</v>
          </cell>
          <cell r="C997" t="str">
            <v xml:space="preserve">Stationery and Office Supplies Merchant Wholesalers </v>
          </cell>
        </row>
        <row r="998">
          <cell r="B998">
            <v>42413</v>
          </cell>
          <cell r="C998" t="str">
            <v xml:space="preserve">Industrial and Personal Service Paper Merchant Wholesalers </v>
          </cell>
        </row>
        <row r="999">
          <cell r="B999">
            <v>424130</v>
          </cell>
          <cell r="C999" t="str">
            <v xml:space="preserve">Industrial and Personal Service Paper Merchant Wholesalers </v>
          </cell>
        </row>
        <row r="1000">
          <cell r="B1000">
            <v>4242</v>
          </cell>
          <cell r="C1000" t="str">
            <v xml:space="preserve">Drugs and Druggists' Sundries Merchant Wholesalers </v>
          </cell>
        </row>
        <row r="1001">
          <cell r="B1001">
            <v>42421</v>
          </cell>
          <cell r="C1001" t="str">
            <v xml:space="preserve">Drugs and Druggists' Sundries Merchant Wholesalers </v>
          </cell>
        </row>
        <row r="1002">
          <cell r="B1002">
            <v>424210</v>
          </cell>
          <cell r="C1002" t="str">
            <v xml:space="preserve">Drugs and Druggists' Sundries Merchant Wholesalers </v>
          </cell>
        </row>
        <row r="1003">
          <cell r="B1003">
            <v>4243</v>
          </cell>
          <cell r="C1003" t="str">
            <v xml:space="preserve">Apparel, Piece Goods, and Notions Merchant Wholesalers </v>
          </cell>
        </row>
        <row r="1004">
          <cell r="B1004">
            <v>42431</v>
          </cell>
          <cell r="C1004" t="str">
            <v xml:space="preserve">Piece Goods, Notions, and Other Dry Goods Merchant Wholesalers </v>
          </cell>
        </row>
        <row r="1005">
          <cell r="B1005">
            <v>424310</v>
          </cell>
          <cell r="C1005" t="str">
            <v xml:space="preserve">Piece Goods, Notions, and Other Dry Goods Merchant Wholesalers </v>
          </cell>
        </row>
        <row r="1006">
          <cell r="B1006">
            <v>42434</v>
          </cell>
          <cell r="C1006" t="str">
            <v xml:space="preserve">Footwear Merchant Wholesalers </v>
          </cell>
        </row>
        <row r="1007">
          <cell r="B1007">
            <v>424340</v>
          </cell>
          <cell r="C1007" t="str">
            <v xml:space="preserve">Footwear Merchant Wholesalers </v>
          </cell>
        </row>
        <row r="1008">
          <cell r="B1008">
            <v>42435</v>
          </cell>
          <cell r="C1008" t="str">
            <v>Clothing and Clothing Accessories Merchant Wholesalers</v>
          </cell>
        </row>
        <row r="1009">
          <cell r="B1009">
            <v>424350</v>
          </cell>
          <cell r="C1009" t="str">
            <v>Clothing and Clothing Accessories Merchant Wholesalers</v>
          </cell>
        </row>
        <row r="1010">
          <cell r="B1010">
            <v>4244</v>
          </cell>
          <cell r="C1010" t="str">
            <v xml:space="preserve">Grocery and Related Product Merchant Wholesalers </v>
          </cell>
        </row>
        <row r="1011">
          <cell r="B1011">
            <v>42441</v>
          </cell>
          <cell r="C1011" t="str">
            <v xml:space="preserve">General Line Grocery Merchant Wholesalers </v>
          </cell>
        </row>
        <row r="1012">
          <cell r="B1012">
            <v>424410</v>
          </cell>
          <cell r="C1012" t="str">
            <v xml:space="preserve">General Line Grocery Merchant Wholesalers </v>
          </cell>
        </row>
        <row r="1013">
          <cell r="B1013">
            <v>42442</v>
          </cell>
          <cell r="C1013" t="str">
            <v xml:space="preserve">Packaged Frozen Food Merchant Wholesalers </v>
          </cell>
        </row>
        <row r="1014">
          <cell r="B1014">
            <v>424420</v>
          </cell>
          <cell r="C1014" t="str">
            <v xml:space="preserve">Packaged Frozen Food Merchant Wholesalers </v>
          </cell>
        </row>
        <row r="1015">
          <cell r="B1015">
            <v>42443</v>
          </cell>
          <cell r="C1015" t="str">
            <v xml:space="preserve">Dairy Product (except Dried or Canned) Merchant Wholesalers </v>
          </cell>
        </row>
        <row r="1016">
          <cell r="B1016">
            <v>424430</v>
          </cell>
          <cell r="C1016" t="str">
            <v xml:space="preserve">Dairy Product (except Dried or Canned) Merchant Wholesalers </v>
          </cell>
        </row>
        <row r="1017">
          <cell r="B1017">
            <v>42444</v>
          </cell>
          <cell r="C1017" t="str">
            <v xml:space="preserve">Poultry and Poultry Product Merchant Wholesalers </v>
          </cell>
        </row>
        <row r="1018">
          <cell r="B1018">
            <v>424440</v>
          </cell>
          <cell r="C1018" t="str">
            <v xml:space="preserve">Poultry and Poultry Product Merchant Wholesalers </v>
          </cell>
        </row>
        <row r="1019">
          <cell r="B1019">
            <v>42445</v>
          </cell>
          <cell r="C1019" t="str">
            <v xml:space="preserve">Confectionery Merchant Wholesalers </v>
          </cell>
        </row>
        <row r="1020">
          <cell r="B1020">
            <v>424450</v>
          </cell>
          <cell r="C1020" t="str">
            <v xml:space="preserve">Confectionery Merchant Wholesalers </v>
          </cell>
        </row>
        <row r="1021">
          <cell r="B1021">
            <v>42446</v>
          </cell>
          <cell r="C1021" t="str">
            <v xml:space="preserve">Fish and Seafood Merchant Wholesalers </v>
          </cell>
        </row>
        <row r="1022">
          <cell r="B1022">
            <v>424460</v>
          </cell>
          <cell r="C1022" t="str">
            <v xml:space="preserve">Fish and Seafood Merchant Wholesalers </v>
          </cell>
        </row>
        <row r="1023">
          <cell r="B1023">
            <v>42447</v>
          </cell>
          <cell r="C1023" t="str">
            <v xml:space="preserve">Meat and Meat Product Merchant Wholesalers </v>
          </cell>
        </row>
        <row r="1024">
          <cell r="B1024">
            <v>424470</v>
          </cell>
          <cell r="C1024" t="str">
            <v xml:space="preserve">Meat and Meat Product Merchant Wholesalers </v>
          </cell>
        </row>
        <row r="1025">
          <cell r="B1025">
            <v>42448</v>
          </cell>
          <cell r="C1025" t="str">
            <v xml:space="preserve">Fresh Fruit and Vegetable Merchant Wholesalers </v>
          </cell>
        </row>
        <row r="1026">
          <cell r="B1026">
            <v>424480</v>
          </cell>
          <cell r="C1026" t="str">
            <v xml:space="preserve">Fresh Fruit and Vegetable Merchant Wholesalers </v>
          </cell>
        </row>
        <row r="1027">
          <cell r="B1027">
            <v>42449</v>
          </cell>
          <cell r="C1027" t="str">
            <v xml:space="preserve">Other Grocery and Related Products Merchant Wholesalers </v>
          </cell>
        </row>
        <row r="1028">
          <cell r="B1028">
            <v>424490</v>
          </cell>
          <cell r="C1028" t="str">
            <v xml:space="preserve">Other Grocery and Related Products Merchant Wholesalers </v>
          </cell>
        </row>
        <row r="1029">
          <cell r="B1029">
            <v>4245</v>
          </cell>
          <cell r="C1029" t="str">
            <v xml:space="preserve">Farm Product Raw Material Merchant Wholesalers </v>
          </cell>
        </row>
        <row r="1030">
          <cell r="B1030">
            <v>42451</v>
          </cell>
          <cell r="C1030" t="str">
            <v xml:space="preserve">Grain and Field Bean Merchant Wholesalers </v>
          </cell>
        </row>
        <row r="1031">
          <cell r="B1031">
            <v>424510</v>
          </cell>
          <cell r="C1031" t="str">
            <v xml:space="preserve">Grain and Field Bean Merchant Wholesalers </v>
          </cell>
        </row>
        <row r="1032">
          <cell r="B1032">
            <v>42452</v>
          </cell>
          <cell r="C1032" t="str">
            <v xml:space="preserve">Livestock Merchant Wholesalers </v>
          </cell>
        </row>
        <row r="1033">
          <cell r="B1033">
            <v>424520</v>
          </cell>
          <cell r="C1033" t="str">
            <v xml:space="preserve">Livestock Merchant Wholesalers </v>
          </cell>
        </row>
        <row r="1034">
          <cell r="B1034">
            <v>42459</v>
          </cell>
          <cell r="C1034" t="str">
            <v xml:space="preserve">Other Farm Product Raw Material Merchant Wholesalers </v>
          </cell>
        </row>
        <row r="1035">
          <cell r="B1035">
            <v>424590</v>
          </cell>
          <cell r="C1035" t="str">
            <v xml:space="preserve">Other Farm Product Raw Material Merchant Wholesalers </v>
          </cell>
        </row>
        <row r="1036">
          <cell r="B1036">
            <v>4246</v>
          </cell>
          <cell r="C1036" t="str">
            <v xml:space="preserve">Chemical and Allied Products Merchant Wholesalers </v>
          </cell>
        </row>
        <row r="1037">
          <cell r="B1037">
            <v>42461</v>
          </cell>
          <cell r="C1037" t="str">
            <v xml:space="preserve">Plastics Materials and Basic Forms and Shapes Merchant Wholesalers </v>
          </cell>
        </row>
        <row r="1038">
          <cell r="B1038">
            <v>424610</v>
          </cell>
          <cell r="C1038" t="str">
            <v xml:space="preserve">Plastics Materials and Basic Forms and Shapes Merchant Wholesalers </v>
          </cell>
        </row>
        <row r="1039">
          <cell r="B1039">
            <v>42469</v>
          </cell>
          <cell r="C1039" t="str">
            <v xml:space="preserve">Other Chemical and Allied Products Merchant Wholesalers </v>
          </cell>
        </row>
        <row r="1040">
          <cell r="B1040">
            <v>424690</v>
          </cell>
          <cell r="C1040" t="str">
            <v xml:space="preserve">Other Chemical and Allied Products Merchant Wholesalers </v>
          </cell>
        </row>
        <row r="1041">
          <cell r="B1041">
            <v>4247</v>
          </cell>
          <cell r="C1041" t="str">
            <v xml:space="preserve">Petroleum and Petroleum Products Merchant Wholesalers </v>
          </cell>
        </row>
        <row r="1042">
          <cell r="B1042">
            <v>42471</v>
          </cell>
          <cell r="C1042" t="str">
            <v xml:space="preserve">Petroleum Bulk Stations and Terminals </v>
          </cell>
        </row>
        <row r="1043">
          <cell r="B1043">
            <v>424710</v>
          </cell>
          <cell r="C1043" t="str">
            <v xml:space="preserve">Petroleum Bulk Stations and Terminals </v>
          </cell>
        </row>
        <row r="1044">
          <cell r="B1044">
            <v>42472</v>
          </cell>
          <cell r="C1044" t="str">
            <v xml:space="preserve">Petroleum and Petroleum Products Merchant Wholesalers (except Bulk Stations and Terminals) </v>
          </cell>
        </row>
        <row r="1045">
          <cell r="B1045">
            <v>424720</v>
          </cell>
          <cell r="C1045" t="str">
            <v xml:space="preserve">Petroleum and Petroleum Products Merchant Wholesalers (except Bulk Stations and Terminals) </v>
          </cell>
        </row>
        <row r="1046">
          <cell r="B1046">
            <v>4248</v>
          </cell>
          <cell r="C1046" t="str">
            <v xml:space="preserve">Beer, Wine, and Distilled Alcoholic Beverage Merchant Wholesalers </v>
          </cell>
        </row>
        <row r="1047">
          <cell r="B1047">
            <v>42481</v>
          </cell>
          <cell r="C1047" t="str">
            <v xml:space="preserve">Beer and Ale Merchant Wholesalers </v>
          </cell>
        </row>
        <row r="1048">
          <cell r="B1048">
            <v>424810</v>
          </cell>
          <cell r="C1048" t="str">
            <v xml:space="preserve">Beer and Ale Merchant Wholesalers </v>
          </cell>
        </row>
        <row r="1049">
          <cell r="B1049">
            <v>42482</v>
          </cell>
          <cell r="C1049" t="str">
            <v xml:space="preserve">Wine and Distilled Alcoholic Beverage Merchant Wholesalers </v>
          </cell>
        </row>
        <row r="1050">
          <cell r="B1050">
            <v>424820</v>
          </cell>
          <cell r="C1050" t="str">
            <v xml:space="preserve">Wine and Distilled Alcoholic Beverage Merchant Wholesalers </v>
          </cell>
        </row>
        <row r="1051">
          <cell r="B1051">
            <v>4249</v>
          </cell>
          <cell r="C1051" t="str">
            <v xml:space="preserve">Miscellaneous Nondurable Goods Merchant Wholesalers </v>
          </cell>
        </row>
        <row r="1052">
          <cell r="B1052">
            <v>42491</v>
          </cell>
          <cell r="C1052" t="str">
            <v xml:space="preserve">Farm Supplies Merchant Wholesalers </v>
          </cell>
        </row>
        <row r="1053">
          <cell r="B1053">
            <v>424910</v>
          </cell>
          <cell r="C1053" t="str">
            <v xml:space="preserve">Farm Supplies Merchant Wholesalers </v>
          </cell>
        </row>
        <row r="1054">
          <cell r="B1054">
            <v>42492</v>
          </cell>
          <cell r="C1054" t="str">
            <v xml:space="preserve">Book, Periodical, and Newspaper Merchant Wholesalers </v>
          </cell>
        </row>
        <row r="1055">
          <cell r="B1055">
            <v>424920</v>
          </cell>
          <cell r="C1055" t="str">
            <v xml:space="preserve">Book, Periodical, and Newspaper Merchant Wholesalers </v>
          </cell>
        </row>
        <row r="1056">
          <cell r="B1056">
            <v>42493</v>
          </cell>
          <cell r="C1056" t="str">
            <v xml:space="preserve">Flower, Nursery Stock, and Florists' Supplies Merchant Wholesalers </v>
          </cell>
        </row>
        <row r="1057">
          <cell r="B1057">
            <v>424930</v>
          </cell>
          <cell r="C1057" t="str">
            <v xml:space="preserve">Flower, Nursery Stock, and Florists' Supplies Merchant Wholesalers </v>
          </cell>
        </row>
        <row r="1058">
          <cell r="B1058">
            <v>42494</v>
          </cell>
          <cell r="C1058" t="str">
            <v xml:space="preserve">Tobacco Product and Electronic Cigarette Merchant Wholesalers </v>
          </cell>
        </row>
        <row r="1059">
          <cell r="B1059">
            <v>424940</v>
          </cell>
          <cell r="C1059" t="str">
            <v xml:space="preserve">Tobacco Product and Electronic Cigarette Merchant Wholesalers </v>
          </cell>
        </row>
        <row r="1060">
          <cell r="B1060">
            <v>42495</v>
          </cell>
          <cell r="C1060" t="str">
            <v xml:space="preserve">Paint, Varnish, and Supplies Merchant Wholesalers </v>
          </cell>
        </row>
        <row r="1061">
          <cell r="B1061">
            <v>424950</v>
          </cell>
          <cell r="C1061" t="str">
            <v xml:space="preserve">Paint, Varnish, and Supplies Merchant Wholesalers </v>
          </cell>
        </row>
        <row r="1062">
          <cell r="B1062">
            <v>42499</v>
          </cell>
          <cell r="C1062" t="str">
            <v xml:space="preserve">Other Miscellaneous Nondurable Goods Merchant Wholesalers </v>
          </cell>
        </row>
        <row r="1063">
          <cell r="B1063">
            <v>424990</v>
          </cell>
          <cell r="C1063" t="str">
            <v xml:space="preserve">Other Miscellaneous Nondurable Goods Merchant Wholesalers </v>
          </cell>
        </row>
        <row r="1064">
          <cell r="B1064">
            <v>425</v>
          </cell>
          <cell r="C1064" t="str">
            <v xml:space="preserve">Wholesale Trade Agents and Brokers </v>
          </cell>
        </row>
        <row r="1065">
          <cell r="B1065">
            <v>4251</v>
          </cell>
          <cell r="C1065" t="str">
            <v xml:space="preserve">Wholesale Trade Agents and Brokers </v>
          </cell>
        </row>
        <row r="1066">
          <cell r="B1066">
            <v>42512</v>
          </cell>
          <cell r="C1066" t="str">
            <v xml:space="preserve">Wholesale Trade Agents and Brokers </v>
          </cell>
        </row>
        <row r="1067">
          <cell r="B1067">
            <v>425120</v>
          </cell>
          <cell r="C1067" t="str">
            <v xml:space="preserve">Wholesale Trade Agents and Brokers </v>
          </cell>
        </row>
        <row r="1069">
          <cell r="B1069" t="str">
            <v>44-45</v>
          </cell>
          <cell r="C1069" t="str">
            <v>Retail TradeT</v>
          </cell>
        </row>
        <row r="1070">
          <cell r="B1070">
            <v>441</v>
          </cell>
          <cell r="C1070" t="str">
            <v xml:space="preserve">Motor Vehicle and Parts Dealers </v>
          </cell>
        </row>
        <row r="1071">
          <cell r="B1071">
            <v>4411</v>
          </cell>
          <cell r="C1071" t="str">
            <v xml:space="preserve">Automobile Dealers </v>
          </cell>
        </row>
        <row r="1072">
          <cell r="B1072">
            <v>44111</v>
          </cell>
          <cell r="C1072" t="str">
            <v xml:space="preserve">New Car Dealers </v>
          </cell>
        </row>
        <row r="1073">
          <cell r="B1073">
            <v>441110</v>
          </cell>
          <cell r="C1073" t="str">
            <v xml:space="preserve">New Car Dealers </v>
          </cell>
        </row>
        <row r="1074">
          <cell r="B1074">
            <v>44112</v>
          </cell>
          <cell r="C1074" t="str">
            <v xml:space="preserve">Used Car Dealers </v>
          </cell>
        </row>
        <row r="1075">
          <cell r="B1075">
            <v>441120</v>
          </cell>
          <cell r="C1075" t="str">
            <v xml:space="preserve">Used Car Dealers </v>
          </cell>
        </row>
        <row r="1076">
          <cell r="B1076">
            <v>4412</v>
          </cell>
          <cell r="C1076" t="str">
            <v xml:space="preserve">Other Motor Vehicle Dealers </v>
          </cell>
        </row>
        <row r="1077">
          <cell r="B1077">
            <v>44121</v>
          </cell>
          <cell r="C1077" t="str">
            <v xml:space="preserve">Recreational Vehicle Dealers </v>
          </cell>
        </row>
        <row r="1078">
          <cell r="B1078">
            <v>441210</v>
          </cell>
          <cell r="C1078" t="str">
            <v xml:space="preserve">Recreational Vehicle Dealers </v>
          </cell>
        </row>
        <row r="1079">
          <cell r="B1079">
            <v>44122</v>
          </cell>
          <cell r="C1079" t="str">
            <v xml:space="preserve">Motorcycle, Boat, and Other Motor Vehicle Dealers </v>
          </cell>
        </row>
        <row r="1080">
          <cell r="B1080">
            <v>441222</v>
          </cell>
          <cell r="C1080" t="str">
            <v xml:space="preserve">Boat Dealers </v>
          </cell>
        </row>
        <row r="1081">
          <cell r="B1081">
            <v>441227</v>
          </cell>
          <cell r="C1081" t="str">
            <v xml:space="preserve">Motorcycle, ATV, and All Other Motor Vehicle Dealers </v>
          </cell>
        </row>
        <row r="1082">
          <cell r="B1082">
            <v>4413</v>
          </cell>
          <cell r="C1082" t="str">
            <v xml:space="preserve">Automotive Parts, Accessories, and Tire Retailers </v>
          </cell>
        </row>
        <row r="1083">
          <cell r="B1083">
            <v>44133</v>
          </cell>
          <cell r="C1083" t="str">
            <v xml:space="preserve">Automotive Parts and Accessories Retailers </v>
          </cell>
        </row>
        <row r="1084">
          <cell r="B1084">
            <v>441330</v>
          </cell>
          <cell r="C1084" t="str">
            <v xml:space="preserve">Automotive Parts and Accessories Retailers </v>
          </cell>
        </row>
        <row r="1085">
          <cell r="B1085">
            <v>44134</v>
          </cell>
          <cell r="C1085" t="str">
            <v xml:space="preserve">Tire Dealers </v>
          </cell>
        </row>
        <row r="1086">
          <cell r="B1086">
            <v>441340</v>
          </cell>
          <cell r="C1086" t="str">
            <v xml:space="preserve">Tire Dealers </v>
          </cell>
        </row>
        <row r="1087">
          <cell r="B1087">
            <v>444</v>
          </cell>
          <cell r="C1087" t="str">
            <v xml:space="preserve">Building Material and Garden Equipment and Supplies Dealers </v>
          </cell>
        </row>
        <row r="1088">
          <cell r="B1088">
            <v>4441</v>
          </cell>
          <cell r="C1088" t="str">
            <v xml:space="preserve">Building Material and Supplies Dealers </v>
          </cell>
        </row>
        <row r="1089">
          <cell r="B1089">
            <v>44411</v>
          </cell>
          <cell r="C1089" t="str">
            <v xml:space="preserve">Home Centers </v>
          </cell>
        </row>
        <row r="1090">
          <cell r="B1090">
            <v>444110</v>
          </cell>
          <cell r="C1090" t="str">
            <v xml:space="preserve">Home Centers </v>
          </cell>
        </row>
        <row r="1091">
          <cell r="B1091">
            <v>44412</v>
          </cell>
          <cell r="C1091" t="str">
            <v xml:space="preserve">Paint and Wallpaper Retailers </v>
          </cell>
        </row>
        <row r="1092">
          <cell r="B1092">
            <v>444120</v>
          </cell>
          <cell r="C1092" t="str">
            <v xml:space="preserve">Paint and Wallpaper Retailers </v>
          </cell>
        </row>
        <row r="1093">
          <cell r="B1093">
            <v>44414</v>
          </cell>
          <cell r="C1093" t="str">
            <v xml:space="preserve">Hardware Retailers </v>
          </cell>
        </row>
        <row r="1094">
          <cell r="B1094">
            <v>444140</v>
          </cell>
          <cell r="C1094" t="str">
            <v xml:space="preserve">Hardware Retailers </v>
          </cell>
        </row>
        <row r="1095">
          <cell r="B1095">
            <v>44418</v>
          </cell>
          <cell r="C1095" t="str">
            <v xml:space="preserve">Other Building Material Dealers </v>
          </cell>
        </row>
        <row r="1096">
          <cell r="B1096">
            <v>444180</v>
          </cell>
          <cell r="C1096" t="str">
            <v xml:space="preserve">Other Building Material Dealers </v>
          </cell>
        </row>
        <row r="1097">
          <cell r="B1097">
            <v>4442</v>
          </cell>
          <cell r="C1097" t="str">
            <v xml:space="preserve">Lawn and Garden Equipment and Supplies Retailers </v>
          </cell>
        </row>
        <row r="1098">
          <cell r="B1098">
            <v>44423</v>
          </cell>
          <cell r="C1098" t="str">
            <v xml:space="preserve">Outdoor Power Equipment Retailers </v>
          </cell>
        </row>
        <row r="1099">
          <cell r="B1099">
            <v>444230</v>
          </cell>
          <cell r="C1099" t="str">
            <v xml:space="preserve">Outdoor Power Equipment Retailers </v>
          </cell>
        </row>
        <row r="1100">
          <cell r="B1100">
            <v>44424</v>
          </cell>
          <cell r="C1100" t="str">
            <v xml:space="preserve">Nursery, Garden Center, and Farm Supply Retailers </v>
          </cell>
        </row>
        <row r="1101">
          <cell r="B1101">
            <v>444240</v>
          </cell>
          <cell r="C1101" t="str">
            <v xml:space="preserve">Nursery, Garden Center, and Farm Supply Retailers </v>
          </cell>
        </row>
        <row r="1102">
          <cell r="B1102">
            <v>445</v>
          </cell>
          <cell r="C1102" t="str">
            <v xml:space="preserve">Food and Beverage Retailers </v>
          </cell>
        </row>
        <row r="1103">
          <cell r="B1103">
            <v>4451</v>
          </cell>
          <cell r="C1103" t="str">
            <v xml:space="preserve">Grocery and Convenience Retailers </v>
          </cell>
        </row>
        <row r="1104">
          <cell r="B1104">
            <v>44511</v>
          </cell>
          <cell r="C1104" t="str">
            <v xml:space="preserve">Supermarkets and Other Grocery Retailers (except Convenience Retailers) </v>
          </cell>
        </row>
        <row r="1105">
          <cell r="B1105">
            <v>445110</v>
          </cell>
          <cell r="C1105" t="str">
            <v xml:space="preserve">Supermarkets and Other Grocery Retailers (except Convenience Retailers) </v>
          </cell>
        </row>
        <row r="1106">
          <cell r="B1106">
            <v>44513</v>
          </cell>
          <cell r="C1106" t="str">
            <v xml:space="preserve">Convenience Retailers and Vending Machine Operators </v>
          </cell>
        </row>
        <row r="1107">
          <cell r="B1107">
            <v>445131</v>
          </cell>
          <cell r="C1107" t="str">
            <v xml:space="preserve">Convenience Retailers </v>
          </cell>
        </row>
        <row r="1108">
          <cell r="B1108">
            <v>445132</v>
          </cell>
          <cell r="C1108" t="str">
            <v xml:space="preserve">Vending Machine Operators </v>
          </cell>
        </row>
        <row r="1109">
          <cell r="B1109">
            <v>4452</v>
          </cell>
          <cell r="C1109" t="str">
            <v xml:space="preserve">Specialty Food Retailers </v>
          </cell>
        </row>
        <row r="1110">
          <cell r="B1110">
            <v>44523</v>
          </cell>
          <cell r="C1110" t="str">
            <v xml:space="preserve">Fruit and Vegetable Retailers </v>
          </cell>
        </row>
        <row r="1111">
          <cell r="B1111">
            <v>445230</v>
          </cell>
          <cell r="C1111" t="str">
            <v xml:space="preserve">Fruit and Vegetable Retailers </v>
          </cell>
        </row>
        <row r="1112">
          <cell r="B1112">
            <v>44524</v>
          </cell>
          <cell r="C1112" t="str">
            <v xml:space="preserve">Meat Retailers </v>
          </cell>
        </row>
        <row r="1113">
          <cell r="B1113">
            <v>445240</v>
          </cell>
          <cell r="C1113" t="str">
            <v xml:space="preserve">Meat Retailers </v>
          </cell>
        </row>
        <row r="1114">
          <cell r="B1114">
            <v>44525</v>
          </cell>
          <cell r="C1114" t="str">
            <v xml:space="preserve">Fish and Seafood Retailers </v>
          </cell>
        </row>
        <row r="1115">
          <cell r="B1115">
            <v>445250</v>
          </cell>
          <cell r="C1115" t="str">
            <v xml:space="preserve">Fish and Seafood Retailers </v>
          </cell>
        </row>
        <row r="1116">
          <cell r="B1116">
            <v>44529</v>
          </cell>
          <cell r="C1116" t="str">
            <v xml:space="preserve">Other Specialty Food Retailers </v>
          </cell>
        </row>
        <row r="1117">
          <cell r="B1117">
            <v>445291</v>
          </cell>
          <cell r="C1117" t="str">
            <v xml:space="preserve">Baked Goods Retailers </v>
          </cell>
        </row>
        <row r="1118">
          <cell r="B1118">
            <v>445292</v>
          </cell>
          <cell r="C1118" t="str">
            <v xml:space="preserve">Confectionery and Nut Retailers </v>
          </cell>
        </row>
        <row r="1119">
          <cell r="B1119">
            <v>445298</v>
          </cell>
          <cell r="C1119" t="str">
            <v xml:space="preserve">All Other Specialty Food Retailers </v>
          </cell>
        </row>
        <row r="1120">
          <cell r="B1120">
            <v>4453</v>
          </cell>
          <cell r="C1120" t="str">
            <v xml:space="preserve">Beer, Wine, and Liquor Retailers </v>
          </cell>
        </row>
        <row r="1121">
          <cell r="B1121">
            <v>44532</v>
          </cell>
          <cell r="C1121" t="str">
            <v xml:space="preserve">Beer, Wine, and Liquor Retailers </v>
          </cell>
        </row>
        <row r="1122">
          <cell r="B1122">
            <v>445320</v>
          </cell>
          <cell r="C1122" t="str">
            <v xml:space="preserve">Beer, Wine, and Liquor Retailers </v>
          </cell>
        </row>
        <row r="1123">
          <cell r="B1123">
            <v>449</v>
          </cell>
          <cell r="C1123" t="str">
            <v xml:space="preserve">Furniture, Home Furnishings, Electronics, and Appliance Retailers </v>
          </cell>
        </row>
        <row r="1124">
          <cell r="B1124">
            <v>4491</v>
          </cell>
          <cell r="C1124" t="str">
            <v xml:space="preserve">Furniture and Home Furnishings Retailers </v>
          </cell>
        </row>
        <row r="1125">
          <cell r="B1125">
            <v>44911</v>
          </cell>
          <cell r="C1125" t="str">
            <v xml:space="preserve">Furniture Retailers </v>
          </cell>
        </row>
        <row r="1126">
          <cell r="B1126">
            <v>449110</v>
          </cell>
          <cell r="C1126" t="str">
            <v xml:space="preserve">Furniture Retailers </v>
          </cell>
        </row>
        <row r="1127">
          <cell r="B1127">
            <v>44912</v>
          </cell>
          <cell r="C1127" t="str">
            <v xml:space="preserve">Home Furnishings Retailers </v>
          </cell>
        </row>
        <row r="1128">
          <cell r="B1128">
            <v>449121</v>
          </cell>
          <cell r="C1128" t="str">
            <v xml:space="preserve">Floor Covering Retailers </v>
          </cell>
        </row>
        <row r="1129">
          <cell r="B1129">
            <v>449122</v>
          </cell>
          <cell r="C1129" t="str">
            <v xml:space="preserve">Window Treatment Retailers </v>
          </cell>
        </row>
        <row r="1130">
          <cell r="B1130">
            <v>449129</v>
          </cell>
          <cell r="C1130" t="str">
            <v xml:space="preserve">All Other Home Furnishings Retailers </v>
          </cell>
        </row>
        <row r="1131">
          <cell r="B1131">
            <v>4492</v>
          </cell>
          <cell r="C1131" t="str">
            <v xml:space="preserve">Electronics and Appliance Retailers </v>
          </cell>
        </row>
        <row r="1132">
          <cell r="B1132">
            <v>44921</v>
          </cell>
          <cell r="C1132" t="str">
            <v xml:space="preserve">Electronics and Appliance Retailers </v>
          </cell>
        </row>
        <row r="1133">
          <cell r="B1133">
            <v>449210</v>
          </cell>
          <cell r="C1133" t="str">
            <v xml:space="preserve">Electronics and Appliance Retailers </v>
          </cell>
        </row>
        <row r="1134">
          <cell r="B1134">
            <v>455</v>
          </cell>
          <cell r="C1134" t="str">
            <v xml:space="preserve">General Merchandise Retailers </v>
          </cell>
        </row>
        <row r="1135">
          <cell r="B1135">
            <v>4551</v>
          </cell>
          <cell r="C1135" t="str">
            <v xml:space="preserve">Department Stores </v>
          </cell>
        </row>
        <row r="1136">
          <cell r="B1136">
            <v>45511</v>
          </cell>
          <cell r="C1136" t="str">
            <v xml:space="preserve">Department Stores </v>
          </cell>
        </row>
        <row r="1137">
          <cell r="B1137">
            <v>455110</v>
          </cell>
          <cell r="C1137" t="str">
            <v xml:space="preserve">Department Stores </v>
          </cell>
        </row>
        <row r="1138">
          <cell r="B1138">
            <v>4552</v>
          </cell>
          <cell r="C1138" t="str">
            <v xml:space="preserve">Warehouse Clubs, Supercenters, and Other General Merchandise Retailers </v>
          </cell>
        </row>
        <row r="1139">
          <cell r="B1139">
            <v>45521</v>
          </cell>
          <cell r="C1139" t="str">
            <v xml:space="preserve">Warehouse Clubs, Supercenters, and Other General Merchandise Retailers </v>
          </cell>
        </row>
        <row r="1140">
          <cell r="B1140">
            <v>455211</v>
          </cell>
          <cell r="C1140" t="str">
            <v xml:space="preserve">Warehouse Clubs and Supercenters </v>
          </cell>
        </row>
        <row r="1141">
          <cell r="B1141">
            <v>455219</v>
          </cell>
          <cell r="C1141" t="str">
            <v xml:space="preserve">All Other General Merchandise Retailers </v>
          </cell>
        </row>
        <row r="1142">
          <cell r="B1142">
            <v>456</v>
          </cell>
          <cell r="C1142" t="str">
            <v xml:space="preserve">Health and Personal Care Retailers </v>
          </cell>
        </row>
        <row r="1143">
          <cell r="B1143">
            <v>4561</v>
          </cell>
          <cell r="C1143" t="str">
            <v xml:space="preserve">Health and Personal Care Retailers </v>
          </cell>
        </row>
        <row r="1144">
          <cell r="B1144">
            <v>45611</v>
          </cell>
          <cell r="C1144" t="str">
            <v xml:space="preserve">Pharmacies and Drug Retailers </v>
          </cell>
        </row>
        <row r="1145">
          <cell r="B1145">
            <v>456110</v>
          </cell>
          <cell r="C1145" t="str">
            <v xml:space="preserve">Pharmacies and Drug Retailers </v>
          </cell>
        </row>
        <row r="1146">
          <cell r="B1146">
            <v>45612</v>
          </cell>
          <cell r="C1146" t="str">
            <v xml:space="preserve">Cosmetics, Beauty Supplies, and Perfume Retailers </v>
          </cell>
        </row>
        <row r="1147">
          <cell r="B1147">
            <v>456120</v>
          </cell>
          <cell r="C1147" t="str">
            <v xml:space="preserve">Cosmetics, Beauty Supplies, and Perfume Retailers </v>
          </cell>
        </row>
        <row r="1148">
          <cell r="B1148">
            <v>45613</v>
          </cell>
          <cell r="C1148" t="str">
            <v xml:space="preserve">Optical Goods Retailers </v>
          </cell>
        </row>
        <row r="1149">
          <cell r="B1149">
            <v>456130</v>
          </cell>
          <cell r="C1149" t="str">
            <v xml:space="preserve">Optical Goods Retailers </v>
          </cell>
        </row>
        <row r="1150">
          <cell r="B1150">
            <v>45619</v>
          </cell>
          <cell r="C1150" t="str">
            <v xml:space="preserve">Other Health and Personal Care Retailers </v>
          </cell>
        </row>
        <row r="1151">
          <cell r="B1151">
            <v>456191</v>
          </cell>
          <cell r="C1151" t="str">
            <v xml:space="preserve">Food (Health) Supplement Retailers </v>
          </cell>
        </row>
        <row r="1152">
          <cell r="B1152">
            <v>456199</v>
          </cell>
          <cell r="C1152" t="str">
            <v xml:space="preserve">All Other Health and Personal Care Retailers </v>
          </cell>
        </row>
        <row r="1153">
          <cell r="B1153">
            <v>457</v>
          </cell>
          <cell r="C1153" t="str">
            <v xml:space="preserve">Gasoline Stations and Fuel Dealers </v>
          </cell>
        </row>
        <row r="1154">
          <cell r="B1154">
            <v>4571</v>
          </cell>
          <cell r="C1154" t="str">
            <v xml:space="preserve">Gasoline Stations </v>
          </cell>
        </row>
        <row r="1155">
          <cell r="B1155">
            <v>45711</v>
          </cell>
          <cell r="C1155" t="str">
            <v xml:space="preserve">Gasoline Stations with Convenience Stores </v>
          </cell>
        </row>
        <row r="1156">
          <cell r="B1156">
            <v>457110</v>
          </cell>
          <cell r="C1156" t="str">
            <v xml:space="preserve">Gasoline Stations with Convenience Stores </v>
          </cell>
        </row>
        <row r="1157">
          <cell r="B1157">
            <v>45712</v>
          </cell>
          <cell r="C1157" t="str">
            <v xml:space="preserve">Other Gasoline Stations </v>
          </cell>
        </row>
        <row r="1158">
          <cell r="B1158">
            <v>457120</v>
          </cell>
          <cell r="C1158" t="str">
            <v xml:space="preserve">Other Gasoline Stations </v>
          </cell>
        </row>
        <row r="1159">
          <cell r="B1159">
            <v>4572</v>
          </cell>
          <cell r="C1159" t="str">
            <v xml:space="preserve">Fuel Dealers </v>
          </cell>
        </row>
        <row r="1160">
          <cell r="B1160">
            <v>45721</v>
          </cell>
          <cell r="C1160" t="str">
            <v xml:space="preserve">Fuel Dealers </v>
          </cell>
        </row>
        <row r="1161">
          <cell r="B1161">
            <v>457210</v>
          </cell>
          <cell r="C1161" t="str">
            <v xml:space="preserve">Fuel Dealers </v>
          </cell>
        </row>
        <row r="1162">
          <cell r="B1162">
            <v>458</v>
          </cell>
          <cell r="C1162" t="str">
            <v xml:space="preserve">Clothing, Clothing Accessories, Shoe, and Jewelry Retailers </v>
          </cell>
        </row>
        <row r="1163">
          <cell r="B1163">
            <v>4581</v>
          </cell>
          <cell r="C1163" t="str">
            <v xml:space="preserve">Clothing and Clothing Accessories Retailers </v>
          </cell>
        </row>
        <row r="1164">
          <cell r="B1164">
            <v>45811</v>
          </cell>
          <cell r="C1164" t="str">
            <v xml:space="preserve">Clothing and Clothing Accessories Retailers </v>
          </cell>
        </row>
        <row r="1165">
          <cell r="B1165">
            <v>458110</v>
          </cell>
          <cell r="C1165" t="str">
            <v xml:space="preserve">Clothing and Clothing Accessories Retailers </v>
          </cell>
        </row>
        <row r="1166">
          <cell r="B1166">
            <v>4582</v>
          </cell>
          <cell r="C1166" t="str">
            <v xml:space="preserve">Shoe Retailers </v>
          </cell>
        </row>
        <row r="1167">
          <cell r="B1167">
            <v>45821</v>
          </cell>
          <cell r="C1167" t="str">
            <v xml:space="preserve">Shoe Retailers </v>
          </cell>
        </row>
        <row r="1168">
          <cell r="B1168">
            <v>458210</v>
          </cell>
          <cell r="C1168" t="str">
            <v xml:space="preserve">Shoe Retailers </v>
          </cell>
        </row>
        <row r="1169">
          <cell r="B1169">
            <v>4583</v>
          </cell>
          <cell r="C1169" t="str">
            <v xml:space="preserve">Jewelry, Luggage, and Leather Goods Retailers </v>
          </cell>
        </row>
        <row r="1170">
          <cell r="B1170">
            <v>45831</v>
          </cell>
          <cell r="C1170" t="str">
            <v xml:space="preserve">Jewelry Retailers </v>
          </cell>
        </row>
        <row r="1171">
          <cell r="B1171">
            <v>458310</v>
          </cell>
          <cell r="C1171" t="str">
            <v xml:space="preserve">Jewelry Retailers </v>
          </cell>
        </row>
        <row r="1172">
          <cell r="B1172">
            <v>45832</v>
          </cell>
          <cell r="C1172" t="str">
            <v xml:space="preserve">Luggage and Leather Goods Retailers </v>
          </cell>
        </row>
        <row r="1173">
          <cell r="B1173">
            <v>458320</v>
          </cell>
          <cell r="C1173" t="str">
            <v xml:space="preserve">Luggage and Leather Goods Retailers </v>
          </cell>
        </row>
        <row r="1174">
          <cell r="B1174">
            <v>459</v>
          </cell>
          <cell r="C1174" t="str">
            <v xml:space="preserve">Sporting Goods, Hobby, Musical Instrument, Book, and Miscellaneous Retailers </v>
          </cell>
        </row>
        <row r="1175">
          <cell r="B1175">
            <v>4591</v>
          </cell>
          <cell r="C1175" t="str">
            <v xml:space="preserve">Sporting Goods, Hobby, and Musical Instrument Retailers </v>
          </cell>
        </row>
        <row r="1176">
          <cell r="B1176">
            <v>45911</v>
          </cell>
          <cell r="C1176" t="str">
            <v xml:space="preserve">Sporting Goods Retailers </v>
          </cell>
        </row>
        <row r="1177">
          <cell r="B1177">
            <v>459110</v>
          </cell>
          <cell r="C1177" t="str">
            <v xml:space="preserve">Sporting Goods Retailers </v>
          </cell>
        </row>
        <row r="1178">
          <cell r="B1178">
            <v>45912</v>
          </cell>
          <cell r="C1178" t="str">
            <v xml:space="preserve">Hobby, Toy, and Game Retailers </v>
          </cell>
        </row>
        <row r="1179">
          <cell r="B1179">
            <v>459120</v>
          </cell>
          <cell r="C1179" t="str">
            <v xml:space="preserve">Hobby, Toy, and Game Retailers </v>
          </cell>
        </row>
        <row r="1180">
          <cell r="B1180">
            <v>45913</v>
          </cell>
          <cell r="C1180" t="str">
            <v xml:space="preserve">Sewing, Needlework, and Piece Goods Retailers </v>
          </cell>
        </row>
        <row r="1181">
          <cell r="B1181">
            <v>459130</v>
          </cell>
          <cell r="C1181" t="str">
            <v xml:space="preserve">Sewing, Needlework, and Piece Goods Retailers </v>
          </cell>
        </row>
        <row r="1182">
          <cell r="B1182">
            <v>45914</v>
          </cell>
          <cell r="C1182" t="str">
            <v xml:space="preserve">Musical Instrument and Supplies Retailers </v>
          </cell>
        </row>
        <row r="1183">
          <cell r="B1183">
            <v>459140</v>
          </cell>
          <cell r="C1183" t="str">
            <v xml:space="preserve">Musical Instrument and Supplies Retailers </v>
          </cell>
        </row>
        <row r="1184">
          <cell r="B1184">
            <v>4592</v>
          </cell>
          <cell r="C1184" t="str">
            <v xml:space="preserve">Book Retailers and News Dealers </v>
          </cell>
        </row>
        <row r="1185">
          <cell r="B1185">
            <v>45921</v>
          </cell>
          <cell r="C1185" t="str">
            <v xml:space="preserve">Book Retailers and News Dealers </v>
          </cell>
        </row>
        <row r="1186">
          <cell r="B1186">
            <v>459210</v>
          </cell>
          <cell r="C1186" t="str">
            <v xml:space="preserve">Book Retailers and News Dealers </v>
          </cell>
        </row>
        <row r="1187">
          <cell r="B1187">
            <v>4593</v>
          </cell>
          <cell r="C1187" t="str">
            <v xml:space="preserve">Florists </v>
          </cell>
        </row>
        <row r="1188">
          <cell r="B1188">
            <v>45931</v>
          </cell>
          <cell r="C1188" t="str">
            <v xml:space="preserve">Florists </v>
          </cell>
        </row>
        <row r="1189">
          <cell r="B1189">
            <v>459310</v>
          </cell>
          <cell r="C1189" t="str">
            <v xml:space="preserve">Florists </v>
          </cell>
        </row>
        <row r="1190">
          <cell r="B1190">
            <v>4594</v>
          </cell>
          <cell r="C1190" t="str">
            <v xml:space="preserve">Office Supplies, Stationery, and Gift Retailers </v>
          </cell>
        </row>
        <row r="1191">
          <cell r="B1191">
            <v>45941</v>
          </cell>
          <cell r="C1191" t="str">
            <v xml:space="preserve">Office Supplies and Stationery Retailers </v>
          </cell>
        </row>
        <row r="1192">
          <cell r="B1192">
            <v>459410</v>
          </cell>
          <cell r="C1192" t="str">
            <v xml:space="preserve">Office Supplies and Stationery Retailers </v>
          </cell>
        </row>
        <row r="1193">
          <cell r="B1193">
            <v>45942</v>
          </cell>
          <cell r="C1193" t="str">
            <v xml:space="preserve">Gift, Novelty, and Souvenir Retailers </v>
          </cell>
        </row>
        <row r="1194">
          <cell r="B1194">
            <v>459420</v>
          </cell>
          <cell r="C1194" t="str">
            <v xml:space="preserve">Gift, Novelty, and Souvenir Retailers </v>
          </cell>
        </row>
        <row r="1195">
          <cell r="B1195">
            <v>4595</v>
          </cell>
          <cell r="C1195" t="str">
            <v xml:space="preserve">Used Merchandise Retailers </v>
          </cell>
        </row>
        <row r="1196">
          <cell r="B1196">
            <v>45951</v>
          </cell>
          <cell r="C1196" t="str">
            <v xml:space="preserve">Used Merchandise Retailers </v>
          </cell>
        </row>
        <row r="1197">
          <cell r="B1197">
            <v>459510</v>
          </cell>
          <cell r="C1197" t="str">
            <v xml:space="preserve">Used Merchandise Retailers </v>
          </cell>
        </row>
        <row r="1198">
          <cell r="B1198">
            <v>4599</v>
          </cell>
          <cell r="C1198" t="str">
            <v xml:space="preserve">Other Miscellaneous Retailers </v>
          </cell>
        </row>
        <row r="1199">
          <cell r="B1199">
            <v>45991</v>
          </cell>
          <cell r="C1199" t="str">
            <v xml:space="preserve">Pet and Pet Supplies Retailers </v>
          </cell>
        </row>
        <row r="1200">
          <cell r="B1200">
            <v>459910</v>
          </cell>
          <cell r="C1200" t="str">
            <v xml:space="preserve">Pet and Pet Supplies Retailers </v>
          </cell>
        </row>
        <row r="1201">
          <cell r="B1201">
            <v>45992</v>
          </cell>
          <cell r="C1201" t="str">
            <v xml:space="preserve">Art Dealers </v>
          </cell>
        </row>
        <row r="1202">
          <cell r="B1202">
            <v>459920</v>
          </cell>
          <cell r="C1202" t="str">
            <v xml:space="preserve">Art Dealers </v>
          </cell>
        </row>
        <row r="1203">
          <cell r="B1203">
            <v>45993</v>
          </cell>
          <cell r="C1203" t="str">
            <v xml:space="preserve">Manufactured (Mobile) Home Dealers </v>
          </cell>
        </row>
        <row r="1204">
          <cell r="B1204">
            <v>459930</v>
          </cell>
          <cell r="C1204" t="str">
            <v xml:space="preserve">Manufactured (Mobile) Home Dealers </v>
          </cell>
        </row>
        <row r="1205">
          <cell r="B1205">
            <v>45999</v>
          </cell>
          <cell r="C1205" t="str">
            <v xml:space="preserve">All Other Miscellaneous Retailers </v>
          </cell>
        </row>
        <row r="1206">
          <cell r="B1206">
            <v>459991</v>
          </cell>
          <cell r="C1206" t="str">
            <v xml:space="preserve">Tobacco, Electronic Cigarette, and Other Smoking Supplies Retailers </v>
          </cell>
        </row>
        <row r="1207">
          <cell r="B1207">
            <v>459999</v>
          </cell>
          <cell r="C1207" t="str">
            <v xml:space="preserve">All Other Miscellaneous Retailers </v>
          </cell>
        </row>
        <row r="1209">
          <cell r="B1209" t="str">
            <v>48-49</v>
          </cell>
          <cell r="C1209" t="str">
            <v>Transportation and WarehousingT</v>
          </cell>
        </row>
        <row r="1210">
          <cell r="B1210">
            <v>481</v>
          </cell>
          <cell r="C1210" t="str">
            <v xml:space="preserve">Air TransportationT </v>
          </cell>
        </row>
        <row r="1211">
          <cell r="B1211">
            <v>4811</v>
          </cell>
          <cell r="C1211" t="str">
            <v xml:space="preserve">Scheduled Air TransportationT </v>
          </cell>
        </row>
        <row r="1212">
          <cell r="B1212">
            <v>48111</v>
          </cell>
          <cell r="C1212" t="str">
            <v xml:space="preserve">Scheduled Air TransportationT </v>
          </cell>
        </row>
        <row r="1213">
          <cell r="B1213">
            <v>481111</v>
          </cell>
          <cell r="C1213" t="str">
            <v xml:space="preserve">Scheduled Passenger Air Transportation </v>
          </cell>
        </row>
        <row r="1214">
          <cell r="B1214">
            <v>481112</v>
          </cell>
          <cell r="C1214" t="str">
            <v xml:space="preserve">Scheduled Freight Air Transportation </v>
          </cell>
        </row>
        <row r="1215">
          <cell r="B1215">
            <v>4812</v>
          </cell>
          <cell r="C1215" t="str">
            <v xml:space="preserve">Nonscheduled Air TransportationT </v>
          </cell>
        </row>
        <row r="1216">
          <cell r="B1216">
            <v>48121</v>
          </cell>
          <cell r="C1216" t="str">
            <v xml:space="preserve">Nonscheduled Air TransportationT </v>
          </cell>
        </row>
        <row r="1217">
          <cell r="B1217">
            <v>481211</v>
          </cell>
          <cell r="C1217" t="str">
            <v xml:space="preserve">Nonscheduled Chartered Passenger Air Transportation </v>
          </cell>
        </row>
        <row r="1218">
          <cell r="B1218">
            <v>481212</v>
          </cell>
          <cell r="C1218" t="str">
            <v xml:space="preserve">Nonscheduled Chartered Freight Air Transportation </v>
          </cell>
        </row>
        <row r="1219">
          <cell r="B1219">
            <v>481219</v>
          </cell>
          <cell r="C1219" t="str">
            <v xml:space="preserve">Other Nonscheduled Air Transportation </v>
          </cell>
        </row>
        <row r="1220">
          <cell r="B1220">
            <v>482</v>
          </cell>
          <cell r="C1220" t="str">
            <v xml:space="preserve">Rail TransportationT </v>
          </cell>
        </row>
        <row r="1221">
          <cell r="B1221">
            <v>4821</v>
          </cell>
          <cell r="C1221" t="str">
            <v xml:space="preserve">Rail TransportationT </v>
          </cell>
        </row>
        <row r="1222">
          <cell r="B1222">
            <v>48211</v>
          </cell>
          <cell r="C1222" t="str">
            <v xml:space="preserve">Rail TransportationT </v>
          </cell>
        </row>
        <row r="1223">
          <cell r="B1223">
            <v>482111</v>
          </cell>
          <cell r="C1223" t="str">
            <v xml:space="preserve">Line-Haul Railroads </v>
          </cell>
        </row>
        <row r="1224">
          <cell r="B1224">
            <v>482112</v>
          </cell>
          <cell r="C1224" t="str">
            <v xml:space="preserve">Short Line Railroads </v>
          </cell>
        </row>
        <row r="1225">
          <cell r="B1225">
            <v>483</v>
          </cell>
          <cell r="C1225" t="str">
            <v xml:space="preserve">Water TransportationT </v>
          </cell>
        </row>
        <row r="1226">
          <cell r="B1226">
            <v>4831</v>
          </cell>
          <cell r="C1226" t="str">
            <v xml:space="preserve">Deep Sea, Coastal, and Great Lakes Water TransportationT </v>
          </cell>
        </row>
        <row r="1227">
          <cell r="B1227">
            <v>48311</v>
          </cell>
          <cell r="C1227" t="str">
            <v xml:space="preserve">Deep Sea, Coastal, and Great Lakes Water TransportationT </v>
          </cell>
        </row>
        <row r="1228">
          <cell r="B1228">
            <v>483111</v>
          </cell>
          <cell r="C1228" t="str">
            <v xml:space="preserve">Deep Sea Freight Transportation </v>
          </cell>
        </row>
        <row r="1229">
          <cell r="B1229">
            <v>483112</v>
          </cell>
          <cell r="C1229" t="str">
            <v xml:space="preserve">Deep Sea Passenger Transportation </v>
          </cell>
        </row>
        <row r="1230">
          <cell r="B1230">
            <v>483113</v>
          </cell>
          <cell r="C1230" t="str">
            <v xml:space="preserve">Coastal and Great Lakes Freight Transportation </v>
          </cell>
        </row>
        <row r="1231">
          <cell r="B1231">
            <v>483114</v>
          </cell>
          <cell r="C1231" t="str">
            <v xml:space="preserve">Coastal and Great Lakes Passenger Transportation </v>
          </cell>
        </row>
        <row r="1232">
          <cell r="B1232">
            <v>4832</v>
          </cell>
          <cell r="C1232" t="str">
            <v xml:space="preserve">Inland Water TransportationT </v>
          </cell>
        </row>
        <row r="1233">
          <cell r="B1233">
            <v>48321</v>
          </cell>
          <cell r="C1233" t="str">
            <v xml:space="preserve">Inland Water TransportationT </v>
          </cell>
        </row>
        <row r="1234">
          <cell r="B1234">
            <v>483211</v>
          </cell>
          <cell r="C1234" t="str">
            <v xml:space="preserve">Inland Water Freight Transportation </v>
          </cell>
        </row>
        <row r="1235">
          <cell r="B1235">
            <v>483212</v>
          </cell>
          <cell r="C1235" t="str">
            <v xml:space="preserve">Inland Water Passenger Transportation </v>
          </cell>
        </row>
        <row r="1236">
          <cell r="B1236">
            <v>484</v>
          </cell>
          <cell r="C1236" t="str">
            <v xml:space="preserve">Truck TransportationT </v>
          </cell>
        </row>
        <row r="1237">
          <cell r="B1237">
            <v>4841</v>
          </cell>
          <cell r="C1237" t="str">
            <v xml:space="preserve">General Freight TruckingT </v>
          </cell>
        </row>
        <row r="1238">
          <cell r="B1238">
            <v>48411</v>
          </cell>
          <cell r="C1238" t="str">
            <v xml:space="preserve">General Freight Trucking, LocalT </v>
          </cell>
        </row>
        <row r="1239">
          <cell r="B1239">
            <v>484110</v>
          </cell>
          <cell r="C1239" t="str">
            <v xml:space="preserve">General Freight Trucking, Local </v>
          </cell>
        </row>
        <row r="1240">
          <cell r="B1240">
            <v>48412</v>
          </cell>
          <cell r="C1240" t="str">
            <v xml:space="preserve">General Freight Trucking, Long-DistanceT </v>
          </cell>
        </row>
        <row r="1241">
          <cell r="B1241">
            <v>484121</v>
          </cell>
          <cell r="C1241" t="str">
            <v xml:space="preserve">General Freight Trucking, Long-Distance, Truckload </v>
          </cell>
        </row>
        <row r="1242">
          <cell r="B1242">
            <v>484122</v>
          </cell>
          <cell r="C1242" t="str">
            <v xml:space="preserve">General Freight Trucking, Long-Distance, Less Than Truckload </v>
          </cell>
        </row>
        <row r="1243">
          <cell r="B1243">
            <v>4842</v>
          </cell>
          <cell r="C1243" t="str">
            <v xml:space="preserve">Specialized Freight TruckingT </v>
          </cell>
        </row>
        <row r="1244">
          <cell r="B1244">
            <v>48421</v>
          </cell>
          <cell r="C1244" t="str">
            <v xml:space="preserve">Used Household and Office Goods MovingT </v>
          </cell>
        </row>
        <row r="1245">
          <cell r="B1245">
            <v>484210</v>
          </cell>
          <cell r="C1245" t="str">
            <v>Used Household and Office Goods Moving</v>
          </cell>
        </row>
        <row r="1246">
          <cell r="B1246">
            <v>48422</v>
          </cell>
          <cell r="C1246" t="str">
            <v xml:space="preserve">Specialized Freight (except Used Goods) Trucking, LocalT </v>
          </cell>
        </row>
        <row r="1247">
          <cell r="B1247">
            <v>484220</v>
          </cell>
          <cell r="C1247" t="str">
            <v xml:space="preserve">Specialized Freight (except Used Goods) Trucking, Local </v>
          </cell>
        </row>
        <row r="1248">
          <cell r="B1248">
            <v>48423</v>
          </cell>
          <cell r="C1248" t="str">
            <v xml:space="preserve">Specialized Freight (except Used Goods) Trucking, Long-DistanceT </v>
          </cell>
        </row>
        <row r="1249">
          <cell r="B1249">
            <v>484230</v>
          </cell>
          <cell r="C1249" t="str">
            <v xml:space="preserve">Specialized Freight (except Used Goods) Trucking, Long-Distance </v>
          </cell>
        </row>
        <row r="1250">
          <cell r="B1250">
            <v>485</v>
          </cell>
          <cell r="C1250" t="str">
            <v xml:space="preserve">Transit and Ground Passenger TransportationT </v>
          </cell>
        </row>
        <row r="1251">
          <cell r="B1251">
            <v>4851</v>
          </cell>
          <cell r="C1251" t="str">
            <v xml:space="preserve">Urban Transit SystemsT </v>
          </cell>
        </row>
        <row r="1252">
          <cell r="B1252">
            <v>48511</v>
          </cell>
          <cell r="C1252" t="str">
            <v xml:space="preserve">Urban Transit SystemsT </v>
          </cell>
        </row>
        <row r="1253">
          <cell r="B1253">
            <v>485111</v>
          </cell>
          <cell r="C1253" t="str">
            <v xml:space="preserve">Mixed Mode Transit Systems </v>
          </cell>
        </row>
        <row r="1254">
          <cell r="B1254">
            <v>485112</v>
          </cell>
          <cell r="C1254" t="str">
            <v xml:space="preserve">Commuter Rail Systems </v>
          </cell>
        </row>
        <row r="1255">
          <cell r="B1255">
            <v>485113</v>
          </cell>
          <cell r="C1255" t="str">
            <v xml:space="preserve">Bus and Other Motor Vehicle Transit Systems </v>
          </cell>
        </row>
        <row r="1256">
          <cell r="B1256">
            <v>485119</v>
          </cell>
          <cell r="C1256" t="str">
            <v xml:space="preserve">Other Urban Transit Systems </v>
          </cell>
        </row>
        <row r="1257">
          <cell r="B1257">
            <v>4852</v>
          </cell>
          <cell r="C1257" t="str">
            <v xml:space="preserve">Interurban and Rural Bus TransportationT </v>
          </cell>
        </row>
        <row r="1258">
          <cell r="B1258">
            <v>48521</v>
          </cell>
          <cell r="C1258" t="str">
            <v xml:space="preserve">Interurban and Rural Bus TransportationT </v>
          </cell>
        </row>
        <row r="1259">
          <cell r="B1259">
            <v>485210</v>
          </cell>
          <cell r="C1259" t="str">
            <v>Interurban and Rural Bus Transportation</v>
          </cell>
        </row>
        <row r="1260">
          <cell r="B1260">
            <v>4853</v>
          </cell>
          <cell r="C1260" t="str">
            <v xml:space="preserve">Taxi and Limousine ServiceT </v>
          </cell>
        </row>
        <row r="1261">
          <cell r="B1261">
            <v>48531</v>
          </cell>
          <cell r="C1261" t="str">
            <v xml:space="preserve">Taxi and Ridesharing ServicesT </v>
          </cell>
        </row>
        <row r="1262">
          <cell r="B1262">
            <v>485310</v>
          </cell>
          <cell r="C1262" t="str">
            <v xml:space="preserve">Taxi and Ridesharing Services </v>
          </cell>
        </row>
        <row r="1263">
          <cell r="B1263">
            <v>48532</v>
          </cell>
          <cell r="C1263" t="str">
            <v xml:space="preserve">Limousine ServiceT </v>
          </cell>
        </row>
        <row r="1264">
          <cell r="B1264">
            <v>485320</v>
          </cell>
          <cell r="C1264" t="str">
            <v>Limousine Service</v>
          </cell>
        </row>
        <row r="1265">
          <cell r="B1265">
            <v>4854</v>
          </cell>
          <cell r="C1265" t="str">
            <v xml:space="preserve">School and Employee Bus TransportationT </v>
          </cell>
        </row>
        <row r="1266">
          <cell r="B1266">
            <v>48541</v>
          </cell>
          <cell r="C1266" t="str">
            <v xml:space="preserve">School and Employee Bus TransportationT </v>
          </cell>
        </row>
        <row r="1267">
          <cell r="B1267">
            <v>485410</v>
          </cell>
          <cell r="C1267" t="str">
            <v>School and Employee Bus Transportation</v>
          </cell>
        </row>
        <row r="1268">
          <cell r="B1268">
            <v>4855</v>
          </cell>
          <cell r="C1268" t="str">
            <v xml:space="preserve">Charter Bus IndustryT </v>
          </cell>
        </row>
        <row r="1269">
          <cell r="B1269">
            <v>48551</v>
          </cell>
          <cell r="C1269" t="str">
            <v xml:space="preserve">Charter Bus IndustryT </v>
          </cell>
        </row>
        <row r="1270">
          <cell r="B1270">
            <v>485510</v>
          </cell>
          <cell r="C1270" t="str">
            <v>Charter Bus Industry</v>
          </cell>
        </row>
        <row r="1271">
          <cell r="B1271">
            <v>4859</v>
          </cell>
          <cell r="C1271" t="str">
            <v xml:space="preserve">Other Transit and Ground Passenger TransportationT </v>
          </cell>
        </row>
        <row r="1272">
          <cell r="B1272">
            <v>48599</v>
          </cell>
          <cell r="C1272" t="str">
            <v xml:space="preserve">Other Transit and Ground Passenger TransportationT </v>
          </cell>
        </row>
        <row r="1273">
          <cell r="B1273">
            <v>485991</v>
          </cell>
          <cell r="C1273" t="str">
            <v xml:space="preserve">Special Needs Transportation </v>
          </cell>
        </row>
        <row r="1274">
          <cell r="B1274">
            <v>485999</v>
          </cell>
          <cell r="C1274" t="str">
            <v xml:space="preserve">All Other Transit and Ground Passenger Transportation </v>
          </cell>
        </row>
        <row r="1275">
          <cell r="B1275">
            <v>486</v>
          </cell>
          <cell r="C1275" t="str">
            <v xml:space="preserve">Pipeline TransportationT </v>
          </cell>
        </row>
        <row r="1276">
          <cell r="B1276">
            <v>4861</v>
          </cell>
          <cell r="C1276" t="str">
            <v xml:space="preserve">Pipeline Transportation of Crude OilT </v>
          </cell>
        </row>
        <row r="1277">
          <cell r="B1277">
            <v>48611</v>
          </cell>
          <cell r="C1277" t="str">
            <v xml:space="preserve">Pipeline Transportation of Crude OilT </v>
          </cell>
        </row>
        <row r="1278">
          <cell r="B1278">
            <v>486110</v>
          </cell>
          <cell r="C1278" t="str">
            <v>Pipeline Transportation of Crude Oil</v>
          </cell>
        </row>
        <row r="1279">
          <cell r="B1279">
            <v>4862</v>
          </cell>
          <cell r="C1279" t="str">
            <v xml:space="preserve">Pipeline Transportation of Natural GasT </v>
          </cell>
        </row>
        <row r="1280">
          <cell r="B1280">
            <v>48621</v>
          </cell>
          <cell r="C1280" t="str">
            <v xml:space="preserve">Pipeline Transportation of Natural GasT </v>
          </cell>
        </row>
        <row r="1281">
          <cell r="B1281">
            <v>486210</v>
          </cell>
          <cell r="C1281" t="str">
            <v>Pipeline Transportation of Natural Gas</v>
          </cell>
        </row>
        <row r="1282">
          <cell r="B1282">
            <v>4869</v>
          </cell>
          <cell r="C1282" t="str">
            <v xml:space="preserve">Other Pipeline TransportationT </v>
          </cell>
        </row>
        <row r="1283">
          <cell r="B1283">
            <v>48691</v>
          </cell>
          <cell r="C1283" t="str">
            <v xml:space="preserve">Pipeline Transportation of Refined Petroleum ProductsT </v>
          </cell>
        </row>
        <row r="1284">
          <cell r="B1284">
            <v>486910</v>
          </cell>
          <cell r="C1284" t="str">
            <v>Pipeline Transportation of Refined Petroleum Products</v>
          </cell>
        </row>
        <row r="1285">
          <cell r="B1285">
            <v>48699</v>
          </cell>
          <cell r="C1285" t="str">
            <v xml:space="preserve">All Other Pipeline TransportationT </v>
          </cell>
        </row>
        <row r="1286">
          <cell r="B1286">
            <v>486990</v>
          </cell>
          <cell r="C1286" t="str">
            <v>All Other Pipeline Transportation</v>
          </cell>
        </row>
        <row r="1287">
          <cell r="B1287">
            <v>487</v>
          </cell>
          <cell r="C1287" t="str">
            <v xml:space="preserve">Scenic and Sightseeing TransportationT </v>
          </cell>
        </row>
        <row r="1288">
          <cell r="B1288">
            <v>4871</v>
          </cell>
          <cell r="C1288" t="str">
            <v xml:space="preserve">Scenic and Sightseeing Transportation, LandT </v>
          </cell>
        </row>
        <row r="1289">
          <cell r="B1289">
            <v>48711</v>
          </cell>
          <cell r="C1289" t="str">
            <v xml:space="preserve">Scenic and Sightseeing Transportation, LandT </v>
          </cell>
        </row>
        <row r="1290">
          <cell r="B1290">
            <v>487110</v>
          </cell>
          <cell r="C1290" t="str">
            <v>Scenic and Sightseeing Transportation, Land</v>
          </cell>
        </row>
        <row r="1291">
          <cell r="B1291">
            <v>4872</v>
          </cell>
          <cell r="C1291" t="str">
            <v xml:space="preserve">Scenic and Sightseeing Transportation, WaterT </v>
          </cell>
        </row>
        <row r="1292">
          <cell r="B1292">
            <v>48721</v>
          </cell>
          <cell r="C1292" t="str">
            <v xml:space="preserve">Scenic and Sightseeing Transportation, WaterT </v>
          </cell>
        </row>
        <row r="1293">
          <cell r="B1293">
            <v>487210</v>
          </cell>
          <cell r="C1293" t="str">
            <v>Scenic and Sightseeing Transportation, Water</v>
          </cell>
        </row>
        <row r="1294">
          <cell r="B1294">
            <v>4879</v>
          </cell>
          <cell r="C1294" t="str">
            <v xml:space="preserve">Scenic and Sightseeing Transportation, OtherT </v>
          </cell>
        </row>
        <row r="1295">
          <cell r="B1295">
            <v>48799</v>
          </cell>
          <cell r="C1295" t="str">
            <v xml:space="preserve">Scenic and Sightseeing Transportation, OtherT </v>
          </cell>
        </row>
        <row r="1296">
          <cell r="B1296">
            <v>487990</v>
          </cell>
          <cell r="C1296" t="str">
            <v>Scenic and Sightseeing Transportation, Other</v>
          </cell>
        </row>
        <row r="1297">
          <cell r="B1297">
            <v>488</v>
          </cell>
          <cell r="C1297" t="str">
            <v xml:space="preserve">Support Activities for TransportationT </v>
          </cell>
        </row>
        <row r="1298">
          <cell r="B1298">
            <v>4881</v>
          </cell>
          <cell r="C1298" t="str">
            <v xml:space="preserve">Support Activities for Air TransportationT </v>
          </cell>
        </row>
        <row r="1299">
          <cell r="B1299">
            <v>48811</v>
          </cell>
          <cell r="C1299" t="str">
            <v xml:space="preserve">Airport OperationsT </v>
          </cell>
        </row>
        <row r="1300">
          <cell r="B1300">
            <v>488111</v>
          </cell>
          <cell r="C1300" t="str">
            <v>Air Traffic Control</v>
          </cell>
        </row>
        <row r="1301">
          <cell r="B1301">
            <v>488119</v>
          </cell>
          <cell r="C1301" t="str">
            <v xml:space="preserve">Other Airport Operations </v>
          </cell>
        </row>
        <row r="1302">
          <cell r="B1302">
            <v>48819</v>
          </cell>
          <cell r="C1302" t="str">
            <v xml:space="preserve">Other Support Activities for Air TransportationT </v>
          </cell>
        </row>
        <row r="1303">
          <cell r="B1303">
            <v>488190</v>
          </cell>
          <cell r="C1303" t="str">
            <v>Other Support Activities for Air Transportation</v>
          </cell>
        </row>
        <row r="1304">
          <cell r="B1304">
            <v>4882</v>
          </cell>
          <cell r="C1304" t="str">
            <v xml:space="preserve">Support Activities for Rail TransportationT </v>
          </cell>
        </row>
        <row r="1305">
          <cell r="B1305">
            <v>48821</v>
          </cell>
          <cell r="C1305" t="str">
            <v xml:space="preserve">Support Activities for Rail TransportationT </v>
          </cell>
        </row>
        <row r="1306">
          <cell r="B1306">
            <v>488210</v>
          </cell>
          <cell r="C1306" t="str">
            <v>Support Activities for Rail Transportation</v>
          </cell>
        </row>
        <row r="1307">
          <cell r="B1307">
            <v>4883</v>
          </cell>
          <cell r="C1307" t="str">
            <v xml:space="preserve">Support Activities for Water TransportationT </v>
          </cell>
        </row>
        <row r="1308">
          <cell r="B1308">
            <v>48831</v>
          </cell>
          <cell r="C1308" t="str">
            <v xml:space="preserve">Port and Harbor OperationsT </v>
          </cell>
        </row>
        <row r="1309">
          <cell r="B1309">
            <v>488310</v>
          </cell>
          <cell r="C1309" t="str">
            <v>Port and Harbor Operations</v>
          </cell>
        </row>
        <row r="1310">
          <cell r="B1310">
            <v>48832</v>
          </cell>
          <cell r="C1310" t="str">
            <v xml:space="preserve">Marine Cargo HandlingT </v>
          </cell>
        </row>
        <row r="1311">
          <cell r="B1311">
            <v>488320</v>
          </cell>
          <cell r="C1311" t="str">
            <v>Marine Cargo Handling</v>
          </cell>
        </row>
        <row r="1312">
          <cell r="B1312">
            <v>48833</v>
          </cell>
          <cell r="C1312" t="str">
            <v xml:space="preserve">Navigational Services to ShippingT </v>
          </cell>
        </row>
        <row r="1313">
          <cell r="B1313">
            <v>488330</v>
          </cell>
          <cell r="C1313" t="str">
            <v xml:space="preserve">Navigational Services to Shipping </v>
          </cell>
        </row>
        <row r="1314">
          <cell r="B1314">
            <v>48839</v>
          </cell>
          <cell r="C1314" t="str">
            <v xml:space="preserve">Other Support Activities for Water TransportationT </v>
          </cell>
        </row>
        <row r="1315">
          <cell r="B1315">
            <v>488390</v>
          </cell>
          <cell r="C1315" t="str">
            <v>Other Support Activities for Water Transportation</v>
          </cell>
        </row>
        <row r="1316">
          <cell r="B1316">
            <v>4884</v>
          </cell>
          <cell r="C1316" t="str">
            <v xml:space="preserve">Support Activities for Road TransportationT </v>
          </cell>
        </row>
        <row r="1317">
          <cell r="B1317">
            <v>48841</v>
          </cell>
          <cell r="C1317" t="str">
            <v xml:space="preserve">Motor Vehicle TowingT </v>
          </cell>
        </row>
        <row r="1318">
          <cell r="B1318">
            <v>488410</v>
          </cell>
          <cell r="C1318" t="str">
            <v>Motor Vehicle Towing</v>
          </cell>
        </row>
        <row r="1319">
          <cell r="B1319">
            <v>48849</v>
          </cell>
          <cell r="C1319" t="str">
            <v xml:space="preserve">Other Support Activities for Road TransportationT </v>
          </cell>
        </row>
        <row r="1320">
          <cell r="B1320">
            <v>488490</v>
          </cell>
          <cell r="C1320" t="str">
            <v xml:space="preserve">Other Support Activities for Road Transportation </v>
          </cell>
        </row>
        <row r="1321">
          <cell r="B1321">
            <v>4885</v>
          </cell>
          <cell r="C1321" t="str">
            <v xml:space="preserve">Freight Transportation ArrangementT </v>
          </cell>
        </row>
        <row r="1322">
          <cell r="B1322">
            <v>48851</v>
          </cell>
          <cell r="C1322" t="str">
            <v xml:space="preserve">Freight Transportation ArrangementT </v>
          </cell>
        </row>
        <row r="1323">
          <cell r="B1323">
            <v>488510</v>
          </cell>
          <cell r="C1323" t="str">
            <v xml:space="preserve">Freight Transportation Arrangement </v>
          </cell>
        </row>
        <row r="1324">
          <cell r="B1324">
            <v>4889</v>
          </cell>
          <cell r="C1324" t="str">
            <v xml:space="preserve">Other Support Activities for TransportationT </v>
          </cell>
        </row>
        <row r="1325">
          <cell r="B1325">
            <v>48899</v>
          </cell>
          <cell r="C1325" t="str">
            <v xml:space="preserve">Other Support Activities for TransportationT </v>
          </cell>
        </row>
        <row r="1326">
          <cell r="B1326">
            <v>488991</v>
          </cell>
          <cell r="C1326" t="str">
            <v xml:space="preserve">Packing and Crating </v>
          </cell>
        </row>
        <row r="1327">
          <cell r="B1327">
            <v>488999</v>
          </cell>
          <cell r="C1327" t="str">
            <v xml:space="preserve">All Other Support Activities for Transportation </v>
          </cell>
        </row>
        <row r="1328">
          <cell r="B1328">
            <v>491</v>
          </cell>
          <cell r="C1328" t="str">
            <v xml:space="preserve">Postal ServiceT </v>
          </cell>
        </row>
        <row r="1329">
          <cell r="B1329">
            <v>4911</v>
          </cell>
          <cell r="C1329" t="str">
            <v xml:space="preserve">Postal ServiceT </v>
          </cell>
        </row>
        <row r="1330">
          <cell r="B1330">
            <v>49111</v>
          </cell>
          <cell r="C1330" t="str">
            <v xml:space="preserve">Postal ServiceT </v>
          </cell>
        </row>
        <row r="1331">
          <cell r="B1331">
            <v>491110</v>
          </cell>
          <cell r="C1331" t="str">
            <v>Postal Service</v>
          </cell>
        </row>
        <row r="1332">
          <cell r="B1332">
            <v>492</v>
          </cell>
          <cell r="C1332" t="str">
            <v xml:space="preserve">Couriers and MessengersT </v>
          </cell>
        </row>
        <row r="1333">
          <cell r="B1333">
            <v>4921</v>
          </cell>
          <cell r="C1333" t="str">
            <v xml:space="preserve">Couriers and Express Delivery ServicesT </v>
          </cell>
        </row>
        <row r="1334">
          <cell r="B1334">
            <v>49211</v>
          </cell>
          <cell r="C1334" t="str">
            <v xml:space="preserve">Couriers and Express Delivery ServicesT </v>
          </cell>
        </row>
        <row r="1335">
          <cell r="B1335">
            <v>492110</v>
          </cell>
          <cell r="C1335" t="str">
            <v>Couriers and Express Delivery Services</v>
          </cell>
        </row>
        <row r="1336">
          <cell r="B1336">
            <v>4922</v>
          </cell>
          <cell r="C1336" t="str">
            <v xml:space="preserve">Local Messengers and Local DeliveryT </v>
          </cell>
        </row>
        <row r="1337">
          <cell r="B1337">
            <v>49221</v>
          </cell>
          <cell r="C1337" t="str">
            <v xml:space="preserve">Local Messengers and Local DeliveryT </v>
          </cell>
        </row>
        <row r="1338">
          <cell r="B1338">
            <v>492210</v>
          </cell>
          <cell r="C1338" t="str">
            <v>Local Messengers and Local Delivery</v>
          </cell>
        </row>
        <row r="1339">
          <cell r="B1339">
            <v>493</v>
          </cell>
          <cell r="C1339" t="str">
            <v xml:space="preserve">Warehousing and StorageT </v>
          </cell>
        </row>
        <row r="1340">
          <cell r="B1340">
            <v>4931</v>
          </cell>
          <cell r="C1340" t="str">
            <v xml:space="preserve">Warehousing and StorageT </v>
          </cell>
        </row>
        <row r="1341">
          <cell r="B1341">
            <v>49311</v>
          </cell>
          <cell r="C1341" t="str">
            <v xml:space="preserve">General Warehousing and StorageT </v>
          </cell>
        </row>
        <row r="1342">
          <cell r="B1342">
            <v>493110</v>
          </cell>
          <cell r="C1342" t="str">
            <v xml:space="preserve">General Warehousing and Storage </v>
          </cell>
        </row>
        <row r="1343">
          <cell r="B1343">
            <v>49312</v>
          </cell>
          <cell r="C1343" t="str">
            <v xml:space="preserve">Refrigerated Warehousing and StorageT </v>
          </cell>
        </row>
        <row r="1344">
          <cell r="B1344">
            <v>493120</v>
          </cell>
          <cell r="C1344" t="str">
            <v>Refrigerated Warehousing and Storage</v>
          </cell>
        </row>
        <row r="1345">
          <cell r="B1345">
            <v>49313</v>
          </cell>
          <cell r="C1345" t="str">
            <v>Farm Product Warehousing and StorageT</v>
          </cell>
        </row>
        <row r="1346">
          <cell r="B1346">
            <v>493130</v>
          </cell>
          <cell r="C1346" t="str">
            <v>Farm Product Warehousing and Storage</v>
          </cell>
        </row>
        <row r="1347">
          <cell r="B1347">
            <v>49319</v>
          </cell>
          <cell r="C1347" t="str">
            <v xml:space="preserve">Other Warehousing and StorageT </v>
          </cell>
        </row>
        <row r="1348">
          <cell r="B1348">
            <v>493190</v>
          </cell>
          <cell r="C1348" t="str">
            <v>Other Warehousing and Storage</v>
          </cell>
        </row>
        <row r="1350">
          <cell r="B1350">
            <v>51</v>
          </cell>
          <cell r="C1350" t="str">
            <v>InformationT</v>
          </cell>
        </row>
        <row r="1351">
          <cell r="B1351">
            <v>512</v>
          </cell>
          <cell r="C1351" t="str">
            <v xml:space="preserve">Motion Picture and Sound Recording IndustriesT </v>
          </cell>
        </row>
        <row r="1352">
          <cell r="B1352">
            <v>5121</v>
          </cell>
          <cell r="C1352" t="str">
            <v xml:space="preserve">Motion Picture and Video IndustriesT </v>
          </cell>
        </row>
        <row r="1353">
          <cell r="B1353">
            <v>51211</v>
          </cell>
          <cell r="C1353" t="str">
            <v xml:space="preserve">Motion Picture and Video ProductionT </v>
          </cell>
        </row>
        <row r="1354">
          <cell r="B1354">
            <v>512110</v>
          </cell>
          <cell r="C1354" t="str">
            <v xml:space="preserve">Motion Picture and Video Production </v>
          </cell>
        </row>
        <row r="1355">
          <cell r="B1355">
            <v>51212</v>
          </cell>
          <cell r="C1355" t="str">
            <v xml:space="preserve">Motion Picture and Video DistributionT </v>
          </cell>
        </row>
        <row r="1356">
          <cell r="B1356">
            <v>512120</v>
          </cell>
          <cell r="C1356" t="str">
            <v>Motion Picture and Video Distribution</v>
          </cell>
        </row>
        <row r="1357">
          <cell r="B1357">
            <v>51213</v>
          </cell>
          <cell r="C1357" t="str">
            <v xml:space="preserve">Motion Picture and Video ExhibitionT </v>
          </cell>
        </row>
        <row r="1358">
          <cell r="B1358">
            <v>512131</v>
          </cell>
          <cell r="C1358" t="str">
            <v xml:space="preserve">Motion Picture Theaters (except Drive-Ins) </v>
          </cell>
        </row>
        <row r="1359">
          <cell r="B1359">
            <v>512132</v>
          </cell>
          <cell r="C1359" t="str">
            <v xml:space="preserve">Drive-In Motion Picture Theaters </v>
          </cell>
        </row>
        <row r="1360">
          <cell r="B1360">
            <v>51219</v>
          </cell>
          <cell r="C1360" t="str">
            <v xml:space="preserve">Postproduction Services and Other Motion Picture and Video IndustriesT </v>
          </cell>
        </row>
        <row r="1361">
          <cell r="B1361">
            <v>512191</v>
          </cell>
          <cell r="C1361" t="str">
            <v xml:space="preserve">Teleproduction and Other Postproduction Services </v>
          </cell>
        </row>
        <row r="1362">
          <cell r="B1362">
            <v>512199</v>
          </cell>
          <cell r="C1362" t="str">
            <v xml:space="preserve">Other Motion Picture and Video Industries </v>
          </cell>
        </row>
        <row r="1363">
          <cell r="B1363">
            <v>5122</v>
          </cell>
          <cell r="C1363" t="str">
            <v xml:space="preserve">Sound Recording IndustriesT </v>
          </cell>
        </row>
        <row r="1364">
          <cell r="B1364">
            <v>51223</v>
          </cell>
          <cell r="C1364" t="str">
            <v xml:space="preserve">Music PublishersT </v>
          </cell>
        </row>
        <row r="1365">
          <cell r="B1365">
            <v>512230</v>
          </cell>
          <cell r="C1365" t="str">
            <v>Music Publishers</v>
          </cell>
        </row>
        <row r="1366">
          <cell r="B1366">
            <v>51224</v>
          </cell>
          <cell r="C1366" t="str">
            <v xml:space="preserve">Sound Recording StudiosT </v>
          </cell>
        </row>
        <row r="1367">
          <cell r="B1367">
            <v>512240</v>
          </cell>
          <cell r="C1367" t="str">
            <v>Sound Recording Studios</v>
          </cell>
        </row>
        <row r="1368">
          <cell r="B1368">
            <v>51225</v>
          </cell>
          <cell r="C1368" t="str">
            <v>Record Production and DistributionT</v>
          </cell>
        </row>
        <row r="1369">
          <cell r="B1369">
            <v>512250</v>
          </cell>
          <cell r="C1369" t="str">
            <v>Record Production and Distribution</v>
          </cell>
        </row>
        <row r="1370">
          <cell r="B1370">
            <v>51229</v>
          </cell>
          <cell r="C1370" t="str">
            <v xml:space="preserve">Other Sound Recording IndustriesT </v>
          </cell>
        </row>
        <row r="1371">
          <cell r="B1371">
            <v>512290</v>
          </cell>
          <cell r="C1371" t="str">
            <v>Other Sound Recording Industries</v>
          </cell>
        </row>
        <row r="1372">
          <cell r="B1372">
            <v>513</v>
          </cell>
          <cell r="C1372" t="str">
            <v xml:space="preserve">Publishing IndustriesT </v>
          </cell>
        </row>
        <row r="1373">
          <cell r="B1373">
            <v>5131</v>
          </cell>
          <cell r="C1373" t="str">
            <v xml:space="preserve">Newspaper, Periodical, Book, and Directory PublishersT </v>
          </cell>
        </row>
        <row r="1374">
          <cell r="B1374">
            <v>51311</v>
          </cell>
          <cell r="C1374" t="str">
            <v xml:space="preserve">Newspaper PublishersT </v>
          </cell>
        </row>
        <row r="1375">
          <cell r="B1375">
            <v>513110</v>
          </cell>
          <cell r="C1375" t="str">
            <v xml:space="preserve">Newspaper Publishers </v>
          </cell>
        </row>
        <row r="1376">
          <cell r="B1376">
            <v>51312</v>
          </cell>
          <cell r="C1376" t="str">
            <v xml:space="preserve">Periodical PublishersT </v>
          </cell>
        </row>
        <row r="1377">
          <cell r="B1377">
            <v>513120</v>
          </cell>
          <cell r="C1377" t="str">
            <v xml:space="preserve">Periodical Publishers </v>
          </cell>
        </row>
        <row r="1378">
          <cell r="B1378">
            <v>51313</v>
          </cell>
          <cell r="C1378" t="str">
            <v xml:space="preserve">Book PublishersT </v>
          </cell>
        </row>
        <row r="1379">
          <cell r="B1379">
            <v>513130</v>
          </cell>
          <cell r="C1379" t="str">
            <v xml:space="preserve">Book Publishers </v>
          </cell>
        </row>
        <row r="1380">
          <cell r="B1380">
            <v>51314</v>
          </cell>
          <cell r="C1380" t="str">
            <v xml:space="preserve">Directory and Mailing List PublishersT </v>
          </cell>
        </row>
        <row r="1381">
          <cell r="B1381">
            <v>513140</v>
          </cell>
          <cell r="C1381" t="str">
            <v xml:space="preserve">Directory and Mailing List Publishers </v>
          </cell>
        </row>
        <row r="1382">
          <cell r="B1382">
            <v>51319</v>
          </cell>
          <cell r="C1382" t="str">
            <v xml:space="preserve">Other PublishersT </v>
          </cell>
        </row>
        <row r="1383">
          <cell r="B1383">
            <v>513191</v>
          </cell>
          <cell r="C1383" t="str">
            <v xml:space="preserve">Greeting Card Publishers </v>
          </cell>
        </row>
        <row r="1384">
          <cell r="B1384">
            <v>513199</v>
          </cell>
          <cell r="C1384" t="str">
            <v xml:space="preserve">All Other Publishers </v>
          </cell>
        </row>
        <row r="1385">
          <cell r="B1385">
            <v>5132</v>
          </cell>
          <cell r="C1385" t="str">
            <v xml:space="preserve">Software PublishersT </v>
          </cell>
        </row>
        <row r="1386">
          <cell r="B1386">
            <v>51321</v>
          </cell>
          <cell r="C1386" t="str">
            <v xml:space="preserve">Software PublishersT </v>
          </cell>
        </row>
        <row r="1387">
          <cell r="B1387">
            <v>513210</v>
          </cell>
          <cell r="C1387" t="str">
            <v>Software Publishers</v>
          </cell>
        </row>
        <row r="1388">
          <cell r="B1388">
            <v>516</v>
          </cell>
          <cell r="C1388" t="str">
            <v xml:space="preserve">Broadcasting and Content ProvidersT </v>
          </cell>
        </row>
        <row r="1389">
          <cell r="B1389">
            <v>5161</v>
          </cell>
          <cell r="C1389" t="str">
            <v xml:space="preserve">Radio and Television Broadcasting StationsT </v>
          </cell>
        </row>
        <row r="1390">
          <cell r="B1390">
            <v>51611</v>
          </cell>
          <cell r="C1390" t="str">
            <v xml:space="preserve">Radio Broadcasting StationsT </v>
          </cell>
        </row>
        <row r="1391">
          <cell r="B1391">
            <v>516110</v>
          </cell>
          <cell r="C1391" t="str">
            <v xml:space="preserve">Radio Broadcasting Stations </v>
          </cell>
        </row>
        <row r="1392">
          <cell r="B1392">
            <v>51612</v>
          </cell>
          <cell r="C1392" t="str">
            <v xml:space="preserve">Television Broadcasting StationsT </v>
          </cell>
        </row>
        <row r="1393">
          <cell r="B1393">
            <v>516120</v>
          </cell>
          <cell r="C1393" t="str">
            <v>Television Broadcasting Stations</v>
          </cell>
        </row>
        <row r="1394">
          <cell r="B1394">
            <v>5162</v>
          </cell>
          <cell r="C1394" t="str">
            <v xml:space="preserve">Media Streaming Distribution Services, Social Networks, and Other Media Networks and Content ProvidersT </v>
          </cell>
        </row>
        <row r="1395">
          <cell r="B1395">
            <v>51621</v>
          </cell>
          <cell r="C1395" t="str">
            <v xml:space="preserve">Media Streaming Distribution Services, Social Networks, and Other Media Networks and Content ProvidersT </v>
          </cell>
        </row>
        <row r="1396">
          <cell r="B1396">
            <v>516210</v>
          </cell>
          <cell r="C1396" t="str">
            <v>Media Streaming Distribution Services, Social Networks, and Other Media Networks and Content Providers</v>
          </cell>
        </row>
        <row r="1397">
          <cell r="B1397">
            <v>517</v>
          </cell>
          <cell r="C1397" t="str">
            <v xml:space="preserve">TelecommunicationsT </v>
          </cell>
        </row>
        <row r="1398">
          <cell r="B1398">
            <v>5171</v>
          </cell>
          <cell r="C1398" t="str">
            <v xml:space="preserve">Wired and Wireless Telecommunications (except Satellite) </v>
          </cell>
        </row>
        <row r="1399">
          <cell r="B1399">
            <v>51711</v>
          </cell>
          <cell r="C1399" t="str">
            <v xml:space="preserve">Wired and Wireless Telecommunications Carriers (except Satellite) </v>
          </cell>
        </row>
        <row r="1400">
          <cell r="B1400">
            <v>517111</v>
          </cell>
          <cell r="C1400" t="str">
            <v xml:space="preserve">Wired Telecommunications Carriers </v>
          </cell>
        </row>
        <row r="1401">
          <cell r="B1401">
            <v>517112</v>
          </cell>
          <cell r="C1401" t="str">
            <v>Wireless Telecommunications Carriers (except Satellite)</v>
          </cell>
        </row>
        <row r="1402">
          <cell r="B1402">
            <v>51712</v>
          </cell>
          <cell r="C1402" t="str">
            <v>Telecommunications Resellers and Agents for Wireless Telecommunication Services</v>
          </cell>
        </row>
        <row r="1403">
          <cell r="B1403">
            <v>517121</v>
          </cell>
          <cell r="C1403" t="str">
            <v>Telecommunications Resellers</v>
          </cell>
        </row>
        <row r="1404">
          <cell r="B1404">
            <v>517122</v>
          </cell>
          <cell r="C1404" t="str">
            <v>Agents for Wireless Telecommunications Services</v>
          </cell>
        </row>
        <row r="1405">
          <cell r="B1405">
            <v>5174</v>
          </cell>
          <cell r="C1405" t="str">
            <v xml:space="preserve">Satellite TelecommunicationsT </v>
          </cell>
        </row>
        <row r="1406">
          <cell r="B1406">
            <v>51741</v>
          </cell>
          <cell r="C1406" t="str">
            <v xml:space="preserve">Satellite TelecommunicationsT </v>
          </cell>
        </row>
        <row r="1407">
          <cell r="B1407">
            <v>517410</v>
          </cell>
          <cell r="C1407" t="str">
            <v>Satellite Telecommunications</v>
          </cell>
        </row>
        <row r="1408">
          <cell r="B1408">
            <v>5178</v>
          </cell>
          <cell r="C1408" t="str">
            <v xml:space="preserve">All Other Telecommunications </v>
          </cell>
        </row>
        <row r="1409">
          <cell r="B1409">
            <v>51781</v>
          </cell>
          <cell r="C1409" t="str">
            <v xml:space="preserve">All Other Telecommunications </v>
          </cell>
        </row>
        <row r="1410">
          <cell r="B1410">
            <v>517810</v>
          </cell>
          <cell r="C1410" t="str">
            <v xml:space="preserve">All Other Telecommunications </v>
          </cell>
        </row>
        <row r="1411">
          <cell r="B1411">
            <v>518</v>
          </cell>
          <cell r="C1411" t="str">
            <v xml:space="preserve">Computing Infrastructure Providers, Data Processing, Web Hosting, and Related ServicesT </v>
          </cell>
        </row>
        <row r="1412">
          <cell r="B1412">
            <v>5182</v>
          </cell>
          <cell r="C1412" t="str">
            <v xml:space="preserve">Computing Infrastructure Providers, Data Processing, Web Hosting, and Related ServicesT </v>
          </cell>
        </row>
        <row r="1413">
          <cell r="B1413">
            <v>51821</v>
          </cell>
          <cell r="C1413" t="str">
            <v xml:space="preserve">Computing Infrastructure Providers, Data Processing, Web Hosting, and Related ServicesT </v>
          </cell>
        </row>
        <row r="1414">
          <cell r="B1414">
            <v>518210</v>
          </cell>
          <cell r="C1414" t="str">
            <v>Computing Infrastructure Providers, Data Processing, Web Hosting, and Related Services</v>
          </cell>
        </row>
        <row r="1415">
          <cell r="B1415">
            <v>519</v>
          </cell>
          <cell r="C1415" t="str">
            <v xml:space="preserve">Web Search Portals, Libraries, Archives, and Other Information ServicesT </v>
          </cell>
        </row>
        <row r="1416">
          <cell r="B1416">
            <v>5192</v>
          </cell>
          <cell r="C1416" t="str">
            <v xml:space="preserve">Web Search Portals, Libraries, Archives, and Other Information ServicesT </v>
          </cell>
        </row>
        <row r="1417">
          <cell r="B1417">
            <v>51921</v>
          </cell>
          <cell r="C1417" t="str">
            <v xml:space="preserve">Libraries and ArchivesT </v>
          </cell>
        </row>
        <row r="1418">
          <cell r="B1418">
            <v>519210</v>
          </cell>
          <cell r="C1418" t="str">
            <v xml:space="preserve">Libraries and Archives </v>
          </cell>
        </row>
        <row r="1419">
          <cell r="B1419">
            <v>51929</v>
          </cell>
          <cell r="C1419" t="str">
            <v xml:space="preserve">Web Search Portals and All Other Information ServicesT </v>
          </cell>
        </row>
        <row r="1420">
          <cell r="B1420">
            <v>519290</v>
          </cell>
          <cell r="C1420" t="str">
            <v>Web Search Portals and All Other Information Services</v>
          </cell>
        </row>
        <row r="1422">
          <cell r="B1422">
            <v>52</v>
          </cell>
          <cell r="C1422" t="str">
            <v>Finance and InsuranceT</v>
          </cell>
        </row>
        <row r="1423">
          <cell r="B1423">
            <v>521</v>
          </cell>
          <cell r="C1423" t="str">
            <v xml:space="preserve">Monetary Authorities-Central BankT </v>
          </cell>
        </row>
        <row r="1424">
          <cell r="B1424">
            <v>5211</v>
          </cell>
          <cell r="C1424" t="str">
            <v xml:space="preserve">Monetary Authorities-Central BankT </v>
          </cell>
        </row>
        <row r="1425">
          <cell r="B1425">
            <v>52111</v>
          </cell>
          <cell r="C1425" t="str">
            <v xml:space="preserve">Monetary Authorities-Central BankT </v>
          </cell>
        </row>
        <row r="1426">
          <cell r="B1426">
            <v>521110</v>
          </cell>
          <cell r="C1426" t="str">
            <v>Monetary Authorities-Central Bank</v>
          </cell>
        </row>
        <row r="1427">
          <cell r="B1427">
            <v>522</v>
          </cell>
          <cell r="C1427" t="str">
            <v xml:space="preserve">Credit Intermediation and Related ActivitiesT </v>
          </cell>
        </row>
        <row r="1428">
          <cell r="B1428">
            <v>5221</v>
          </cell>
          <cell r="C1428" t="str">
            <v xml:space="preserve">Depository Credit Intermediation </v>
          </cell>
        </row>
        <row r="1429">
          <cell r="B1429">
            <v>52211</v>
          </cell>
          <cell r="C1429" t="str">
            <v xml:space="preserve">Commercial Banking </v>
          </cell>
        </row>
        <row r="1430">
          <cell r="B1430">
            <v>522110</v>
          </cell>
          <cell r="C1430" t="str">
            <v xml:space="preserve">Commercial Banking </v>
          </cell>
        </row>
        <row r="1431">
          <cell r="B1431">
            <v>52213</v>
          </cell>
          <cell r="C1431" t="str">
            <v xml:space="preserve">Credit Unions </v>
          </cell>
        </row>
        <row r="1432">
          <cell r="B1432">
            <v>522130</v>
          </cell>
          <cell r="C1432" t="str">
            <v xml:space="preserve">Credit Unions </v>
          </cell>
        </row>
        <row r="1433">
          <cell r="B1433">
            <v>52218</v>
          </cell>
          <cell r="C1433" t="str">
            <v xml:space="preserve">Savings Institutions and Other Depository Credit Intermediation </v>
          </cell>
        </row>
        <row r="1434">
          <cell r="B1434">
            <v>522180</v>
          </cell>
          <cell r="C1434" t="str">
            <v xml:space="preserve">Savings Institutions and Other Depository Credit Intermediation </v>
          </cell>
        </row>
        <row r="1435">
          <cell r="B1435">
            <v>5222</v>
          </cell>
          <cell r="C1435" t="str">
            <v xml:space="preserve">Nondepository Credit Intermediation </v>
          </cell>
        </row>
        <row r="1436">
          <cell r="B1436">
            <v>52221</v>
          </cell>
          <cell r="C1436" t="str">
            <v xml:space="preserve">Credit Card Issuing </v>
          </cell>
        </row>
        <row r="1437">
          <cell r="B1437">
            <v>522210</v>
          </cell>
          <cell r="C1437" t="str">
            <v xml:space="preserve">Credit Card Issuing </v>
          </cell>
        </row>
        <row r="1438">
          <cell r="B1438">
            <v>52222</v>
          </cell>
          <cell r="C1438" t="str">
            <v xml:space="preserve">Sales Financing </v>
          </cell>
        </row>
        <row r="1439">
          <cell r="B1439">
            <v>522220</v>
          </cell>
          <cell r="C1439" t="str">
            <v xml:space="preserve">Sales Financing </v>
          </cell>
        </row>
        <row r="1440">
          <cell r="B1440">
            <v>52229</v>
          </cell>
          <cell r="C1440" t="str">
            <v xml:space="preserve">Other Nondepository Credit Intermediation </v>
          </cell>
        </row>
        <row r="1441">
          <cell r="B1441">
            <v>522291</v>
          </cell>
          <cell r="C1441" t="str">
            <v xml:space="preserve">Consumer Lending </v>
          </cell>
        </row>
        <row r="1442">
          <cell r="B1442">
            <v>522292</v>
          </cell>
          <cell r="C1442" t="str">
            <v xml:space="preserve">Real Estate Credit </v>
          </cell>
        </row>
        <row r="1443">
          <cell r="B1443">
            <v>522299</v>
          </cell>
          <cell r="C1443" t="str">
            <v xml:space="preserve">International, Secondary Market, and All Other Nondepository Credit Intermediation </v>
          </cell>
        </row>
        <row r="1444">
          <cell r="B1444">
            <v>5223</v>
          </cell>
          <cell r="C1444" t="str">
            <v xml:space="preserve">Activities Related to Credit Intermediation </v>
          </cell>
        </row>
        <row r="1445">
          <cell r="B1445">
            <v>52231</v>
          </cell>
          <cell r="C1445" t="str">
            <v xml:space="preserve">Mortgage and Nonmortgage Loan Brokers </v>
          </cell>
        </row>
        <row r="1446">
          <cell r="B1446">
            <v>522310</v>
          </cell>
          <cell r="C1446" t="str">
            <v xml:space="preserve">Mortgage and Nonmortgage Loan Brokers </v>
          </cell>
        </row>
        <row r="1447">
          <cell r="B1447">
            <v>52232</v>
          </cell>
          <cell r="C1447" t="str">
            <v xml:space="preserve">Financial Transactions Processing, Reserve, and Clearinghouse Activities </v>
          </cell>
        </row>
        <row r="1448">
          <cell r="B1448">
            <v>522320</v>
          </cell>
          <cell r="C1448" t="str">
            <v xml:space="preserve">Financial Transactions Processing, Reserve, and Clearinghouse Activities </v>
          </cell>
        </row>
        <row r="1449">
          <cell r="B1449">
            <v>52239</v>
          </cell>
          <cell r="C1449" t="str">
            <v xml:space="preserve">Other Activities Related to Credit Intermediation </v>
          </cell>
        </row>
        <row r="1450">
          <cell r="B1450">
            <v>522390</v>
          </cell>
          <cell r="C1450" t="str">
            <v xml:space="preserve">Other Activities Related to Credit Intermediation </v>
          </cell>
        </row>
        <row r="1451">
          <cell r="B1451">
            <v>523</v>
          </cell>
          <cell r="C1451" t="str">
            <v xml:space="preserve">Securities, Commodity Contracts, and Other Financial Investments and Related ActivitiesT </v>
          </cell>
        </row>
        <row r="1452">
          <cell r="B1452">
            <v>5231</v>
          </cell>
          <cell r="C1452" t="str">
            <v xml:space="preserve">Securities and Commodity Contracts Intermediation and BrokerageT </v>
          </cell>
        </row>
        <row r="1453">
          <cell r="B1453">
            <v>52315</v>
          </cell>
          <cell r="C1453" t="str">
            <v xml:space="preserve">Investment Banking and Securities Intermediation </v>
          </cell>
        </row>
        <row r="1454">
          <cell r="B1454">
            <v>523150</v>
          </cell>
          <cell r="C1454" t="str">
            <v xml:space="preserve">Investment Banking and Securities Intermediation </v>
          </cell>
        </row>
        <row r="1455">
          <cell r="B1455">
            <v>52316</v>
          </cell>
          <cell r="C1455" t="str">
            <v xml:space="preserve">Commodity Contracts Intermediation </v>
          </cell>
        </row>
        <row r="1456">
          <cell r="B1456">
            <v>523160</v>
          </cell>
          <cell r="C1456" t="str">
            <v xml:space="preserve">Commodity Contracts Intermediation </v>
          </cell>
        </row>
        <row r="1457">
          <cell r="B1457">
            <v>5232</v>
          </cell>
          <cell r="C1457" t="str">
            <v xml:space="preserve">Securities and Commodity ExchangesT </v>
          </cell>
        </row>
        <row r="1458">
          <cell r="B1458">
            <v>52321</v>
          </cell>
          <cell r="C1458" t="str">
            <v xml:space="preserve">Securities and Commodity ExchangesT </v>
          </cell>
        </row>
        <row r="1459">
          <cell r="B1459">
            <v>523210</v>
          </cell>
          <cell r="C1459" t="str">
            <v>Securities and Commodity Exchanges</v>
          </cell>
        </row>
        <row r="1460">
          <cell r="B1460">
            <v>5239</v>
          </cell>
          <cell r="C1460" t="str">
            <v xml:space="preserve">Other Financial Investment ActivitiesT </v>
          </cell>
        </row>
        <row r="1461">
          <cell r="B1461">
            <v>52391</v>
          </cell>
          <cell r="C1461" t="str">
            <v xml:space="preserve">Miscellaneous Intermediation </v>
          </cell>
        </row>
        <row r="1462">
          <cell r="B1462">
            <v>523910</v>
          </cell>
          <cell r="C1462" t="str">
            <v xml:space="preserve">Miscellaneous Intermediation </v>
          </cell>
        </row>
        <row r="1463">
          <cell r="B1463">
            <v>52394</v>
          </cell>
          <cell r="C1463" t="str">
            <v xml:space="preserve">Portfolio Management and Investment Advice </v>
          </cell>
        </row>
        <row r="1464">
          <cell r="B1464">
            <v>523940</v>
          </cell>
          <cell r="C1464" t="str">
            <v xml:space="preserve">Portfolio Management and Investment Advice </v>
          </cell>
        </row>
        <row r="1465">
          <cell r="B1465">
            <v>52399</v>
          </cell>
          <cell r="C1465" t="str">
            <v xml:space="preserve">All Other Financial Investment Activities </v>
          </cell>
        </row>
        <row r="1466">
          <cell r="B1466">
            <v>523991</v>
          </cell>
          <cell r="C1466" t="str">
            <v xml:space="preserve">Trust, Fiduciary, and Custody Activities </v>
          </cell>
        </row>
        <row r="1467">
          <cell r="B1467">
            <v>523999</v>
          </cell>
          <cell r="C1467" t="str">
            <v xml:space="preserve">Miscellaneous Financial Investment Activities </v>
          </cell>
        </row>
        <row r="1468">
          <cell r="B1468">
            <v>524</v>
          </cell>
          <cell r="C1468" t="str">
            <v xml:space="preserve">Insurance Carriers and Related ActivitiesT </v>
          </cell>
        </row>
        <row r="1469">
          <cell r="B1469">
            <v>5241</v>
          </cell>
          <cell r="C1469" t="str">
            <v xml:space="preserve">Insurance CarriersT </v>
          </cell>
        </row>
        <row r="1470">
          <cell r="B1470">
            <v>52411</v>
          </cell>
          <cell r="C1470" t="str">
            <v xml:space="preserve">Direct Life, Health, and Medical Insurance Carriers </v>
          </cell>
        </row>
        <row r="1471">
          <cell r="B1471">
            <v>524113</v>
          </cell>
          <cell r="C1471" t="str">
            <v xml:space="preserve">Direct Life Insurance Carriers </v>
          </cell>
        </row>
        <row r="1472">
          <cell r="B1472">
            <v>524114</v>
          </cell>
          <cell r="C1472" t="str">
            <v xml:space="preserve">Direct Health and Medical Insurance Carriers </v>
          </cell>
        </row>
        <row r="1473">
          <cell r="B1473">
            <v>52412</v>
          </cell>
          <cell r="C1473" t="str">
            <v xml:space="preserve">Direct Insurance (except Life, Health, and Medical) Carriers </v>
          </cell>
        </row>
        <row r="1474">
          <cell r="B1474">
            <v>524126</v>
          </cell>
          <cell r="C1474" t="str">
            <v xml:space="preserve">Direct Property and Casualty Insurance Carriers </v>
          </cell>
        </row>
        <row r="1475">
          <cell r="B1475">
            <v>524127</v>
          </cell>
          <cell r="C1475" t="str">
            <v xml:space="preserve">Direct Title Insurance Carriers </v>
          </cell>
        </row>
        <row r="1476">
          <cell r="B1476">
            <v>524128</v>
          </cell>
          <cell r="C1476" t="str">
            <v xml:space="preserve">Other Direct Insurance (except Life, Health, and Medical) Carriers </v>
          </cell>
        </row>
        <row r="1477">
          <cell r="B1477">
            <v>52413</v>
          </cell>
          <cell r="C1477" t="str">
            <v xml:space="preserve">Reinsurance Carriers </v>
          </cell>
        </row>
        <row r="1478">
          <cell r="B1478">
            <v>524130</v>
          </cell>
          <cell r="C1478" t="str">
            <v xml:space="preserve">Reinsurance Carriers </v>
          </cell>
        </row>
        <row r="1479">
          <cell r="B1479">
            <v>5242</v>
          </cell>
          <cell r="C1479" t="str">
            <v xml:space="preserve">Agencies, Brokerages, and Other Insurance Related ActivitiesT </v>
          </cell>
        </row>
        <row r="1480">
          <cell r="B1480">
            <v>52421</v>
          </cell>
          <cell r="C1480" t="str">
            <v xml:space="preserve">Insurance Agencies and Brokerages </v>
          </cell>
        </row>
        <row r="1481">
          <cell r="B1481">
            <v>524210</v>
          </cell>
          <cell r="C1481" t="str">
            <v xml:space="preserve">Insurance Agencies and Brokerages </v>
          </cell>
        </row>
        <row r="1482">
          <cell r="B1482">
            <v>52429</v>
          </cell>
          <cell r="C1482" t="str">
            <v xml:space="preserve">Other Insurance Related Activities </v>
          </cell>
        </row>
        <row r="1483">
          <cell r="B1483">
            <v>524291</v>
          </cell>
          <cell r="C1483" t="str">
            <v xml:space="preserve">Claims Adjusting </v>
          </cell>
        </row>
        <row r="1484">
          <cell r="B1484">
            <v>524292</v>
          </cell>
          <cell r="C1484" t="str">
            <v xml:space="preserve">Pharmacy Benefit Management and Other Third Party Administration of Insurance and Pension Funds </v>
          </cell>
        </row>
        <row r="1485">
          <cell r="B1485">
            <v>524298</v>
          </cell>
          <cell r="C1485" t="str">
            <v xml:space="preserve">All Other Insurance Related Activities </v>
          </cell>
        </row>
        <row r="1486">
          <cell r="B1486">
            <v>525</v>
          </cell>
          <cell r="C1486" t="str">
            <v xml:space="preserve">Funds, Trusts, and Other Financial Vehicles </v>
          </cell>
        </row>
        <row r="1487">
          <cell r="B1487">
            <v>5251</v>
          </cell>
          <cell r="C1487" t="str">
            <v xml:space="preserve">Insurance and Employee Benefit Funds </v>
          </cell>
        </row>
        <row r="1488">
          <cell r="B1488">
            <v>52511</v>
          </cell>
          <cell r="C1488" t="str">
            <v xml:space="preserve">Pension Funds </v>
          </cell>
        </row>
        <row r="1489">
          <cell r="B1489">
            <v>525110</v>
          </cell>
          <cell r="C1489" t="str">
            <v xml:space="preserve">Pension Funds </v>
          </cell>
        </row>
        <row r="1490">
          <cell r="B1490">
            <v>52512</v>
          </cell>
          <cell r="C1490" t="str">
            <v xml:space="preserve">Health and Welfare Funds </v>
          </cell>
        </row>
        <row r="1491">
          <cell r="B1491">
            <v>525120</v>
          </cell>
          <cell r="C1491" t="str">
            <v xml:space="preserve">Health and Welfare Funds </v>
          </cell>
        </row>
        <row r="1492">
          <cell r="B1492">
            <v>52519</v>
          </cell>
          <cell r="C1492" t="str">
            <v xml:space="preserve">Other Insurance Funds </v>
          </cell>
        </row>
        <row r="1493">
          <cell r="B1493">
            <v>525190</v>
          </cell>
          <cell r="C1493" t="str">
            <v xml:space="preserve">Other Insurance Funds </v>
          </cell>
        </row>
        <row r="1494">
          <cell r="B1494">
            <v>5259</v>
          </cell>
          <cell r="C1494" t="str">
            <v>Other Investment Pools and Funds</v>
          </cell>
        </row>
        <row r="1495">
          <cell r="B1495">
            <v>52591</v>
          </cell>
          <cell r="C1495" t="str">
            <v xml:space="preserve">Open-End Investment Funds </v>
          </cell>
        </row>
        <row r="1496">
          <cell r="B1496">
            <v>525910</v>
          </cell>
          <cell r="C1496" t="str">
            <v xml:space="preserve">Open-End Investment Funds </v>
          </cell>
        </row>
        <row r="1497">
          <cell r="B1497">
            <v>52592</v>
          </cell>
          <cell r="C1497" t="str">
            <v xml:space="preserve">Trusts, Estates, and Agency Accounts </v>
          </cell>
        </row>
        <row r="1498">
          <cell r="B1498">
            <v>525920</v>
          </cell>
          <cell r="C1498" t="str">
            <v xml:space="preserve">Trusts, Estates, and Agency Accounts </v>
          </cell>
        </row>
        <row r="1499">
          <cell r="B1499">
            <v>52599</v>
          </cell>
          <cell r="C1499" t="str">
            <v xml:space="preserve">Other Financial Vehicles </v>
          </cell>
        </row>
        <row r="1500">
          <cell r="B1500">
            <v>525990</v>
          </cell>
          <cell r="C1500" t="str">
            <v xml:space="preserve">Other Financial Vehicles </v>
          </cell>
        </row>
        <row r="1502">
          <cell r="B1502">
            <v>53</v>
          </cell>
          <cell r="C1502" t="str">
            <v>Real Estate and Rental and LeasingT</v>
          </cell>
        </row>
        <row r="1503">
          <cell r="B1503">
            <v>531</v>
          </cell>
          <cell r="C1503" t="str">
            <v xml:space="preserve">Real EstateT </v>
          </cell>
        </row>
        <row r="1504">
          <cell r="B1504">
            <v>5311</v>
          </cell>
          <cell r="C1504" t="str">
            <v xml:space="preserve">Lessors of Real EstateT </v>
          </cell>
        </row>
        <row r="1505">
          <cell r="B1505">
            <v>53111</v>
          </cell>
          <cell r="C1505" t="str">
            <v xml:space="preserve">Lessors of Residential Buildings and Dwellings </v>
          </cell>
        </row>
        <row r="1506">
          <cell r="B1506">
            <v>531110</v>
          </cell>
          <cell r="C1506" t="str">
            <v xml:space="preserve">Lessors of Residential Buildings and Dwellings </v>
          </cell>
        </row>
        <row r="1507">
          <cell r="B1507">
            <v>53112</v>
          </cell>
          <cell r="C1507" t="str">
            <v xml:space="preserve">Lessors of Nonresidential Buildings (except Miniwarehouses) </v>
          </cell>
        </row>
        <row r="1508">
          <cell r="B1508">
            <v>531120</v>
          </cell>
          <cell r="C1508" t="str">
            <v xml:space="preserve">Lessors of Nonresidential Buildings (except Miniwarehouses) </v>
          </cell>
        </row>
        <row r="1509">
          <cell r="B1509">
            <v>53113</v>
          </cell>
          <cell r="C1509" t="str">
            <v xml:space="preserve">Lessors of Miniwarehouses and Self-Storage Units </v>
          </cell>
        </row>
        <row r="1510">
          <cell r="B1510">
            <v>531130</v>
          </cell>
          <cell r="C1510" t="str">
            <v xml:space="preserve">Lessors of Miniwarehouses and Self-Storage Units </v>
          </cell>
        </row>
        <row r="1511">
          <cell r="B1511">
            <v>53119</v>
          </cell>
          <cell r="C1511" t="str">
            <v xml:space="preserve">Lessors of Other Real Estate Property </v>
          </cell>
        </row>
        <row r="1512">
          <cell r="B1512">
            <v>531190</v>
          </cell>
          <cell r="C1512" t="str">
            <v xml:space="preserve">Lessors of Other Real Estate Property </v>
          </cell>
        </row>
        <row r="1513">
          <cell r="B1513">
            <v>5312</v>
          </cell>
          <cell r="C1513" t="str">
            <v xml:space="preserve">Offices of Real Estate Agents and BrokersT </v>
          </cell>
        </row>
        <row r="1514">
          <cell r="B1514">
            <v>53121</v>
          </cell>
          <cell r="C1514" t="str">
            <v xml:space="preserve">Offices of Real Estate Agents and BrokersT </v>
          </cell>
        </row>
        <row r="1515">
          <cell r="B1515">
            <v>531210</v>
          </cell>
          <cell r="C1515" t="str">
            <v>Offices of Real Estate Agents and Brokers</v>
          </cell>
        </row>
        <row r="1516">
          <cell r="B1516">
            <v>5313</v>
          </cell>
          <cell r="C1516" t="str">
            <v xml:space="preserve">Activities Related to Real EstateT </v>
          </cell>
        </row>
        <row r="1517">
          <cell r="B1517">
            <v>53131</v>
          </cell>
          <cell r="C1517" t="str">
            <v xml:space="preserve">Real Estate Property Managers </v>
          </cell>
        </row>
        <row r="1518">
          <cell r="B1518">
            <v>531311</v>
          </cell>
          <cell r="C1518" t="str">
            <v xml:space="preserve">Residential Property Managers </v>
          </cell>
        </row>
        <row r="1519">
          <cell r="B1519">
            <v>531312</v>
          </cell>
          <cell r="C1519" t="str">
            <v xml:space="preserve">Nonresidential Property Managers </v>
          </cell>
        </row>
        <row r="1520">
          <cell r="B1520">
            <v>53132</v>
          </cell>
          <cell r="C1520" t="str">
            <v xml:space="preserve">Offices of Real Estate Appraisers </v>
          </cell>
        </row>
        <row r="1521">
          <cell r="B1521">
            <v>531320</v>
          </cell>
          <cell r="C1521" t="str">
            <v xml:space="preserve">Offices of Real Estate Appraisers </v>
          </cell>
        </row>
        <row r="1522">
          <cell r="B1522">
            <v>53139</v>
          </cell>
          <cell r="C1522" t="str">
            <v xml:space="preserve">Other Activities Related to Real Estate </v>
          </cell>
        </row>
        <row r="1523">
          <cell r="B1523">
            <v>531390</v>
          </cell>
          <cell r="C1523" t="str">
            <v xml:space="preserve">Other Activities Related to Real Estate </v>
          </cell>
        </row>
        <row r="1524">
          <cell r="B1524">
            <v>532</v>
          </cell>
          <cell r="C1524" t="str">
            <v xml:space="preserve">Rental and Leasing ServicesT </v>
          </cell>
        </row>
        <row r="1525">
          <cell r="B1525">
            <v>5321</v>
          </cell>
          <cell r="C1525" t="str">
            <v xml:space="preserve">Automotive Equipment Rental and LeasingT </v>
          </cell>
        </row>
        <row r="1526">
          <cell r="B1526">
            <v>53211</v>
          </cell>
          <cell r="C1526" t="str">
            <v xml:space="preserve">Passenger Car Rental and LeasingT </v>
          </cell>
        </row>
        <row r="1527">
          <cell r="B1527">
            <v>532111</v>
          </cell>
          <cell r="C1527" t="str">
            <v xml:space="preserve">Passenger Car Rental </v>
          </cell>
        </row>
        <row r="1528">
          <cell r="B1528">
            <v>532112</v>
          </cell>
          <cell r="C1528" t="str">
            <v xml:space="preserve">Passenger Car Leasing </v>
          </cell>
        </row>
        <row r="1529">
          <cell r="B1529">
            <v>53212</v>
          </cell>
          <cell r="C1529" t="str">
            <v xml:space="preserve">Truck, Utility Trailer, and RV (Recreational Vehicle) Rental and LeasingT </v>
          </cell>
        </row>
        <row r="1530">
          <cell r="B1530">
            <v>532120</v>
          </cell>
          <cell r="C1530" t="str">
            <v xml:space="preserve">Truck, Utility Trailer, and RV (Recreational Vehicle) Rental and Leasing </v>
          </cell>
        </row>
        <row r="1531">
          <cell r="B1531">
            <v>5322</v>
          </cell>
          <cell r="C1531" t="str">
            <v xml:space="preserve">Consumer Goods RentalT </v>
          </cell>
        </row>
        <row r="1532">
          <cell r="B1532">
            <v>53221</v>
          </cell>
          <cell r="C1532" t="str">
            <v xml:space="preserve">Consumer Electronics and Appliances RentalT </v>
          </cell>
        </row>
        <row r="1533">
          <cell r="B1533">
            <v>532210</v>
          </cell>
          <cell r="C1533" t="str">
            <v>Consumer Electronics and Appliances Rental</v>
          </cell>
        </row>
        <row r="1534">
          <cell r="B1534">
            <v>53228</v>
          </cell>
          <cell r="C1534" t="str">
            <v xml:space="preserve">Other Consumer Goods RentalT </v>
          </cell>
        </row>
        <row r="1535">
          <cell r="B1535">
            <v>532281</v>
          </cell>
          <cell r="C1535" t="str">
            <v>Formal Wear and Costume Rental</v>
          </cell>
        </row>
        <row r="1536">
          <cell r="B1536">
            <v>532282</v>
          </cell>
          <cell r="C1536" t="str">
            <v>Video Tape and Disc Rental</v>
          </cell>
        </row>
        <row r="1537">
          <cell r="B1537">
            <v>532283</v>
          </cell>
          <cell r="C1537" t="str">
            <v xml:space="preserve">Home Health Equipment Rental </v>
          </cell>
        </row>
        <row r="1538">
          <cell r="B1538">
            <v>532284</v>
          </cell>
          <cell r="C1538" t="str">
            <v xml:space="preserve">Recreational Goods Rental </v>
          </cell>
        </row>
        <row r="1539">
          <cell r="B1539">
            <v>532289</v>
          </cell>
          <cell r="C1539" t="str">
            <v xml:space="preserve">All Other Consumer Goods Rental </v>
          </cell>
        </row>
        <row r="1540">
          <cell r="B1540">
            <v>5323</v>
          </cell>
          <cell r="C1540" t="str">
            <v xml:space="preserve">General Rental CentersT </v>
          </cell>
        </row>
        <row r="1541">
          <cell r="B1541">
            <v>53231</v>
          </cell>
          <cell r="C1541" t="str">
            <v xml:space="preserve">General Rental CentersT </v>
          </cell>
        </row>
        <row r="1542">
          <cell r="B1542">
            <v>532310</v>
          </cell>
          <cell r="C1542" t="str">
            <v>General Rental Centers</v>
          </cell>
        </row>
        <row r="1543">
          <cell r="B1543">
            <v>5324</v>
          </cell>
          <cell r="C1543" t="str">
            <v xml:space="preserve">Commercial and Industrial Machinery and Equipment Rental and LeasingT </v>
          </cell>
        </row>
        <row r="1544">
          <cell r="B1544">
            <v>53241</v>
          </cell>
          <cell r="C1544" t="str">
            <v xml:space="preserve">Construction, Transportation, Mining, and Forestry Machinery and Equipment Rental and LeasingT </v>
          </cell>
        </row>
        <row r="1545">
          <cell r="B1545">
            <v>532411</v>
          </cell>
          <cell r="C1545" t="str">
            <v xml:space="preserve">Commercial Air, Rail, and Water Transportation Equipment Rental and Leasing </v>
          </cell>
        </row>
        <row r="1546">
          <cell r="B1546">
            <v>532412</v>
          </cell>
          <cell r="C1546" t="str">
            <v xml:space="preserve">Construction, Mining, and Forestry Machinery and Equipment Rental and Leasing </v>
          </cell>
        </row>
        <row r="1547">
          <cell r="B1547">
            <v>53242</v>
          </cell>
          <cell r="C1547" t="str">
            <v xml:space="preserve">Office Machinery and Equipment Rental and LeasingT </v>
          </cell>
        </row>
        <row r="1548">
          <cell r="B1548">
            <v>532420</v>
          </cell>
          <cell r="C1548" t="str">
            <v>Office Machinery and Equipment Rental and Leasing</v>
          </cell>
        </row>
        <row r="1549">
          <cell r="B1549">
            <v>53249</v>
          </cell>
          <cell r="C1549" t="str">
            <v xml:space="preserve">Other Commercial and Industrial Machinery and Equipment Rental and LeasingT </v>
          </cell>
        </row>
        <row r="1550">
          <cell r="B1550">
            <v>532490</v>
          </cell>
          <cell r="C1550" t="str">
            <v xml:space="preserve">Other Commercial and Industrial Machinery and Equipment Rental and Leasing </v>
          </cell>
        </row>
        <row r="1551">
          <cell r="B1551">
            <v>533</v>
          </cell>
          <cell r="C1551" t="str">
            <v xml:space="preserve">Lessors of Nonfinancial Intangible Assets (except Copyrighted Works)T </v>
          </cell>
        </row>
        <row r="1552">
          <cell r="B1552">
            <v>5331</v>
          </cell>
          <cell r="C1552" t="str">
            <v xml:space="preserve">Lessors of Nonfinancial Intangible Assets (except Copyrighted Works)T </v>
          </cell>
        </row>
        <row r="1553">
          <cell r="B1553">
            <v>53311</v>
          </cell>
          <cell r="C1553" t="str">
            <v xml:space="preserve">Lessors of Nonfinancial Intangible Assets (except Copyrighted Works)T </v>
          </cell>
        </row>
        <row r="1554">
          <cell r="B1554">
            <v>533110</v>
          </cell>
          <cell r="C1554" t="str">
            <v>Lessors of Nonfinancial Intangible Assets (except Copyrighted Works)</v>
          </cell>
        </row>
        <row r="1556">
          <cell r="B1556">
            <v>54</v>
          </cell>
          <cell r="C1556" t="str">
            <v>Professional, Scientific, and Technical ServicesT</v>
          </cell>
        </row>
        <row r="1557">
          <cell r="B1557">
            <v>541</v>
          </cell>
          <cell r="C1557" t="str">
            <v xml:space="preserve">Professional, Scientific, and Technical ServicesT </v>
          </cell>
        </row>
        <row r="1558">
          <cell r="B1558">
            <v>5411</v>
          </cell>
          <cell r="C1558" t="str">
            <v>Legal ServicesT</v>
          </cell>
        </row>
        <row r="1559">
          <cell r="B1559">
            <v>54111</v>
          </cell>
          <cell r="C1559" t="str">
            <v xml:space="preserve">Offices of LawyersT </v>
          </cell>
        </row>
        <row r="1560">
          <cell r="B1560">
            <v>541110</v>
          </cell>
          <cell r="C1560" t="str">
            <v>Offices of Lawyers</v>
          </cell>
        </row>
        <row r="1561">
          <cell r="B1561">
            <v>54112</v>
          </cell>
          <cell r="C1561" t="str">
            <v xml:space="preserve">Offices of NotariesT </v>
          </cell>
        </row>
        <row r="1562">
          <cell r="B1562">
            <v>541120</v>
          </cell>
          <cell r="C1562" t="str">
            <v>Offices of Notaries</v>
          </cell>
        </row>
        <row r="1563">
          <cell r="B1563">
            <v>54119</v>
          </cell>
          <cell r="C1563" t="str">
            <v xml:space="preserve">Other Legal ServicesT </v>
          </cell>
        </row>
        <row r="1564">
          <cell r="B1564">
            <v>541191</v>
          </cell>
          <cell r="C1564" t="str">
            <v xml:space="preserve">Title Abstract and Settlement Offices </v>
          </cell>
        </row>
        <row r="1565">
          <cell r="B1565">
            <v>541199</v>
          </cell>
          <cell r="C1565" t="str">
            <v xml:space="preserve">All Other Legal Services </v>
          </cell>
        </row>
        <row r="1566">
          <cell r="B1566">
            <v>5412</v>
          </cell>
          <cell r="C1566" t="str">
            <v xml:space="preserve">Accounting, Tax Preparation, Bookkeeping, and Payroll ServicesT </v>
          </cell>
        </row>
        <row r="1567">
          <cell r="B1567">
            <v>54121</v>
          </cell>
          <cell r="C1567" t="str">
            <v xml:space="preserve">Accounting, Tax Preparation, Bookkeeping, and Payroll ServicesT </v>
          </cell>
        </row>
        <row r="1568">
          <cell r="B1568">
            <v>541211</v>
          </cell>
          <cell r="C1568" t="str">
            <v xml:space="preserve">Offices of Certified Public Accountants </v>
          </cell>
        </row>
        <row r="1569">
          <cell r="B1569">
            <v>541213</v>
          </cell>
          <cell r="C1569" t="str">
            <v xml:space="preserve">Tax Preparation Services </v>
          </cell>
        </row>
        <row r="1570">
          <cell r="B1570">
            <v>541214</v>
          </cell>
          <cell r="C1570" t="str">
            <v xml:space="preserve">Payroll Services </v>
          </cell>
        </row>
        <row r="1571">
          <cell r="B1571">
            <v>541219</v>
          </cell>
          <cell r="C1571" t="str">
            <v xml:space="preserve">Other Accounting Services </v>
          </cell>
        </row>
        <row r="1572">
          <cell r="B1572">
            <v>5413</v>
          </cell>
          <cell r="C1572" t="str">
            <v xml:space="preserve">Architectural, Engineering, and Related ServicesT </v>
          </cell>
        </row>
        <row r="1573">
          <cell r="B1573">
            <v>54131</v>
          </cell>
          <cell r="C1573" t="str">
            <v xml:space="preserve">Architectural ServicesT </v>
          </cell>
        </row>
        <row r="1574">
          <cell r="B1574">
            <v>541310</v>
          </cell>
          <cell r="C1574" t="str">
            <v>Architectural Services</v>
          </cell>
        </row>
        <row r="1575">
          <cell r="B1575">
            <v>54132</v>
          </cell>
          <cell r="C1575" t="str">
            <v xml:space="preserve">Landscape Architectural ServicesT </v>
          </cell>
        </row>
        <row r="1576">
          <cell r="B1576">
            <v>541320</v>
          </cell>
          <cell r="C1576" t="str">
            <v>Landscape Architectural Services</v>
          </cell>
        </row>
        <row r="1577">
          <cell r="B1577">
            <v>54133</v>
          </cell>
          <cell r="C1577" t="str">
            <v xml:space="preserve">Engineering ServicesT </v>
          </cell>
        </row>
        <row r="1578">
          <cell r="B1578">
            <v>541330</v>
          </cell>
          <cell r="C1578" t="str">
            <v>Engineering Services</v>
          </cell>
        </row>
        <row r="1579">
          <cell r="B1579">
            <v>54134</v>
          </cell>
          <cell r="C1579" t="str">
            <v xml:space="preserve">Drafting ServicesT </v>
          </cell>
        </row>
        <row r="1580">
          <cell r="B1580">
            <v>541340</v>
          </cell>
          <cell r="C1580" t="str">
            <v>Drafting Services</v>
          </cell>
        </row>
        <row r="1581">
          <cell r="B1581">
            <v>54135</v>
          </cell>
          <cell r="C1581" t="str">
            <v xml:space="preserve">Building Inspection ServicesT </v>
          </cell>
        </row>
        <row r="1582">
          <cell r="B1582">
            <v>541350</v>
          </cell>
          <cell r="C1582" t="str">
            <v>Building Inspection Services</v>
          </cell>
        </row>
        <row r="1583">
          <cell r="B1583">
            <v>54136</v>
          </cell>
          <cell r="C1583" t="str">
            <v xml:space="preserve">Geophysical Surveying and Mapping ServicesT </v>
          </cell>
        </row>
        <row r="1584">
          <cell r="B1584">
            <v>541360</v>
          </cell>
          <cell r="C1584" t="str">
            <v>Geophysical Surveying and Mapping Services</v>
          </cell>
        </row>
        <row r="1585">
          <cell r="B1585">
            <v>54137</v>
          </cell>
          <cell r="C1585" t="str">
            <v xml:space="preserve">Surveying and Mapping (except Geophysical) ServicesT </v>
          </cell>
        </row>
        <row r="1586">
          <cell r="B1586">
            <v>541370</v>
          </cell>
          <cell r="C1586" t="str">
            <v>Surveying and Mapping (except Geophysical) Services</v>
          </cell>
        </row>
        <row r="1587">
          <cell r="B1587">
            <v>54138</v>
          </cell>
          <cell r="C1587" t="str">
            <v xml:space="preserve">Testing Laboratories and ServicesT </v>
          </cell>
        </row>
        <row r="1588">
          <cell r="B1588">
            <v>541380</v>
          </cell>
          <cell r="C1588" t="str">
            <v>Testing Laboratories and Services</v>
          </cell>
        </row>
        <row r="1589">
          <cell r="B1589">
            <v>5414</v>
          </cell>
          <cell r="C1589" t="str">
            <v xml:space="preserve">Specialized Design ServicesT </v>
          </cell>
        </row>
        <row r="1590">
          <cell r="B1590">
            <v>54141</v>
          </cell>
          <cell r="C1590" t="str">
            <v xml:space="preserve">Interior Design ServicesT </v>
          </cell>
        </row>
        <row r="1591">
          <cell r="B1591">
            <v>541410</v>
          </cell>
          <cell r="C1591" t="str">
            <v>Interior Design Services</v>
          </cell>
        </row>
        <row r="1592">
          <cell r="B1592">
            <v>54142</v>
          </cell>
          <cell r="C1592" t="str">
            <v xml:space="preserve">Industrial Design ServicesT </v>
          </cell>
        </row>
        <row r="1593">
          <cell r="B1593">
            <v>541420</v>
          </cell>
          <cell r="C1593" t="str">
            <v>Industrial Design Services</v>
          </cell>
        </row>
        <row r="1594">
          <cell r="B1594">
            <v>54143</v>
          </cell>
          <cell r="C1594" t="str">
            <v xml:space="preserve">Graphic Design ServicesT </v>
          </cell>
        </row>
        <row r="1595">
          <cell r="B1595">
            <v>541430</v>
          </cell>
          <cell r="C1595" t="str">
            <v>Graphic Design Services</v>
          </cell>
        </row>
        <row r="1596">
          <cell r="B1596">
            <v>54149</v>
          </cell>
          <cell r="C1596" t="str">
            <v xml:space="preserve">Other Specialized Design ServicesT </v>
          </cell>
        </row>
        <row r="1597">
          <cell r="B1597">
            <v>541490</v>
          </cell>
          <cell r="C1597" t="str">
            <v>Other Specialized Design Services</v>
          </cell>
        </row>
        <row r="1598">
          <cell r="B1598">
            <v>5415</v>
          </cell>
          <cell r="C1598" t="str">
            <v xml:space="preserve">Computer Systems Design and Related ServicesT </v>
          </cell>
        </row>
        <row r="1599">
          <cell r="B1599">
            <v>54151</v>
          </cell>
          <cell r="C1599" t="str">
            <v xml:space="preserve">Computer Systems Design and Related ServicesT </v>
          </cell>
        </row>
        <row r="1600">
          <cell r="B1600">
            <v>541511</v>
          </cell>
          <cell r="C1600" t="str">
            <v xml:space="preserve">Custom Computer Programming Services </v>
          </cell>
        </row>
        <row r="1601">
          <cell r="B1601">
            <v>541512</v>
          </cell>
          <cell r="C1601" t="str">
            <v xml:space="preserve">Computer Systems Design Services </v>
          </cell>
        </row>
        <row r="1602">
          <cell r="B1602">
            <v>541513</v>
          </cell>
          <cell r="C1602" t="str">
            <v xml:space="preserve">Computer Facilities Management Services </v>
          </cell>
        </row>
        <row r="1603">
          <cell r="B1603">
            <v>541519</v>
          </cell>
          <cell r="C1603" t="str">
            <v>Other Computer Related Services</v>
          </cell>
        </row>
        <row r="1604">
          <cell r="B1604">
            <v>5416</v>
          </cell>
          <cell r="C1604" t="str">
            <v xml:space="preserve">Management, Scientific, and Technical Consulting ServicesT </v>
          </cell>
        </row>
        <row r="1605">
          <cell r="B1605">
            <v>54161</v>
          </cell>
          <cell r="C1605" t="str">
            <v xml:space="preserve">Management Consulting ServicesT </v>
          </cell>
        </row>
        <row r="1606">
          <cell r="B1606">
            <v>541611</v>
          </cell>
          <cell r="C1606" t="str">
            <v xml:space="preserve">Administrative Management and General Management Consulting Services </v>
          </cell>
        </row>
        <row r="1607">
          <cell r="B1607">
            <v>541612</v>
          </cell>
          <cell r="C1607" t="str">
            <v xml:space="preserve">Human Resources Consulting Services </v>
          </cell>
        </row>
        <row r="1608">
          <cell r="B1608">
            <v>541613</v>
          </cell>
          <cell r="C1608" t="str">
            <v xml:space="preserve">Marketing Consulting Services </v>
          </cell>
        </row>
        <row r="1609">
          <cell r="B1609">
            <v>541614</v>
          </cell>
          <cell r="C1609" t="str">
            <v xml:space="preserve">Process, Physical Distribution, and Logistics Consulting Services </v>
          </cell>
        </row>
        <row r="1610">
          <cell r="B1610">
            <v>541618</v>
          </cell>
          <cell r="C1610" t="str">
            <v xml:space="preserve">Other Management Consulting Services </v>
          </cell>
        </row>
        <row r="1611">
          <cell r="B1611">
            <v>54162</v>
          </cell>
          <cell r="C1611" t="str">
            <v xml:space="preserve">Environmental Consulting ServicesT </v>
          </cell>
        </row>
        <row r="1612">
          <cell r="B1612">
            <v>541620</v>
          </cell>
          <cell r="C1612" t="str">
            <v>Environmental Consulting Services</v>
          </cell>
        </row>
        <row r="1613">
          <cell r="B1613">
            <v>54169</v>
          </cell>
          <cell r="C1613" t="str">
            <v xml:space="preserve">Other Scientific and Technical Consulting ServicesT </v>
          </cell>
        </row>
        <row r="1614">
          <cell r="B1614">
            <v>541690</v>
          </cell>
          <cell r="C1614" t="str">
            <v>Other Scientific and Technical Consulting Services</v>
          </cell>
        </row>
        <row r="1615">
          <cell r="B1615">
            <v>5417</v>
          </cell>
          <cell r="C1615" t="str">
            <v xml:space="preserve">Scientific Research and Development ServicesT </v>
          </cell>
        </row>
        <row r="1616">
          <cell r="B1616">
            <v>54171</v>
          </cell>
          <cell r="C1616" t="str">
            <v xml:space="preserve">Research and Development in the Physical, Engineering, and Life SciencesT </v>
          </cell>
        </row>
        <row r="1617">
          <cell r="B1617">
            <v>541713</v>
          </cell>
          <cell r="C1617" t="str">
            <v xml:space="preserve">Research and Development in Nanotechnology </v>
          </cell>
        </row>
        <row r="1618">
          <cell r="B1618">
            <v>541714</v>
          </cell>
          <cell r="C1618" t="str">
            <v>Research and Development in Biotechnology (except Nanobiotechnology)</v>
          </cell>
        </row>
        <row r="1619">
          <cell r="B1619">
            <v>541715</v>
          </cell>
          <cell r="C1619" t="str">
            <v xml:space="preserve">Research and Development in the Physical, Engineering, and Life Sciences (except Nanotechnology and Biotechnology) </v>
          </cell>
        </row>
        <row r="1620">
          <cell r="B1620">
            <v>54172</v>
          </cell>
          <cell r="C1620" t="str">
            <v xml:space="preserve">Research and Development in the Social Sciences and HumanitiesT </v>
          </cell>
        </row>
        <row r="1621">
          <cell r="B1621">
            <v>541720</v>
          </cell>
          <cell r="C1621" t="str">
            <v xml:space="preserve">Research and Development in the Social Sciences and Humanities </v>
          </cell>
        </row>
        <row r="1622">
          <cell r="B1622">
            <v>5418</v>
          </cell>
          <cell r="C1622" t="str">
            <v xml:space="preserve">Advertising, Public Relations, and Related ServicesT </v>
          </cell>
        </row>
        <row r="1623">
          <cell r="B1623">
            <v>54181</v>
          </cell>
          <cell r="C1623" t="str">
            <v xml:space="preserve">Advertising AgenciesT </v>
          </cell>
        </row>
        <row r="1624">
          <cell r="B1624">
            <v>541810</v>
          </cell>
          <cell r="C1624" t="str">
            <v>Advertising Agencies</v>
          </cell>
        </row>
        <row r="1625">
          <cell r="B1625">
            <v>54182</v>
          </cell>
          <cell r="C1625" t="str">
            <v xml:space="preserve">Public Relations AgenciesT </v>
          </cell>
        </row>
        <row r="1626">
          <cell r="B1626">
            <v>541820</v>
          </cell>
          <cell r="C1626" t="str">
            <v>Public Relations Agencies</v>
          </cell>
        </row>
        <row r="1627">
          <cell r="B1627">
            <v>54183</v>
          </cell>
          <cell r="C1627" t="str">
            <v xml:space="preserve">Media Buying AgenciesT </v>
          </cell>
        </row>
        <row r="1628">
          <cell r="B1628">
            <v>541830</v>
          </cell>
          <cell r="C1628" t="str">
            <v>Media Buying Agencies</v>
          </cell>
        </row>
        <row r="1629">
          <cell r="B1629">
            <v>54184</v>
          </cell>
          <cell r="C1629" t="str">
            <v xml:space="preserve">Media RepresentativesT </v>
          </cell>
        </row>
        <row r="1630">
          <cell r="B1630">
            <v>541840</v>
          </cell>
          <cell r="C1630" t="str">
            <v>Media Representatives</v>
          </cell>
        </row>
        <row r="1631">
          <cell r="B1631">
            <v>54185</v>
          </cell>
          <cell r="C1631" t="str">
            <v xml:space="preserve">Indoor and Outdoor Display AdvertisingT </v>
          </cell>
        </row>
        <row r="1632">
          <cell r="B1632">
            <v>541850</v>
          </cell>
          <cell r="C1632" t="str">
            <v>Indoor and Outdoor Display Advertising</v>
          </cell>
        </row>
        <row r="1633">
          <cell r="B1633">
            <v>54186</v>
          </cell>
          <cell r="C1633" t="str">
            <v xml:space="preserve">Direct Mail AdvertisingT </v>
          </cell>
        </row>
        <row r="1634">
          <cell r="B1634">
            <v>541860</v>
          </cell>
          <cell r="C1634" t="str">
            <v>Direct Mail Advertising</v>
          </cell>
        </row>
        <row r="1635">
          <cell r="B1635">
            <v>54187</v>
          </cell>
          <cell r="C1635" t="str">
            <v xml:space="preserve">Advertising Material Distribution ServicesT </v>
          </cell>
        </row>
        <row r="1636">
          <cell r="B1636">
            <v>541870</v>
          </cell>
          <cell r="C1636" t="str">
            <v>Advertising Material Distribution Services</v>
          </cell>
        </row>
        <row r="1637">
          <cell r="B1637">
            <v>54189</v>
          </cell>
          <cell r="C1637" t="str">
            <v xml:space="preserve">Other Services Related to AdvertisingT </v>
          </cell>
        </row>
        <row r="1638">
          <cell r="B1638">
            <v>541890</v>
          </cell>
          <cell r="C1638" t="str">
            <v xml:space="preserve">Other Services Related to Advertising </v>
          </cell>
        </row>
        <row r="1639">
          <cell r="B1639">
            <v>5419</v>
          </cell>
          <cell r="C1639" t="str">
            <v xml:space="preserve">Other Professional, Scientific, and Technical ServicesT </v>
          </cell>
        </row>
        <row r="1640">
          <cell r="B1640">
            <v>54191</v>
          </cell>
          <cell r="C1640" t="str">
            <v xml:space="preserve">Marketing Research and Public Opinion PollingT </v>
          </cell>
        </row>
        <row r="1641">
          <cell r="B1641">
            <v>541910</v>
          </cell>
          <cell r="C1641" t="str">
            <v>Marketing Research and Public Opinion Polling</v>
          </cell>
        </row>
        <row r="1642">
          <cell r="B1642">
            <v>54192</v>
          </cell>
          <cell r="C1642" t="str">
            <v xml:space="preserve">Photographic ServicesT </v>
          </cell>
        </row>
        <row r="1643">
          <cell r="B1643">
            <v>541921</v>
          </cell>
          <cell r="C1643" t="str">
            <v xml:space="preserve">Photography Studios, Portrait </v>
          </cell>
        </row>
        <row r="1644">
          <cell r="B1644">
            <v>541922</v>
          </cell>
          <cell r="C1644" t="str">
            <v xml:space="preserve">Commercial Photography </v>
          </cell>
        </row>
        <row r="1645">
          <cell r="B1645">
            <v>54193</v>
          </cell>
          <cell r="C1645" t="str">
            <v xml:space="preserve">Translation and Interpretation ServicesT </v>
          </cell>
        </row>
        <row r="1646">
          <cell r="B1646">
            <v>541930</v>
          </cell>
          <cell r="C1646" t="str">
            <v>Translation and Interpretation Services</v>
          </cell>
        </row>
        <row r="1647">
          <cell r="B1647">
            <v>54194</v>
          </cell>
          <cell r="C1647" t="str">
            <v xml:space="preserve">Veterinary ServicesT </v>
          </cell>
        </row>
        <row r="1648">
          <cell r="B1648">
            <v>541940</v>
          </cell>
          <cell r="C1648" t="str">
            <v xml:space="preserve">Veterinary Services </v>
          </cell>
        </row>
        <row r="1649">
          <cell r="B1649">
            <v>54199</v>
          </cell>
          <cell r="C1649" t="str">
            <v xml:space="preserve">All Other Professional, Scientific, and Technical ServicesT </v>
          </cell>
        </row>
        <row r="1650">
          <cell r="B1650">
            <v>541990</v>
          </cell>
          <cell r="C1650" t="str">
            <v>All Other Professional, Scientific, and Technical Services</v>
          </cell>
        </row>
        <row r="1652">
          <cell r="B1652">
            <v>55</v>
          </cell>
          <cell r="C1652" t="str">
            <v xml:space="preserve">Management of Companies and EnterprisesT </v>
          </cell>
        </row>
        <row r="1653">
          <cell r="B1653">
            <v>551</v>
          </cell>
          <cell r="C1653" t="str">
            <v xml:space="preserve">Management of Companies and EnterprisesT </v>
          </cell>
        </row>
        <row r="1654">
          <cell r="B1654">
            <v>5511</v>
          </cell>
          <cell r="C1654" t="str">
            <v xml:space="preserve">Management of Companies and EnterprisesT </v>
          </cell>
        </row>
        <row r="1655">
          <cell r="B1655">
            <v>55111</v>
          </cell>
          <cell r="C1655" t="str">
            <v xml:space="preserve">Management of Companies and EnterprisesT </v>
          </cell>
        </row>
        <row r="1656">
          <cell r="B1656">
            <v>551111</v>
          </cell>
          <cell r="C1656" t="str">
            <v xml:space="preserve">Offices of Bank Holding Companies </v>
          </cell>
        </row>
        <row r="1657">
          <cell r="B1657">
            <v>551112</v>
          </cell>
          <cell r="C1657" t="str">
            <v xml:space="preserve">Offices of Other Holding Companies </v>
          </cell>
        </row>
        <row r="1658">
          <cell r="B1658">
            <v>551114</v>
          </cell>
          <cell r="C1658" t="str">
            <v xml:space="preserve">Corporate, Subsidiary, and Regional Managing Offices </v>
          </cell>
        </row>
        <row r="1660">
          <cell r="B1660">
            <v>56</v>
          </cell>
          <cell r="C1660" t="str">
            <v>Administrative and Support and Waste Management and Remediation ServicesT</v>
          </cell>
        </row>
        <row r="1661">
          <cell r="B1661">
            <v>561</v>
          </cell>
          <cell r="C1661" t="str">
            <v xml:space="preserve">Administrative and Support ServicesT </v>
          </cell>
        </row>
        <row r="1662">
          <cell r="B1662">
            <v>5611</v>
          </cell>
          <cell r="C1662" t="str">
            <v xml:space="preserve">Office Administrative ServicesT </v>
          </cell>
        </row>
        <row r="1663">
          <cell r="B1663">
            <v>56111</v>
          </cell>
          <cell r="C1663" t="str">
            <v xml:space="preserve">Office Administrative ServicesT </v>
          </cell>
        </row>
        <row r="1664">
          <cell r="B1664">
            <v>561110</v>
          </cell>
          <cell r="C1664" t="str">
            <v>Office Administrative Services</v>
          </cell>
        </row>
        <row r="1665">
          <cell r="B1665">
            <v>5612</v>
          </cell>
          <cell r="C1665" t="str">
            <v xml:space="preserve">Facilities Support ServicesT </v>
          </cell>
        </row>
        <row r="1666">
          <cell r="B1666">
            <v>56121</v>
          </cell>
          <cell r="C1666" t="str">
            <v xml:space="preserve">Facilities Support ServicesT </v>
          </cell>
        </row>
        <row r="1667">
          <cell r="B1667">
            <v>561210</v>
          </cell>
          <cell r="C1667" t="str">
            <v>Facilities Support Services</v>
          </cell>
        </row>
        <row r="1668">
          <cell r="B1668">
            <v>5613</v>
          </cell>
          <cell r="C1668" t="str">
            <v xml:space="preserve">Employment ServicesT </v>
          </cell>
        </row>
        <row r="1669">
          <cell r="B1669">
            <v>56131</v>
          </cell>
          <cell r="C1669" t="str">
            <v xml:space="preserve">Employment Placement Agencies and Executive Search ServicesT </v>
          </cell>
        </row>
        <row r="1670">
          <cell r="B1670">
            <v>561311</v>
          </cell>
          <cell r="C1670" t="str">
            <v xml:space="preserve">Employment Placement Agencies </v>
          </cell>
        </row>
        <row r="1671">
          <cell r="B1671">
            <v>561312</v>
          </cell>
          <cell r="C1671" t="str">
            <v xml:space="preserve">Executive Search Services </v>
          </cell>
        </row>
        <row r="1672">
          <cell r="B1672">
            <v>56132</v>
          </cell>
          <cell r="C1672" t="str">
            <v xml:space="preserve">Temporary Help ServicesT </v>
          </cell>
        </row>
        <row r="1673">
          <cell r="B1673">
            <v>561320</v>
          </cell>
          <cell r="C1673" t="str">
            <v>Temporary Help Services</v>
          </cell>
        </row>
        <row r="1674">
          <cell r="B1674">
            <v>56133</v>
          </cell>
          <cell r="C1674" t="str">
            <v xml:space="preserve">Professional Employer OrganizationsT </v>
          </cell>
        </row>
        <row r="1675">
          <cell r="B1675">
            <v>561330</v>
          </cell>
          <cell r="C1675" t="str">
            <v>Professional Employer Organizations</v>
          </cell>
        </row>
        <row r="1676">
          <cell r="B1676">
            <v>5614</v>
          </cell>
          <cell r="C1676" t="str">
            <v xml:space="preserve">Business Support ServicesT </v>
          </cell>
        </row>
        <row r="1677">
          <cell r="B1677">
            <v>56141</v>
          </cell>
          <cell r="C1677" t="str">
            <v xml:space="preserve">Document Preparation ServicesT </v>
          </cell>
        </row>
        <row r="1678">
          <cell r="B1678">
            <v>561410</v>
          </cell>
          <cell r="C1678" t="str">
            <v>Document Preparation Services</v>
          </cell>
        </row>
        <row r="1679">
          <cell r="B1679">
            <v>56142</v>
          </cell>
          <cell r="C1679" t="str">
            <v xml:space="preserve">Telephone Call CentersT </v>
          </cell>
        </row>
        <row r="1680">
          <cell r="B1680">
            <v>561421</v>
          </cell>
          <cell r="C1680" t="str">
            <v xml:space="preserve">Telephone Answering Services </v>
          </cell>
        </row>
        <row r="1681">
          <cell r="B1681">
            <v>561422</v>
          </cell>
          <cell r="C1681" t="str">
            <v xml:space="preserve">Telemarketing Bureaus and Other Contact Centers </v>
          </cell>
        </row>
        <row r="1682">
          <cell r="B1682">
            <v>56143</v>
          </cell>
          <cell r="C1682" t="str">
            <v xml:space="preserve">Business Service CentersT </v>
          </cell>
        </row>
        <row r="1683">
          <cell r="B1683">
            <v>561431</v>
          </cell>
          <cell r="C1683" t="str">
            <v xml:space="preserve">Private Mail Centers </v>
          </cell>
        </row>
        <row r="1684">
          <cell r="B1684">
            <v>561439</v>
          </cell>
          <cell r="C1684" t="str">
            <v xml:space="preserve">Other Business Service Centers (including Copy Shops) </v>
          </cell>
        </row>
        <row r="1685">
          <cell r="B1685">
            <v>56144</v>
          </cell>
          <cell r="C1685" t="str">
            <v xml:space="preserve">Collection AgenciesT </v>
          </cell>
        </row>
        <row r="1686">
          <cell r="B1686">
            <v>561440</v>
          </cell>
          <cell r="C1686" t="str">
            <v>Collection Agencies</v>
          </cell>
        </row>
        <row r="1687">
          <cell r="B1687">
            <v>56145</v>
          </cell>
          <cell r="C1687" t="str">
            <v xml:space="preserve">Credit BureausT </v>
          </cell>
        </row>
        <row r="1688">
          <cell r="B1688">
            <v>561450</v>
          </cell>
          <cell r="C1688" t="str">
            <v>Credit Bureaus</v>
          </cell>
        </row>
        <row r="1689">
          <cell r="B1689">
            <v>56149</v>
          </cell>
          <cell r="C1689" t="str">
            <v xml:space="preserve">Other Business Support ServicesT </v>
          </cell>
        </row>
        <row r="1690">
          <cell r="B1690">
            <v>561491</v>
          </cell>
          <cell r="C1690" t="str">
            <v xml:space="preserve">Repossession Services </v>
          </cell>
        </row>
        <row r="1691">
          <cell r="B1691">
            <v>561492</v>
          </cell>
          <cell r="C1691" t="str">
            <v xml:space="preserve">Court Reporting and Stenotype Services </v>
          </cell>
        </row>
        <row r="1692">
          <cell r="B1692">
            <v>561499</v>
          </cell>
          <cell r="C1692" t="str">
            <v xml:space="preserve">All Other Business Support Services </v>
          </cell>
        </row>
        <row r="1693">
          <cell r="B1693">
            <v>5615</v>
          </cell>
          <cell r="C1693" t="str">
            <v xml:space="preserve">Travel Arrangement and Reservation ServicesT </v>
          </cell>
        </row>
        <row r="1694">
          <cell r="B1694">
            <v>56151</v>
          </cell>
          <cell r="C1694" t="str">
            <v xml:space="preserve">Travel AgenciesT </v>
          </cell>
        </row>
        <row r="1695">
          <cell r="B1695">
            <v>561510</v>
          </cell>
          <cell r="C1695" t="str">
            <v>Travel Agencies</v>
          </cell>
        </row>
        <row r="1696">
          <cell r="B1696">
            <v>56152</v>
          </cell>
          <cell r="C1696" t="str">
            <v xml:space="preserve">Tour OperatorsT </v>
          </cell>
        </row>
        <row r="1697">
          <cell r="B1697">
            <v>561520</v>
          </cell>
          <cell r="C1697" t="str">
            <v>Tour Operators</v>
          </cell>
        </row>
        <row r="1698">
          <cell r="B1698">
            <v>56159</v>
          </cell>
          <cell r="C1698" t="str">
            <v xml:space="preserve">Other Travel Arrangement and Reservation ServicesT </v>
          </cell>
        </row>
        <row r="1699">
          <cell r="B1699">
            <v>561591</v>
          </cell>
          <cell r="C1699" t="str">
            <v xml:space="preserve">Convention and Visitors Bureaus </v>
          </cell>
        </row>
        <row r="1700">
          <cell r="B1700">
            <v>561599</v>
          </cell>
          <cell r="C1700" t="str">
            <v xml:space="preserve">All Other Travel Arrangement and Reservation Services </v>
          </cell>
        </row>
        <row r="1701">
          <cell r="B1701">
            <v>5616</v>
          </cell>
          <cell r="C1701" t="str">
            <v xml:space="preserve">Investigation and Security ServicesT </v>
          </cell>
        </row>
        <row r="1702">
          <cell r="B1702">
            <v>56161</v>
          </cell>
          <cell r="C1702" t="str">
            <v xml:space="preserve">Investigation, Guard, and Armored Car ServicesT </v>
          </cell>
        </row>
        <row r="1703">
          <cell r="B1703">
            <v>561611</v>
          </cell>
          <cell r="C1703" t="str">
            <v xml:space="preserve">Investigation and Personal Background Check Services </v>
          </cell>
        </row>
        <row r="1704">
          <cell r="B1704">
            <v>561612</v>
          </cell>
          <cell r="C1704" t="str">
            <v xml:space="preserve">Security Guards and Patrol Services </v>
          </cell>
        </row>
        <row r="1705">
          <cell r="B1705">
            <v>561613</v>
          </cell>
          <cell r="C1705" t="str">
            <v xml:space="preserve">Armored Car Services </v>
          </cell>
        </row>
        <row r="1706">
          <cell r="B1706">
            <v>56162</v>
          </cell>
          <cell r="C1706" t="str">
            <v xml:space="preserve">Security Systems ServicesT </v>
          </cell>
        </row>
        <row r="1707">
          <cell r="B1707">
            <v>561621</v>
          </cell>
          <cell r="C1707" t="str">
            <v xml:space="preserve">Security Systems Services (except Locksmiths) </v>
          </cell>
        </row>
        <row r="1708">
          <cell r="B1708">
            <v>561622</v>
          </cell>
          <cell r="C1708" t="str">
            <v xml:space="preserve">Locksmiths </v>
          </cell>
        </row>
        <row r="1709">
          <cell r="B1709">
            <v>5617</v>
          </cell>
          <cell r="C1709" t="str">
            <v xml:space="preserve">Services to Buildings and DwellingsT </v>
          </cell>
        </row>
        <row r="1710">
          <cell r="B1710">
            <v>56171</v>
          </cell>
          <cell r="C1710" t="str">
            <v xml:space="preserve">Exterminating and Pest Control ServicesT </v>
          </cell>
        </row>
        <row r="1711">
          <cell r="B1711">
            <v>561710</v>
          </cell>
          <cell r="C1711" t="str">
            <v>Exterminating and Pest Control Services</v>
          </cell>
        </row>
        <row r="1712">
          <cell r="B1712">
            <v>56172</v>
          </cell>
          <cell r="C1712" t="str">
            <v xml:space="preserve">Janitorial ServicesT </v>
          </cell>
        </row>
        <row r="1713">
          <cell r="B1713">
            <v>561720</v>
          </cell>
          <cell r="C1713" t="str">
            <v xml:space="preserve">Janitorial Services </v>
          </cell>
        </row>
        <row r="1714">
          <cell r="B1714">
            <v>56173</v>
          </cell>
          <cell r="C1714" t="str">
            <v xml:space="preserve">Landscaping ServicesT </v>
          </cell>
        </row>
        <row r="1715">
          <cell r="B1715">
            <v>561730</v>
          </cell>
          <cell r="C1715" t="str">
            <v>Landscaping Services</v>
          </cell>
        </row>
        <row r="1716">
          <cell r="B1716">
            <v>56174</v>
          </cell>
          <cell r="C1716" t="str">
            <v xml:space="preserve">Carpet and Upholstery Cleaning ServicesT </v>
          </cell>
        </row>
        <row r="1717">
          <cell r="B1717">
            <v>561740</v>
          </cell>
          <cell r="C1717" t="str">
            <v>Carpet and Upholstery Cleaning Services</v>
          </cell>
        </row>
        <row r="1718">
          <cell r="B1718">
            <v>56179</v>
          </cell>
          <cell r="C1718" t="str">
            <v xml:space="preserve">Other Services to Buildings and DwellingsT </v>
          </cell>
        </row>
        <row r="1719">
          <cell r="B1719">
            <v>561790</v>
          </cell>
          <cell r="C1719" t="str">
            <v xml:space="preserve">Other Services to Buildings and Dwellings </v>
          </cell>
        </row>
        <row r="1720">
          <cell r="B1720">
            <v>5619</v>
          </cell>
          <cell r="C1720" t="str">
            <v xml:space="preserve">Other Support ServicesT </v>
          </cell>
        </row>
        <row r="1721">
          <cell r="B1721">
            <v>56191</v>
          </cell>
          <cell r="C1721" t="str">
            <v xml:space="preserve">Packaging and Labeling ServicesT </v>
          </cell>
        </row>
        <row r="1722">
          <cell r="B1722">
            <v>561910</v>
          </cell>
          <cell r="C1722" t="str">
            <v>Packaging and Labeling Services</v>
          </cell>
        </row>
        <row r="1723">
          <cell r="B1723">
            <v>56192</v>
          </cell>
          <cell r="C1723" t="str">
            <v xml:space="preserve">Convention and Trade Show OrganizersT </v>
          </cell>
        </row>
        <row r="1724">
          <cell r="B1724">
            <v>561920</v>
          </cell>
          <cell r="C1724" t="str">
            <v>Convention and Trade Show Organizers</v>
          </cell>
        </row>
        <row r="1725">
          <cell r="B1725">
            <v>56199</v>
          </cell>
          <cell r="C1725" t="str">
            <v xml:space="preserve">All Other Support ServicesT </v>
          </cell>
        </row>
        <row r="1726">
          <cell r="B1726">
            <v>561990</v>
          </cell>
          <cell r="C1726" t="str">
            <v>All Other Support Services</v>
          </cell>
        </row>
        <row r="1727">
          <cell r="B1727">
            <v>562</v>
          </cell>
          <cell r="C1727" t="str">
            <v xml:space="preserve">Waste Management and Remediation ServicesT </v>
          </cell>
        </row>
        <row r="1728">
          <cell r="B1728">
            <v>5621</v>
          </cell>
          <cell r="C1728" t="str">
            <v xml:space="preserve">Waste Collection </v>
          </cell>
        </row>
        <row r="1729">
          <cell r="B1729">
            <v>56211</v>
          </cell>
          <cell r="C1729" t="str">
            <v xml:space="preserve">Waste Collection </v>
          </cell>
        </row>
        <row r="1730">
          <cell r="B1730">
            <v>562111</v>
          </cell>
          <cell r="C1730" t="str">
            <v xml:space="preserve">Solid Waste Collection </v>
          </cell>
        </row>
        <row r="1731">
          <cell r="B1731">
            <v>562112</v>
          </cell>
          <cell r="C1731" t="str">
            <v xml:space="preserve">Hazardous Waste Collection </v>
          </cell>
        </row>
        <row r="1732">
          <cell r="B1732">
            <v>562119</v>
          </cell>
          <cell r="C1732" t="str">
            <v xml:space="preserve">Other Waste Collection </v>
          </cell>
        </row>
        <row r="1733">
          <cell r="B1733">
            <v>5622</v>
          </cell>
          <cell r="C1733" t="str">
            <v xml:space="preserve">Waste Treatment and Disposal </v>
          </cell>
        </row>
        <row r="1734">
          <cell r="B1734">
            <v>56221</v>
          </cell>
          <cell r="C1734" t="str">
            <v xml:space="preserve">Waste Treatment and Disposal </v>
          </cell>
        </row>
        <row r="1735">
          <cell r="B1735">
            <v>562211</v>
          </cell>
          <cell r="C1735" t="str">
            <v xml:space="preserve">Hazardous Waste Treatment and Disposal </v>
          </cell>
        </row>
        <row r="1736">
          <cell r="B1736">
            <v>562212</v>
          </cell>
          <cell r="C1736" t="str">
            <v xml:space="preserve">Solid Waste Landfill </v>
          </cell>
        </row>
        <row r="1737">
          <cell r="B1737">
            <v>562213</v>
          </cell>
          <cell r="C1737" t="str">
            <v xml:space="preserve">Solid Waste Combustors and Incinerators </v>
          </cell>
        </row>
        <row r="1738">
          <cell r="B1738">
            <v>562219</v>
          </cell>
          <cell r="C1738" t="str">
            <v xml:space="preserve">Other Nonhazardous Waste Treatment and Disposal </v>
          </cell>
        </row>
        <row r="1739">
          <cell r="B1739">
            <v>5629</v>
          </cell>
          <cell r="C1739" t="str">
            <v xml:space="preserve">Remediation and Other Waste Management Services </v>
          </cell>
        </row>
        <row r="1740">
          <cell r="B1740">
            <v>56291</v>
          </cell>
          <cell r="C1740" t="str">
            <v xml:space="preserve">Remediation Services </v>
          </cell>
        </row>
        <row r="1741">
          <cell r="B1741">
            <v>562910</v>
          </cell>
          <cell r="C1741" t="str">
            <v xml:space="preserve">Remediation Services </v>
          </cell>
        </row>
        <row r="1742">
          <cell r="B1742">
            <v>56292</v>
          </cell>
          <cell r="C1742" t="str">
            <v xml:space="preserve">Materials Recovery Facilities </v>
          </cell>
        </row>
        <row r="1743">
          <cell r="B1743">
            <v>562920</v>
          </cell>
          <cell r="C1743" t="str">
            <v xml:space="preserve">Materials Recovery Facilities </v>
          </cell>
        </row>
        <row r="1744">
          <cell r="B1744">
            <v>56299</v>
          </cell>
          <cell r="C1744" t="str">
            <v xml:space="preserve">All Other Waste Management Services </v>
          </cell>
        </row>
        <row r="1745">
          <cell r="B1745">
            <v>562991</v>
          </cell>
          <cell r="C1745" t="str">
            <v xml:space="preserve">Septic Tank and Related Services </v>
          </cell>
        </row>
        <row r="1746">
          <cell r="B1746">
            <v>562998</v>
          </cell>
          <cell r="C1746" t="str">
            <v xml:space="preserve">All Other Miscellaneous Waste Management Services </v>
          </cell>
        </row>
        <row r="1748">
          <cell r="B1748">
            <v>61</v>
          </cell>
          <cell r="C1748" t="str">
            <v>Educational ServicesT</v>
          </cell>
        </row>
        <row r="1749">
          <cell r="B1749">
            <v>611</v>
          </cell>
          <cell r="C1749" t="str">
            <v xml:space="preserve">Educational ServicesT </v>
          </cell>
        </row>
        <row r="1750">
          <cell r="B1750">
            <v>6111</v>
          </cell>
          <cell r="C1750" t="str">
            <v xml:space="preserve">Elementary and Secondary SchoolsT </v>
          </cell>
        </row>
        <row r="1751">
          <cell r="B1751">
            <v>61111</v>
          </cell>
          <cell r="C1751" t="str">
            <v xml:space="preserve">Elementary and Secondary Schools </v>
          </cell>
        </row>
        <row r="1752">
          <cell r="B1752">
            <v>611110</v>
          </cell>
          <cell r="C1752" t="str">
            <v xml:space="preserve">Elementary and Secondary Schools </v>
          </cell>
        </row>
        <row r="1753">
          <cell r="B1753">
            <v>6112</v>
          </cell>
          <cell r="C1753" t="str">
            <v xml:space="preserve">Junior CollegesT </v>
          </cell>
        </row>
        <row r="1754">
          <cell r="B1754">
            <v>61121</v>
          </cell>
          <cell r="C1754" t="str">
            <v xml:space="preserve">Junior CollegesT </v>
          </cell>
        </row>
        <row r="1755">
          <cell r="B1755">
            <v>611210</v>
          </cell>
          <cell r="C1755" t="str">
            <v xml:space="preserve">Junior Colleges </v>
          </cell>
        </row>
        <row r="1756">
          <cell r="B1756">
            <v>6113</v>
          </cell>
          <cell r="C1756" t="str">
            <v xml:space="preserve">Colleges, Universities, and Professional SchoolsT </v>
          </cell>
        </row>
        <row r="1757">
          <cell r="B1757">
            <v>61131</v>
          </cell>
          <cell r="C1757" t="str">
            <v xml:space="preserve">Colleges, Universities, and Professional SchoolsT </v>
          </cell>
        </row>
        <row r="1758">
          <cell r="B1758">
            <v>611310</v>
          </cell>
          <cell r="C1758" t="str">
            <v xml:space="preserve">Colleges, Universities, and Professional Schools </v>
          </cell>
        </row>
        <row r="1759">
          <cell r="B1759">
            <v>6114</v>
          </cell>
          <cell r="C1759" t="str">
            <v xml:space="preserve">Business Schools and Computer and Management TrainingT </v>
          </cell>
        </row>
        <row r="1760">
          <cell r="B1760">
            <v>61141</v>
          </cell>
          <cell r="C1760" t="str">
            <v xml:space="preserve">Business and Secretarial SchoolsT </v>
          </cell>
        </row>
        <row r="1761">
          <cell r="B1761">
            <v>611410</v>
          </cell>
          <cell r="C1761" t="str">
            <v xml:space="preserve">Business and Secretarial Schools </v>
          </cell>
        </row>
        <row r="1762">
          <cell r="B1762">
            <v>61142</v>
          </cell>
          <cell r="C1762" t="str">
            <v xml:space="preserve">Computer TrainingT </v>
          </cell>
        </row>
        <row r="1763">
          <cell r="B1763">
            <v>611420</v>
          </cell>
          <cell r="C1763" t="str">
            <v xml:space="preserve">Computer Training </v>
          </cell>
        </row>
        <row r="1764">
          <cell r="B1764">
            <v>61143</v>
          </cell>
          <cell r="C1764" t="str">
            <v xml:space="preserve">Professional and Management Development TrainingT </v>
          </cell>
        </row>
        <row r="1765">
          <cell r="B1765">
            <v>611430</v>
          </cell>
          <cell r="C1765" t="str">
            <v xml:space="preserve">Professional and Management Development Training </v>
          </cell>
        </row>
        <row r="1766">
          <cell r="B1766">
            <v>6115</v>
          </cell>
          <cell r="C1766" t="str">
            <v xml:space="preserve">Technical and Trade SchoolsT </v>
          </cell>
        </row>
        <row r="1767">
          <cell r="B1767">
            <v>61151</v>
          </cell>
          <cell r="C1767" t="str">
            <v xml:space="preserve">Technical and Trade SchoolsT </v>
          </cell>
        </row>
        <row r="1768">
          <cell r="B1768">
            <v>611511</v>
          </cell>
          <cell r="C1768" t="str">
            <v xml:space="preserve">Cosmetology and Barber Schools </v>
          </cell>
        </row>
        <row r="1769">
          <cell r="B1769">
            <v>611512</v>
          </cell>
          <cell r="C1769" t="str">
            <v xml:space="preserve">Flight Training </v>
          </cell>
        </row>
        <row r="1770">
          <cell r="B1770">
            <v>611513</v>
          </cell>
          <cell r="C1770" t="str">
            <v xml:space="preserve">Apprenticeship Training </v>
          </cell>
        </row>
        <row r="1771">
          <cell r="B1771">
            <v>611519</v>
          </cell>
          <cell r="C1771" t="str">
            <v xml:space="preserve">Other Technical and Trade Schools </v>
          </cell>
        </row>
        <row r="1772">
          <cell r="B1772">
            <v>6116</v>
          </cell>
          <cell r="C1772" t="str">
            <v xml:space="preserve">Other Schools and InstructionT </v>
          </cell>
        </row>
        <row r="1773">
          <cell r="B1773">
            <v>61161</v>
          </cell>
          <cell r="C1773" t="str">
            <v xml:space="preserve">Fine Arts SchoolsT </v>
          </cell>
        </row>
        <row r="1774">
          <cell r="B1774">
            <v>611610</v>
          </cell>
          <cell r="C1774" t="str">
            <v xml:space="preserve">Fine Arts Schools </v>
          </cell>
        </row>
        <row r="1775">
          <cell r="B1775">
            <v>61162</v>
          </cell>
          <cell r="C1775" t="str">
            <v xml:space="preserve">Sports and Recreation InstructionT </v>
          </cell>
        </row>
        <row r="1776">
          <cell r="B1776">
            <v>611620</v>
          </cell>
          <cell r="C1776" t="str">
            <v xml:space="preserve">Sports and Recreation Instruction </v>
          </cell>
        </row>
        <row r="1777">
          <cell r="B1777">
            <v>61163</v>
          </cell>
          <cell r="C1777" t="str">
            <v xml:space="preserve">Language SchoolsT </v>
          </cell>
        </row>
        <row r="1778">
          <cell r="B1778">
            <v>611630</v>
          </cell>
          <cell r="C1778" t="str">
            <v xml:space="preserve">Language Schools </v>
          </cell>
        </row>
        <row r="1779">
          <cell r="B1779">
            <v>61169</v>
          </cell>
          <cell r="C1779" t="str">
            <v xml:space="preserve">All Other Schools and InstructionT </v>
          </cell>
        </row>
        <row r="1780">
          <cell r="B1780">
            <v>611691</v>
          </cell>
          <cell r="C1780" t="str">
            <v xml:space="preserve">Exam Preparation and Tutoring </v>
          </cell>
        </row>
        <row r="1781">
          <cell r="B1781">
            <v>611692</v>
          </cell>
          <cell r="C1781" t="str">
            <v xml:space="preserve">Automobile Driving Schools </v>
          </cell>
        </row>
        <row r="1782">
          <cell r="B1782">
            <v>611699</v>
          </cell>
          <cell r="C1782" t="str">
            <v xml:space="preserve">All Other Miscellaneous Schools and Instruction </v>
          </cell>
        </row>
        <row r="1783">
          <cell r="B1783">
            <v>6117</v>
          </cell>
          <cell r="C1783" t="str">
            <v xml:space="preserve">Educational Support ServicesT </v>
          </cell>
        </row>
        <row r="1784">
          <cell r="B1784">
            <v>61171</v>
          </cell>
          <cell r="C1784" t="str">
            <v xml:space="preserve">Educational Support ServicesT </v>
          </cell>
        </row>
        <row r="1785">
          <cell r="B1785">
            <v>611710</v>
          </cell>
          <cell r="C1785" t="str">
            <v>Educational Support Services</v>
          </cell>
        </row>
        <row r="1787">
          <cell r="B1787">
            <v>62</v>
          </cell>
          <cell r="C1787" t="str">
            <v>Health Care and Social AssistanceT</v>
          </cell>
        </row>
        <row r="1788">
          <cell r="B1788">
            <v>621</v>
          </cell>
          <cell r="C1788" t="str">
            <v xml:space="preserve">Ambulatory Health Care ServicesT </v>
          </cell>
        </row>
        <row r="1789">
          <cell r="B1789">
            <v>6211</v>
          </cell>
          <cell r="C1789" t="str">
            <v xml:space="preserve">Offices of PhysiciansT </v>
          </cell>
        </row>
        <row r="1790">
          <cell r="B1790">
            <v>62111</v>
          </cell>
          <cell r="C1790" t="str">
            <v xml:space="preserve">Offices of PhysiciansT </v>
          </cell>
        </row>
        <row r="1791">
          <cell r="B1791">
            <v>621111</v>
          </cell>
          <cell r="C1791" t="str">
            <v xml:space="preserve">Offices of Physicians (except Mental Health Specialists) </v>
          </cell>
        </row>
        <row r="1792">
          <cell r="B1792">
            <v>621112</v>
          </cell>
          <cell r="C1792" t="str">
            <v xml:space="preserve">Offices of Physicians, Mental Health Specialists </v>
          </cell>
        </row>
        <row r="1793">
          <cell r="B1793">
            <v>6212</v>
          </cell>
          <cell r="C1793" t="str">
            <v xml:space="preserve">Offices of DentistsT </v>
          </cell>
        </row>
        <row r="1794">
          <cell r="B1794">
            <v>62121</v>
          </cell>
          <cell r="C1794" t="str">
            <v xml:space="preserve">Offices of DentistsT </v>
          </cell>
        </row>
        <row r="1795">
          <cell r="B1795">
            <v>621210</v>
          </cell>
          <cell r="C1795" t="str">
            <v xml:space="preserve">Offices of Dentists </v>
          </cell>
        </row>
        <row r="1796">
          <cell r="B1796">
            <v>6213</v>
          </cell>
          <cell r="C1796" t="str">
            <v xml:space="preserve">Offices of Other Health PractitionersT </v>
          </cell>
        </row>
        <row r="1797">
          <cell r="B1797">
            <v>62131</v>
          </cell>
          <cell r="C1797" t="str">
            <v xml:space="preserve">Offices of ChiropractorsT </v>
          </cell>
        </row>
        <row r="1798">
          <cell r="B1798">
            <v>621310</v>
          </cell>
          <cell r="C1798" t="str">
            <v xml:space="preserve">Offices of Chiropractors </v>
          </cell>
        </row>
        <row r="1799">
          <cell r="B1799">
            <v>62132</v>
          </cell>
          <cell r="C1799" t="str">
            <v xml:space="preserve">Offices of OptometristsT </v>
          </cell>
        </row>
        <row r="1800">
          <cell r="B1800">
            <v>621320</v>
          </cell>
          <cell r="C1800" t="str">
            <v>Offices of Optometrists</v>
          </cell>
        </row>
        <row r="1801">
          <cell r="B1801">
            <v>62133</v>
          </cell>
          <cell r="C1801" t="str">
            <v xml:space="preserve">Offices of Mental Health Practitioners (except Physicians)T </v>
          </cell>
        </row>
        <row r="1802">
          <cell r="B1802">
            <v>621330</v>
          </cell>
          <cell r="C1802" t="str">
            <v xml:space="preserve">Offices of Mental Health Practitioners (except Physicians) </v>
          </cell>
        </row>
        <row r="1803">
          <cell r="B1803">
            <v>62134</v>
          </cell>
          <cell r="C1803" t="str">
            <v xml:space="preserve">Offices of Physical, Occupational and Speech Therapists, and AudiologistsT </v>
          </cell>
        </row>
        <row r="1804">
          <cell r="B1804">
            <v>621340</v>
          </cell>
          <cell r="C1804" t="str">
            <v xml:space="preserve">Offices of Physical, Occupational and Speech Therapists, and Audiologists </v>
          </cell>
        </row>
        <row r="1805">
          <cell r="B1805">
            <v>62139</v>
          </cell>
          <cell r="C1805" t="str">
            <v xml:space="preserve">Offices of All Other Health PractitionersT </v>
          </cell>
        </row>
        <row r="1806">
          <cell r="B1806">
            <v>621391</v>
          </cell>
          <cell r="C1806" t="str">
            <v xml:space="preserve">Offices of Podiatrists </v>
          </cell>
        </row>
        <row r="1807">
          <cell r="B1807">
            <v>621399</v>
          </cell>
          <cell r="C1807" t="str">
            <v xml:space="preserve">Offices of All Other Miscellaneous Health Practitioners </v>
          </cell>
        </row>
        <row r="1808">
          <cell r="B1808">
            <v>6214</v>
          </cell>
          <cell r="C1808" t="str">
            <v xml:space="preserve">Outpatient Care CentersT </v>
          </cell>
        </row>
        <row r="1809">
          <cell r="B1809">
            <v>62141</v>
          </cell>
          <cell r="C1809" t="str">
            <v xml:space="preserve">Family Planning CentersT </v>
          </cell>
        </row>
        <row r="1810">
          <cell r="B1810">
            <v>621410</v>
          </cell>
          <cell r="C1810" t="str">
            <v xml:space="preserve">Family Planning Centers </v>
          </cell>
        </row>
        <row r="1811">
          <cell r="B1811">
            <v>62142</v>
          </cell>
          <cell r="C1811" t="str">
            <v xml:space="preserve">Outpatient Mental Health and Substance Abuse CentersT </v>
          </cell>
        </row>
        <row r="1812">
          <cell r="B1812">
            <v>621420</v>
          </cell>
          <cell r="C1812" t="str">
            <v xml:space="preserve">Outpatient Mental Health and Substance Abuse Centers </v>
          </cell>
        </row>
        <row r="1813">
          <cell r="B1813">
            <v>62149</v>
          </cell>
          <cell r="C1813" t="str">
            <v xml:space="preserve">Other Outpatient Care CentersT </v>
          </cell>
        </row>
        <row r="1814">
          <cell r="B1814">
            <v>621491</v>
          </cell>
          <cell r="C1814" t="str">
            <v xml:space="preserve">HMO Medical Centers </v>
          </cell>
        </row>
        <row r="1815">
          <cell r="B1815">
            <v>621492</v>
          </cell>
          <cell r="C1815" t="str">
            <v xml:space="preserve">Kidney Dialysis Centers </v>
          </cell>
        </row>
        <row r="1816">
          <cell r="B1816">
            <v>621493</v>
          </cell>
          <cell r="C1816" t="str">
            <v xml:space="preserve">Freestanding Ambulatory Surgical and Emergency Centers </v>
          </cell>
        </row>
        <row r="1817">
          <cell r="B1817">
            <v>621498</v>
          </cell>
          <cell r="C1817" t="str">
            <v xml:space="preserve">All Other Outpatient Care Centers </v>
          </cell>
        </row>
        <row r="1818">
          <cell r="B1818">
            <v>6215</v>
          </cell>
          <cell r="C1818" t="str">
            <v xml:space="preserve">Medical and Diagnostic LaboratoriesT </v>
          </cell>
        </row>
        <row r="1819">
          <cell r="B1819">
            <v>62151</v>
          </cell>
          <cell r="C1819" t="str">
            <v xml:space="preserve">Medical and Diagnostic LaboratoriesT </v>
          </cell>
        </row>
        <row r="1820">
          <cell r="B1820">
            <v>621511</v>
          </cell>
          <cell r="C1820" t="str">
            <v xml:space="preserve">Medical Laboratories </v>
          </cell>
        </row>
        <row r="1821">
          <cell r="B1821">
            <v>621512</v>
          </cell>
          <cell r="C1821" t="str">
            <v xml:space="preserve">Diagnostic Imaging Centers </v>
          </cell>
        </row>
        <row r="1822">
          <cell r="B1822">
            <v>6216</v>
          </cell>
          <cell r="C1822" t="str">
            <v xml:space="preserve">Home Health Care ServicesT </v>
          </cell>
        </row>
        <row r="1823">
          <cell r="B1823">
            <v>62161</v>
          </cell>
          <cell r="C1823" t="str">
            <v xml:space="preserve">Home Health Care ServicesT </v>
          </cell>
        </row>
        <row r="1824">
          <cell r="B1824">
            <v>621610</v>
          </cell>
          <cell r="C1824" t="str">
            <v>Home Health Care Services</v>
          </cell>
        </row>
        <row r="1825">
          <cell r="B1825">
            <v>6219</v>
          </cell>
          <cell r="C1825" t="str">
            <v xml:space="preserve">Other Ambulatory Health Care ServicesT </v>
          </cell>
        </row>
        <row r="1826">
          <cell r="B1826">
            <v>62191</v>
          </cell>
          <cell r="C1826" t="str">
            <v xml:space="preserve">Ambulance ServicesT </v>
          </cell>
        </row>
        <row r="1827">
          <cell r="B1827">
            <v>621910</v>
          </cell>
          <cell r="C1827" t="str">
            <v xml:space="preserve">Ambulance Services </v>
          </cell>
        </row>
        <row r="1828">
          <cell r="B1828">
            <v>62199</v>
          </cell>
          <cell r="C1828" t="str">
            <v xml:space="preserve">All Other Ambulatory Health Care ServicesT </v>
          </cell>
        </row>
        <row r="1829">
          <cell r="B1829">
            <v>621991</v>
          </cell>
          <cell r="C1829" t="str">
            <v xml:space="preserve">Blood and Organ Banks </v>
          </cell>
        </row>
        <row r="1830">
          <cell r="B1830">
            <v>621999</v>
          </cell>
          <cell r="C1830" t="str">
            <v xml:space="preserve">All Other Miscellaneous Ambulatory Health Care Services </v>
          </cell>
        </row>
        <row r="1831">
          <cell r="B1831">
            <v>622</v>
          </cell>
          <cell r="C1831" t="str">
            <v xml:space="preserve">HospitalsT </v>
          </cell>
        </row>
        <row r="1832">
          <cell r="B1832">
            <v>6221</v>
          </cell>
          <cell r="C1832" t="str">
            <v xml:space="preserve">General Medical and Surgical HospitalsT </v>
          </cell>
        </row>
        <row r="1833">
          <cell r="B1833">
            <v>62211</v>
          </cell>
          <cell r="C1833" t="str">
            <v xml:space="preserve">General Medical and Surgical HospitalsT </v>
          </cell>
        </row>
        <row r="1834">
          <cell r="B1834">
            <v>622110</v>
          </cell>
          <cell r="C1834" t="str">
            <v xml:space="preserve">General Medical and Surgical Hospitals </v>
          </cell>
        </row>
        <row r="1835">
          <cell r="B1835">
            <v>6222</v>
          </cell>
          <cell r="C1835" t="str">
            <v xml:space="preserve">Psychiatric and Substance Abuse HospitalsT </v>
          </cell>
        </row>
        <row r="1836">
          <cell r="B1836">
            <v>62221</v>
          </cell>
          <cell r="C1836" t="str">
            <v xml:space="preserve">Psychiatric and Substance Abuse HospitalsT </v>
          </cell>
        </row>
        <row r="1837">
          <cell r="B1837">
            <v>622210</v>
          </cell>
          <cell r="C1837" t="str">
            <v xml:space="preserve">Psychiatric and Substance Abuse Hospitals </v>
          </cell>
        </row>
        <row r="1838">
          <cell r="B1838">
            <v>6223</v>
          </cell>
          <cell r="C1838" t="str">
            <v xml:space="preserve">Specialty (except Psychiatric and Substance Abuse) HospitalsT </v>
          </cell>
        </row>
        <row r="1839">
          <cell r="B1839">
            <v>62231</v>
          </cell>
          <cell r="C1839" t="str">
            <v xml:space="preserve">Specialty (except Psychiatric and Substance Abuse) HospitalsT </v>
          </cell>
        </row>
        <row r="1840">
          <cell r="B1840">
            <v>622310</v>
          </cell>
          <cell r="C1840" t="str">
            <v xml:space="preserve">Specialty (except Psychiatric and Substance Abuse) Hospitals </v>
          </cell>
        </row>
        <row r="1841">
          <cell r="B1841">
            <v>623</v>
          </cell>
          <cell r="C1841" t="str">
            <v xml:space="preserve">Nursing and Residential Care FacilitiesT </v>
          </cell>
        </row>
        <row r="1842">
          <cell r="B1842">
            <v>6231</v>
          </cell>
          <cell r="C1842" t="str">
            <v xml:space="preserve">Nursing Care Facilities (Skilled Nursing Facilities)T </v>
          </cell>
        </row>
        <row r="1843">
          <cell r="B1843">
            <v>62311</v>
          </cell>
          <cell r="C1843" t="str">
            <v xml:space="preserve">Nursing Care Facilities (Skilled Nursing Facilities)T </v>
          </cell>
        </row>
        <row r="1844">
          <cell r="B1844">
            <v>623110</v>
          </cell>
          <cell r="C1844" t="str">
            <v xml:space="preserve">Nursing Care Facilities (Skilled Nursing Facilities) </v>
          </cell>
        </row>
        <row r="1845">
          <cell r="B1845">
            <v>6232</v>
          </cell>
          <cell r="C1845" t="str">
            <v>Residential Intellectual and Developmental Disability, Mental Health, and Substance Abuse FacilitiesT</v>
          </cell>
        </row>
        <row r="1846">
          <cell r="B1846">
            <v>62321</v>
          </cell>
          <cell r="C1846" t="str">
            <v xml:space="preserve">Residential Intellectual and Developmental Disability FacilitiesT </v>
          </cell>
        </row>
        <row r="1847">
          <cell r="B1847">
            <v>623210</v>
          </cell>
          <cell r="C1847" t="str">
            <v xml:space="preserve">Residential Intellectual and Developmental Disability Facilities </v>
          </cell>
        </row>
        <row r="1848">
          <cell r="B1848">
            <v>62322</v>
          </cell>
          <cell r="C1848" t="str">
            <v xml:space="preserve">Residential Mental Health and Substance Abuse FacilitiesT </v>
          </cell>
        </row>
        <row r="1849">
          <cell r="B1849">
            <v>623220</v>
          </cell>
          <cell r="C1849" t="str">
            <v xml:space="preserve">Residential Mental Health and Substance Abuse Facilities </v>
          </cell>
        </row>
        <row r="1850">
          <cell r="B1850">
            <v>6233</v>
          </cell>
          <cell r="C1850" t="str">
            <v xml:space="preserve">Continuing Care Retirement Communities and Assisted Living Facilities for the ElderlyT </v>
          </cell>
        </row>
        <row r="1851">
          <cell r="B1851">
            <v>62331</v>
          </cell>
          <cell r="C1851" t="str">
            <v xml:space="preserve">Continuing Care Retirement Communities and Assisted Living Facilities for the ElderlyT </v>
          </cell>
        </row>
        <row r="1852">
          <cell r="B1852">
            <v>623311</v>
          </cell>
          <cell r="C1852" t="str">
            <v xml:space="preserve">Continuing Care Retirement Communities </v>
          </cell>
        </row>
        <row r="1853">
          <cell r="B1853">
            <v>623312</v>
          </cell>
          <cell r="C1853" t="str">
            <v xml:space="preserve">Assisted Living Facilities for the Elderly </v>
          </cell>
        </row>
        <row r="1854">
          <cell r="B1854">
            <v>6239</v>
          </cell>
          <cell r="C1854" t="str">
            <v xml:space="preserve">Other Residential Care FacilitiesT </v>
          </cell>
        </row>
        <row r="1855">
          <cell r="B1855">
            <v>62399</v>
          </cell>
          <cell r="C1855" t="str">
            <v xml:space="preserve">Other Residential Care FacilitiesT </v>
          </cell>
        </row>
        <row r="1856">
          <cell r="B1856">
            <v>623990</v>
          </cell>
          <cell r="C1856" t="str">
            <v xml:space="preserve">Other Residential Care Facilities </v>
          </cell>
        </row>
        <row r="1857">
          <cell r="B1857">
            <v>624</v>
          </cell>
          <cell r="C1857" t="str">
            <v xml:space="preserve">Social AssistanceT </v>
          </cell>
        </row>
        <row r="1858">
          <cell r="B1858">
            <v>6241</v>
          </cell>
          <cell r="C1858" t="str">
            <v xml:space="preserve">Individual and Family ServicesT </v>
          </cell>
        </row>
        <row r="1859">
          <cell r="B1859">
            <v>62411</v>
          </cell>
          <cell r="C1859" t="str">
            <v xml:space="preserve">Child and Youth ServicesT </v>
          </cell>
        </row>
        <row r="1860">
          <cell r="B1860">
            <v>624110</v>
          </cell>
          <cell r="C1860" t="str">
            <v xml:space="preserve">Child and Youth Services </v>
          </cell>
        </row>
        <row r="1861">
          <cell r="B1861">
            <v>62412</v>
          </cell>
          <cell r="C1861" t="str">
            <v xml:space="preserve">Services for the Elderly and Persons with DisabilitiesT </v>
          </cell>
        </row>
        <row r="1862">
          <cell r="B1862">
            <v>624120</v>
          </cell>
          <cell r="C1862" t="str">
            <v xml:space="preserve">Services for the Elderly and Persons with Disabilities </v>
          </cell>
        </row>
        <row r="1863">
          <cell r="B1863">
            <v>62419</v>
          </cell>
          <cell r="C1863" t="str">
            <v xml:space="preserve">Other Individual and Family ServicesT </v>
          </cell>
        </row>
        <row r="1864">
          <cell r="B1864">
            <v>624190</v>
          </cell>
          <cell r="C1864" t="str">
            <v xml:space="preserve">Other Individual and Family Services </v>
          </cell>
        </row>
        <row r="1865">
          <cell r="B1865">
            <v>6242</v>
          </cell>
          <cell r="C1865" t="str">
            <v xml:space="preserve">Community Food and Housing, and Emergency and Other Relief ServicesT </v>
          </cell>
        </row>
        <row r="1866">
          <cell r="B1866">
            <v>62421</v>
          </cell>
          <cell r="C1866" t="str">
            <v xml:space="preserve">Community Food ServicesT </v>
          </cell>
        </row>
        <row r="1867">
          <cell r="B1867">
            <v>624210</v>
          </cell>
          <cell r="C1867" t="str">
            <v xml:space="preserve">Community Food Services </v>
          </cell>
        </row>
        <row r="1868">
          <cell r="B1868">
            <v>62422</v>
          </cell>
          <cell r="C1868" t="str">
            <v xml:space="preserve">Community Housing ServicesT </v>
          </cell>
        </row>
        <row r="1869">
          <cell r="B1869">
            <v>624221</v>
          </cell>
          <cell r="C1869" t="str">
            <v xml:space="preserve">Temporary Shelters </v>
          </cell>
        </row>
        <row r="1870">
          <cell r="B1870">
            <v>624229</v>
          </cell>
          <cell r="C1870" t="str">
            <v xml:space="preserve">Other Community Housing Services </v>
          </cell>
        </row>
        <row r="1871">
          <cell r="B1871">
            <v>62423</v>
          </cell>
          <cell r="C1871" t="str">
            <v xml:space="preserve">Emergency and Other Relief ServicesT </v>
          </cell>
        </row>
        <row r="1872">
          <cell r="B1872">
            <v>624230</v>
          </cell>
          <cell r="C1872" t="str">
            <v xml:space="preserve">Emergency and Other Relief Services </v>
          </cell>
        </row>
        <row r="1873">
          <cell r="B1873">
            <v>6243</v>
          </cell>
          <cell r="C1873" t="str">
            <v xml:space="preserve">Vocational Rehabilitation ServicesT </v>
          </cell>
        </row>
        <row r="1874">
          <cell r="B1874">
            <v>62431</v>
          </cell>
          <cell r="C1874" t="str">
            <v xml:space="preserve">Vocational Rehabilitation ServicesT </v>
          </cell>
        </row>
        <row r="1875">
          <cell r="B1875">
            <v>624310</v>
          </cell>
          <cell r="C1875" t="str">
            <v xml:space="preserve">Vocational Rehabilitation Services </v>
          </cell>
        </row>
        <row r="1876">
          <cell r="B1876">
            <v>6244</v>
          </cell>
          <cell r="C1876" t="str">
            <v xml:space="preserve">Child Care ServicesT </v>
          </cell>
        </row>
        <row r="1877">
          <cell r="B1877">
            <v>62441</v>
          </cell>
          <cell r="C1877" t="str">
            <v xml:space="preserve">Child Care ServicesT </v>
          </cell>
        </row>
        <row r="1878">
          <cell r="B1878">
            <v>624410</v>
          </cell>
          <cell r="C1878" t="str">
            <v xml:space="preserve">Child Care Services </v>
          </cell>
        </row>
        <row r="1880">
          <cell r="B1880">
            <v>71</v>
          </cell>
          <cell r="C1880" t="str">
            <v>Arts, Entertainment, and RecreationT</v>
          </cell>
        </row>
        <row r="1881">
          <cell r="B1881">
            <v>711</v>
          </cell>
          <cell r="C1881" t="str">
            <v xml:space="preserve">Performing Arts, Spectator Sports, and Related IndustriesT </v>
          </cell>
        </row>
        <row r="1882">
          <cell r="B1882">
            <v>7111</v>
          </cell>
          <cell r="C1882" t="str">
            <v xml:space="preserve">Performing Arts CompaniesT </v>
          </cell>
        </row>
        <row r="1883">
          <cell r="B1883">
            <v>71111</v>
          </cell>
          <cell r="C1883" t="str">
            <v xml:space="preserve">Theater Companies and Dinner TheatersT </v>
          </cell>
        </row>
        <row r="1884">
          <cell r="B1884">
            <v>711110</v>
          </cell>
          <cell r="C1884" t="str">
            <v xml:space="preserve">Theater Companies and Dinner Theaters </v>
          </cell>
        </row>
        <row r="1885">
          <cell r="B1885">
            <v>71112</v>
          </cell>
          <cell r="C1885" t="str">
            <v xml:space="preserve">Dance CompaniesT </v>
          </cell>
        </row>
        <row r="1886">
          <cell r="B1886">
            <v>711120</v>
          </cell>
          <cell r="C1886" t="str">
            <v xml:space="preserve">Dance Companies </v>
          </cell>
        </row>
        <row r="1887">
          <cell r="B1887">
            <v>71113</v>
          </cell>
          <cell r="C1887" t="str">
            <v xml:space="preserve">Musical Groups and ArtistsT </v>
          </cell>
        </row>
        <row r="1888">
          <cell r="B1888">
            <v>711130</v>
          </cell>
          <cell r="C1888" t="str">
            <v xml:space="preserve">Musical Groups and Artists </v>
          </cell>
        </row>
        <row r="1889">
          <cell r="B1889">
            <v>71119</v>
          </cell>
          <cell r="C1889" t="str">
            <v xml:space="preserve">Other Performing Arts CompaniesT </v>
          </cell>
        </row>
        <row r="1890">
          <cell r="B1890">
            <v>711190</v>
          </cell>
          <cell r="C1890" t="str">
            <v xml:space="preserve">Other Performing Arts Companies </v>
          </cell>
        </row>
        <row r="1891">
          <cell r="B1891">
            <v>7112</v>
          </cell>
          <cell r="C1891" t="str">
            <v xml:space="preserve">Spectator SportsT </v>
          </cell>
        </row>
        <row r="1892">
          <cell r="B1892">
            <v>71121</v>
          </cell>
          <cell r="C1892" t="str">
            <v xml:space="preserve">Spectator SportsT </v>
          </cell>
        </row>
        <row r="1893">
          <cell r="B1893">
            <v>711211</v>
          </cell>
          <cell r="C1893" t="str">
            <v xml:space="preserve">Sports Teams and Clubs </v>
          </cell>
        </row>
        <row r="1894">
          <cell r="B1894">
            <v>711212</v>
          </cell>
          <cell r="C1894" t="str">
            <v xml:space="preserve">Racetracks </v>
          </cell>
        </row>
        <row r="1895">
          <cell r="B1895">
            <v>711219</v>
          </cell>
          <cell r="C1895" t="str">
            <v xml:space="preserve">Other Spectator Sports </v>
          </cell>
        </row>
        <row r="1896">
          <cell r="B1896">
            <v>7113</v>
          </cell>
          <cell r="C1896" t="str">
            <v xml:space="preserve">Promoters of Performing Arts, Sports, and Similar EventsT </v>
          </cell>
        </row>
        <row r="1897">
          <cell r="B1897">
            <v>71131</v>
          </cell>
          <cell r="C1897" t="str">
            <v xml:space="preserve">Promoters of Performing Arts, Sports, and Similar Events with FacilitiesT </v>
          </cell>
        </row>
        <row r="1898">
          <cell r="B1898">
            <v>711310</v>
          </cell>
          <cell r="C1898" t="str">
            <v xml:space="preserve">Promoters of Performing Arts, Sports, and Similar Events with Facilities </v>
          </cell>
        </row>
        <row r="1899">
          <cell r="B1899">
            <v>71132</v>
          </cell>
          <cell r="C1899" t="str">
            <v xml:space="preserve">Promoters of Performing Arts, Sports, and Similar Events without FacilitiesT </v>
          </cell>
        </row>
        <row r="1900">
          <cell r="B1900">
            <v>711320</v>
          </cell>
          <cell r="C1900" t="str">
            <v xml:space="preserve">Promoters of Performing Arts, Sports, and Similar Events without Facilities </v>
          </cell>
        </row>
        <row r="1901">
          <cell r="B1901">
            <v>7114</v>
          </cell>
          <cell r="C1901" t="str">
            <v xml:space="preserve">Agents and Managers for Artists, Athletes, Entertainers, and Other Public FiguresT </v>
          </cell>
        </row>
        <row r="1902">
          <cell r="B1902">
            <v>71141</v>
          </cell>
          <cell r="C1902" t="str">
            <v xml:space="preserve">Agents and Managers for Artists, Athletes, Entertainers, and Other Public FiguresT </v>
          </cell>
        </row>
        <row r="1903">
          <cell r="B1903">
            <v>711410</v>
          </cell>
          <cell r="C1903" t="str">
            <v>Agents and Managers for Artists, Athletes, Entertainers, and Other Public Figures</v>
          </cell>
        </row>
        <row r="1904">
          <cell r="B1904">
            <v>7115</v>
          </cell>
          <cell r="C1904" t="str">
            <v xml:space="preserve">Independent Artists, Writers, and PerformersT </v>
          </cell>
        </row>
        <row r="1905">
          <cell r="B1905">
            <v>71151</v>
          </cell>
          <cell r="C1905" t="str">
            <v xml:space="preserve">Independent Artists, Writers, and PerformersT </v>
          </cell>
        </row>
        <row r="1906">
          <cell r="B1906">
            <v>711510</v>
          </cell>
          <cell r="C1906" t="str">
            <v xml:space="preserve">Independent Artists, Writers, and Performers </v>
          </cell>
        </row>
        <row r="1907">
          <cell r="B1907">
            <v>712</v>
          </cell>
          <cell r="C1907" t="str">
            <v xml:space="preserve">Museums, Historical Sites, and Similar InstitutionsT </v>
          </cell>
        </row>
        <row r="1908">
          <cell r="B1908">
            <v>7121</v>
          </cell>
          <cell r="C1908" t="str">
            <v xml:space="preserve">Museums, Historical Sites, and Similar InstitutionsT </v>
          </cell>
        </row>
        <row r="1909">
          <cell r="B1909">
            <v>71211</v>
          </cell>
          <cell r="C1909" t="str">
            <v xml:space="preserve">MuseumsT </v>
          </cell>
        </row>
        <row r="1910">
          <cell r="B1910">
            <v>712110</v>
          </cell>
          <cell r="C1910" t="str">
            <v xml:space="preserve">Museums </v>
          </cell>
        </row>
        <row r="1911">
          <cell r="B1911">
            <v>71212</v>
          </cell>
          <cell r="C1911" t="str">
            <v xml:space="preserve">Historical SitesT </v>
          </cell>
        </row>
        <row r="1912">
          <cell r="B1912">
            <v>712120</v>
          </cell>
          <cell r="C1912" t="str">
            <v>Historical Sites</v>
          </cell>
        </row>
        <row r="1913">
          <cell r="B1913">
            <v>71213</v>
          </cell>
          <cell r="C1913" t="str">
            <v xml:space="preserve">Zoos and Botanical GardensT </v>
          </cell>
        </row>
        <row r="1914">
          <cell r="B1914">
            <v>712130</v>
          </cell>
          <cell r="C1914" t="str">
            <v xml:space="preserve">Zoos and Botanical Gardens </v>
          </cell>
        </row>
        <row r="1915">
          <cell r="B1915">
            <v>71219</v>
          </cell>
          <cell r="C1915" t="str">
            <v xml:space="preserve">Nature Parks and Other Similar InstitutionsT </v>
          </cell>
        </row>
        <row r="1916">
          <cell r="B1916">
            <v>712190</v>
          </cell>
          <cell r="C1916" t="str">
            <v>Nature Parks and Other Similar Institutions</v>
          </cell>
        </row>
        <row r="1917">
          <cell r="B1917">
            <v>713</v>
          </cell>
          <cell r="C1917" t="str">
            <v xml:space="preserve">Amusement, Gambling, and Recreation IndustriesT </v>
          </cell>
        </row>
        <row r="1918">
          <cell r="B1918">
            <v>7131</v>
          </cell>
          <cell r="C1918" t="str">
            <v xml:space="preserve">Amusement Parks and ArcadesT </v>
          </cell>
        </row>
        <row r="1919">
          <cell r="B1919">
            <v>71311</v>
          </cell>
          <cell r="C1919" t="str">
            <v xml:space="preserve">Amusement and Theme ParksT </v>
          </cell>
        </row>
        <row r="1920">
          <cell r="B1920">
            <v>713110</v>
          </cell>
          <cell r="C1920" t="str">
            <v xml:space="preserve">Amusement and Theme Parks </v>
          </cell>
        </row>
        <row r="1921">
          <cell r="B1921">
            <v>71312</v>
          </cell>
          <cell r="C1921" t="str">
            <v xml:space="preserve">Amusement ArcadesT </v>
          </cell>
        </row>
        <row r="1922">
          <cell r="B1922">
            <v>713120</v>
          </cell>
          <cell r="C1922" t="str">
            <v>Amusement Arcades</v>
          </cell>
        </row>
        <row r="1923">
          <cell r="B1923">
            <v>7132</v>
          </cell>
          <cell r="C1923" t="str">
            <v xml:space="preserve">Gambling IndustriesT </v>
          </cell>
        </row>
        <row r="1924">
          <cell r="B1924">
            <v>71321</v>
          </cell>
          <cell r="C1924" t="str">
            <v xml:space="preserve">Casinos (except Casino Hotels)T </v>
          </cell>
        </row>
        <row r="1925">
          <cell r="B1925">
            <v>713210</v>
          </cell>
          <cell r="C1925" t="str">
            <v>Casinos (except Casino Hotels)</v>
          </cell>
        </row>
        <row r="1926">
          <cell r="B1926">
            <v>71329</v>
          </cell>
          <cell r="C1926" t="str">
            <v xml:space="preserve">Other Gambling IndustriesT </v>
          </cell>
        </row>
        <row r="1927">
          <cell r="B1927">
            <v>713290</v>
          </cell>
          <cell r="C1927" t="str">
            <v xml:space="preserve">Other Gambling Industries </v>
          </cell>
        </row>
        <row r="1928">
          <cell r="B1928">
            <v>7139</v>
          </cell>
          <cell r="C1928" t="str">
            <v xml:space="preserve">Other Amusement and Recreation IndustriesT </v>
          </cell>
        </row>
        <row r="1929">
          <cell r="B1929">
            <v>71391</v>
          </cell>
          <cell r="C1929" t="str">
            <v xml:space="preserve">Golf Courses and Country ClubsT </v>
          </cell>
        </row>
        <row r="1930">
          <cell r="B1930">
            <v>713910</v>
          </cell>
          <cell r="C1930" t="str">
            <v>Golf Courses and Country Clubs</v>
          </cell>
        </row>
        <row r="1931">
          <cell r="B1931">
            <v>71392</v>
          </cell>
          <cell r="C1931" t="str">
            <v xml:space="preserve">Skiing FacilitiesT </v>
          </cell>
        </row>
        <row r="1932">
          <cell r="B1932">
            <v>713920</v>
          </cell>
          <cell r="C1932" t="str">
            <v>Skiing Facilities</v>
          </cell>
        </row>
        <row r="1933">
          <cell r="B1933">
            <v>71393</v>
          </cell>
          <cell r="C1933" t="str">
            <v xml:space="preserve">MarinasT </v>
          </cell>
        </row>
        <row r="1934">
          <cell r="B1934">
            <v>713930</v>
          </cell>
          <cell r="C1934" t="str">
            <v>Marinas</v>
          </cell>
        </row>
        <row r="1935">
          <cell r="B1935">
            <v>71394</v>
          </cell>
          <cell r="C1935" t="str">
            <v xml:space="preserve">Fitness and Recreational Sports CentersT </v>
          </cell>
        </row>
        <row r="1936">
          <cell r="B1936">
            <v>713940</v>
          </cell>
          <cell r="C1936" t="str">
            <v xml:space="preserve">Fitness and Recreational Sports Centers </v>
          </cell>
        </row>
        <row r="1937">
          <cell r="B1937">
            <v>71395</v>
          </cell>
          <cell r="C1937" t="str">
            <v xml:space="preserve">Bowling CentersT </v>
          </cell>
        </row>
        <row r="1938">
          <cell r="B1938">
            <v>713950</v>
          </cell>
          <cell r="C1938" t="str">
            <v>Bowling Centers</v>
          </cell>
        </row>
        <row r="1939">
          <cell r="B1939">
            <v>71399</v>
          </cell>
          <cell r="C1939" t="str">
            <v xml:space="preserve">All Other Amusement and Recreation IndustriesT </v>
          </cell>
        </row>
        <row r="1940">
          <cell r="B1940">
            <v>713990</v>
          </cell>
          <cell r="C1940" t="str">
            <v xml:space="preserve">All Other Amusement and Recreation Industries </v>
          </cell>
        </row>
        <row r="1942">
          <cell r="B1942">
            <v>72</v>
          </cell>
          <cell r="C1942" t="str">
            <v>Accommodation and Food ServicesT</v>
          </cell>
        </row>
        <row r="1943">
          <cell r="B1943">
            <v>721</v>
          </cell>
          <cell r="C1943" t="str">
            <v xml:space="preserve">AccommodationT </v>
          </cell>
        </row>
        <row r="1944">
          <cell r="B1944">
            <v>7211</v>
          </cell>
          <cell r="C1944" t="str">
            <v xml:space="preserve">Traveler AccommodationT </v>
          </cell>
        </row>
        <row r="1945">
          <cell r="B1945">
            <v>72111</v>
          </cell>
          <cell r="C1945" t="str">
            <v xml:space="preserve">Hotels (except Casino Hotels) and MotelsT </v>
          </cell>
        </row>
        <row r="1946">
          <cell r="B1946">
            <v>721110</v>
          </cell>
          <cell r="C1946" t="str">
            <v xml:space="preserve">Hotels (except Casino Hotels) and Motels </v>
          </cell>
        </row>
        <row r="1947">
          <cell r="B1947">
            <v>72112</v>
          </cell>
          <cell r="C1947" t="str">
            <v xml:space="preserve">Casino HotelsT </v>
          </cell>
        </row>
        <row r="1948">
          <cell r="B1948">
            <v>721120</v>
          </cell>
          <cell r="C1948" t="str">
            <v>Casino Hotels</v>
          </cell>
        </row>
        <row r="1949">
          <cell r="B1949">
            <v>72119</v>
          </cell>
          <cell r="C1949" t="str">
            <v xml:space="preserve">Other Traveler AccommodationT </v>
          </cell>
        </row>
        <row r="1950">
          <cell r="B1950">
            <v>721191</v>
          </cell>
          <cell r="C1950" t="str">
            <v xml:space="preserve">Bed-and-Breakfast Inns </v>
          </cell>
        </row>
        <row r="1951">
          <cell r="B1951">
            <v>721199</v>
          </cell>
          <cell r="C1951" t="str">
            <v xml:space="preserve">All Other Traveler Accommodation </v>
          </cell>
        </row>
        <row r="1952">
          <cell r="B1952">
            <v>7212</v>
          </cell>
          <cell r="C1952" t="str">
            <v xml:space="preserve">RV (Recreational Vehicle) Parks and Recreational CampsT </v>
          </cell>
        </row>
        <row r="1953">
          <cell r="B1953">
            <v>72121</v>
          </cell>
          <cell r="C1953" t="str">
            <v xml:space="preserve">RV (Recreational Vehicle) Parks and Recreational CampsT </v>
          </cell>
        </row>
        <row r="1954">
          <cell r="B1954">
            <v>721211</v>
          </cell>
          <cell r="C1954" t="str">
            <v xml:space="preserve">RV (Recreational Vehicle) Parks and Campgrounds </v>
          </cell>
        </row>
        <row r="1955">
          <cell r="B1955">
            <v>721214</v>
          </cell>
          <cell r="C1955" t="str">
            <v xml:space="preserve">Recreational and Vacation Camps (except Campgrounds) </v>
          </cell>
        </row>
        <row r="1956">
          <cell r="B1956">
            <v>7213</v>
          </cell>
          <cell r="C1956" t="str">
            <v xml:space="preserve">Rooming and Boarding Houses, Dormitories, and Workers' CampsT </v>
          </cell>
        </row>
        <row r="1957">
          <cell r="B1957">
            <v>72131</v>
          </cell>
          <cell r="C1957" t="str">
            <v xml:space="preserve">Rooming and Boarding Houses, Dormitories, and Workers' CampsT </v>
          </cell>
        </row>
        <row r="1958">
          <cell r="B1958">
            <v>721310</v>
          </cell>
          <cell r="C1958" t="str">
            <v xml:space="preserve">Rooming and Boarding Houses, Dormitories, and Workers' Camps </v>
          </cell>
        </row>
        <row r="1959">
          <cell r="B1959">
            <v>722</v>
          </cell>
          <cell r="C1959" t="str">
            <v xml:space="preserve">Food Services and Drinking PlacesT </v>
          </cell>
        </row>
        <row r="1960">
          <cell r="B1960">
            <v>7223</v>
          </cell>
          <cell r="C1960" t="str">
            <v xml:space="preserve">Special Food ServicesT </v>
          </cell>
        </row>
        <row r="1961">
          <cell r="B1961">
            <v>72231</v>
          </cell>
          <cell r="C1961" t="str">
            <v xml:space="preserve">Food Service ContractorsT </v>
          </cell>
        </row>
        <row r="1962">
          <cell r="B1962">
            <v>722310</v>
          </cell>
          <cell r="C1962" t="str">
            <v>Food Service Contractors</v>
          </cell>
        </row>
        <row r="1963">
          <cell r="B1963">
            <v>72232</v>
          </cell>
          <cell r="C1963" t="str">
            <v xml:space="preserve">CaterersT </v>
          </cell>
        </row>
        <row r="1964">
          <cell r="B1964">
            <v>722320</v>
          </cell>
          <cell r="C1964" t="str">
            <v>Caterers</v>
          </cell>
        </row>
        <row r="1965">
          <cell r="B1965">
            <v>72233</v>
          </cell>
          <cell r="C1965" t="str">
            <v xml:space="preserve">Mobile Food ServicesT </v>
          </cell>
        </row>
        <row r="1966">
          <cell r="B1966">
            <v>722330</v>
          </cell>
          <cell r="C1966" t="str">
            <v>Mobile Food Services</v>
          </cell>
        </row>
        <row r="1967">
          <cell r="B1967">
            <v>7224</v>
          </cell>
          <cell r="C1967" t="str">
            <v xml:space="preserve">Drinking Places (Alcoholic Beverages)T </v>
          </cell>
        </row>
        <row r="1968">
          <cell r="B1968">
            <v>72241</v>
          </cell>
          <cell r="C1968" t="str">
            <v xml:space="preserve">Drinking Places (Alcoholic Beverages)T </v>
          </cell>
        </row>
        <row r="1969">
          <cell r="B1969">
            <v>722410</v>
          </cell>
          <cell r="C1969" t="str">
            <v xml:space="preserve">Drinking Places (Alcoholic Beverages) </v>
          </cell>
        </row>
        <row r="1970">
          <cell r="B1970">
            <v>7225</v>
          </cell>
          <cell r="C1970" t="str">
            <v>Restaurants and Other Eating PlacesT</v>
          </cell>
        </row>
        <row r="1971">
          <cell r="B1971">
            <v>72251</v>
          </cell>
          <cell r="C1971" t="str">
            <v>Restaurants and Other Eating PlacesT</v>
          </cell>
        </row>
        <row r="1972">
          <cell r="B1972">
            <v>722511</v>
          </cell>
          <cell r="C1972" t="str">
            <v xml:space="preserve">Full-Service Restaurants </v>
          </cell>
        </row>
        <row r="1973">
          <cell r="B1973">
            <v>722513</v>
          </cell>
          <cell r="C1973" t="str">
            <v xml:space="preserve">Limited-Service Restaurants </v>
          </cell>
        </row>
        <row r="1974">
          <cell r="B1974">
            <v>722514</v>
          </cell>
          <cell r="C1974" t="str">
            <v xml:space="preserve">Cafeterias, Grill Buffets, and Buffets </v>
          </cell>
        </row>
        <row r="1975">
          <cell r="B1975">
            <v>722515</v>
          </cell>
          <cell r="C1975" t="str">
            <v xml:space="preserve">Snack and Nonalcoholic Beverage Bars </v>
          </cell>
        </row>
        <row r="1977">
          <cell r="B1977">
            <v>81</v>
          </cell>
          <cell r="C1977" t="str">
            <v>Other Services (except Public Administration)T</v>
          </cell>
        </row>
        <row r="1978">
          <cell r="B1978">
            <v>811</v>
          </cell>
          <cell r="C1978" t="str">
            <v xml:space="preserve">Repair and MaintenanceT </v>
          </cell>
        </row>
        <row r="1979">
          <cell r="B1979">
            <v>8111</v>
          </cell>
          <cell r="C1979" t="str">
            <v xml:space="preserve">Automotive Repair and MaintenanceT </v>
          </cell>
        </row>
        <row r="1980">
          <cell r="B1980">
            <v>81111</v>
          </cell>
          <cell r="C1980" t="str">
            <v xml:space="preserve">Automotive Mechanical and Electrical Repair and MaintenanceT </v>
          </cell>
        </row>
        <row r="1981">
          <cell r="B1981">
            <v>811111</v>
          </cell>
          <cell r="C1981" t="str">
            <v xml:space="preserve">General Automotive Repair </v>
          </cell>
        </row>
        <row r="1982">
          <cell r="B1982">
            <v>811114</v>
          </cell>
          <cell r="C1982" t="str">
            <v xml:space="preserve">Specialized Automotive Repair </v>
          </cell>
        </row>
        <row r="1983">
          <cell r="B1983">
            <v>81112</v>
          </cell>
          <cell r="C1983" t="str">
            <v>Automotive Body, Paint, Interior, and Glass RepairT</v>
          </cell>
        </row>
        <row r="1984">
          <cell r="B1984">
            <v>811121</v>
          </cell>
          <cell r="C1984" t="str">
            <v xml:space="preserve">Automotive Body, Paint, and Interior Repair and Maintenance </v>
          </cell>
        </row>
        <row r="1985">
          <cell r="B1985">
            <v>811122</v>
          </cell>
          <cell r="C1985" t="str">
            <v xml:space="preserve">Automotive Glass Replacement Shops </v>
          </cell>
        </row>
        <row r="1986">
          <cell r="B1986">
            <v>81119</v>
          </cell>
          <cell r="C1986" t="str">
            <v xml:space="preserve">Other Automotive Repair and MaintenanceT </v>
          </cell>
        </row>
        <row r="1987">
          <cell r="B1987">
            <v>811191</v>
          </cell>
          <cell r="C1987" t="str">
            <v xml:space="preserve">Automotive Oil Change and Lubrication Shops </v>
          </cell>
        </row>
        <row r="1988">
          <cell r="B1988">
            <v>811192</v>
          </cell>
          <cell r="C1988" t="str">
            <v xml:space="preserve">Car Washes </v>
          </cell>
        </row>
        <row r="1989">
          <cell r="B1989">
            <v>811198</v>
          </cell>
          <cell r="C1989" t="str">
            <v xml:space="preserve">All Other Automotive Repair and Maintenance </v>
          </cell>
        </row>
        <row r="1990">
          <cell r="B1990">
            <v>8112</v>
          </cell>
          <cell r="C1990" t="str">
            <v xml:space="preserve">Electronic and Precision Equipment Repair and MaintenanceT </v>
          </cell>
        </row>
        <row r="1991">
          <cell r="B1991">
            <v>81121</v>
          </cell>
          <cell r="C1991" t="str">
            <v xml:space="preserve">Electronic and Precision Equipment Repair and MaintenanceT </v>
          </cell>
        </row>
        <row r="1992">
          <cell r="B1992">
            <v>811210</v>
          </cell>
          <cell r="C1992" t="str">
            <v xml:space="preserve">Electronic and Precision Equipment Repair and Maintenance </v>
          </cell>
        </row>
        <row r="1993">
          <cell r="B1993">
            <v>8113</v>
          </cell>
          <cell r="C1993" t="str">
            <v xml:space="preserve">Commercial and Industrial Machinery and Equipment (except Automotive and Electronic) Repair and MaintenanceT </v>
          </cell>
        </row>
        <row r="1994">
          <cell r="B1994">
            <v>81131</v>
          </cell>
          <cell r="C1994" t="str">
            <v xml:space="preserve">Commercial and Industrial Machinery and Equipment (except Automotive and Electronic) Repair and MaintenanceT </v>
          </cell>
        </row>
        <row r="1995">
          <cell r="B1995">
            <v>811310</v>
          </cell>
          <cell r="C1995" t="str">
            <v xml:space="preserve">Commercial and Industrial Machinery and Equipment (except Automotive and Electronic) Repair and Maintenance </v>
          </cell>
        </row>
        <row r="1996">
          <cell r="B1996">
            <v>8114</v>
          </cell>
          <cell r="C1996" t="str">
            <v xml:space="preserve">Personal and Household Goods Repair and MaintenanceT </v>
          </cell>
        </row>
        <row r="1997">
          <cell r="B1997">
            <v>81141</v>
          </cell>
          <cell r="C1997" t="str">
            <v xml:space="preserve">Home and Garden Equipment and Appliance Repair and MaintenanceT </v>
          </cell>
        </row>
        <row r="1998">
          <cell r="B1998">
            <v>811411</v>
          </cell>
          <cell r="C1998" t="str">
            <v xml:space="preserve">Home and Garden Equipment Repair and Maintenance </v>
          </cell>
        </row>
        <row r="1999">
          <cell r="B1999">
            <v>811412</v>
          </cell>
          <cell r="C1999" t="str">
            <v xml:space="preserve">Appliance Repair and Maintenance </v>
          </cell>
        </row>
        <row r="2000">
          <cell r="B2000">
            <v>81142</v>
          </cell>
          <cell r="C2000" t="str">
            <v xml:space="preserve">Reupholstery and Furniture RepairT </v>
          </cell>
        </row>
        <row r="2001">
          <cell r="B2001">
            <v>811420</v>
          </cell>
          <cell r="C2001" t="str">
            <v>Reupholstery and Furniture Repair</v>
          </cell>
        </row>
        <row r="2002">
          <cell r="B2002">
            <v>81143</v>
          </cell>
          <cell r="C2002" t="str">
            <v>Footwear and Leather Goods RepairT</v>
          </cell>
        </row>
        <row r="2003">
          <cell r="B2003">
            <v>811430</v>
          </cell>
          <cell r="C2003" t="str">
            <v>Footwear and Leather Goods Repair</v>
          </cell>
        </row>
        <row r="2004">
          <cell r="B2004">
            <v>81149</v>
          </cell>
          <cell r="C2004" t="str">
            <v xml:space="preserve">Other Personal and Household Goods Repair and MaintenanceT </v>
          </cell>
        </row>
        <row r="2005">
          <cell r="B2005">
            <v>811490</v>
          </cell>
          <cell r="C2005" t="str">
            <v xml:space="preserve">Other Personal and Household Goods Repair and Maintenance </v>
          </cell>
        </row>
        <row r="2006">
          <cell r="B2006">
            <v>812</v>
          </cell>
          <cell r="C2006" t="str">
            <v>Personal and Laundry ServicesT</v>
          </cell>
        </row>
        <row r="2007">
          <cell r="B2007">
            <v>8121</v>
          </cell>
          <cell r="C2007" t="str">
            <v xml:space="preserve">Personal Care Services </v>
          </cell>
        </row>
        <row r="2008">
          <cell r="B2008">
            <v>81211</v>
          </cell>
          <cell r="C2008" t="str">
            <v xml:space="preserve">Hair, Nail, and Skin Care Services </v>
          </cell>
        </row>
        <row r="2009">
          <cell r="B2009">
            <v>812111</v>
          </cell>
          <cell r="C2009" t="str">
            <v xml:space="preserve">Barber Shops </v>
          </cell>
        </row>
        <row r="2010">
          <cell r="B2010">
            <v>812112</v>
          </cell>
          <cell r="C2010" t="str">
            <v xml:space="preserve">Beauty Salons </v>
          </cell>
        </row>
        <row r="2011">
          <cell r="B2011">
            <v>812113</v>
          </cell>
          <cell r="C2011" t="str">
            <v xml:space="preserve">Nail Salons </v>
          </cell>
        </row>
        <row r="2012">
          <cell r="B2012">
            <v>81219</v>
          </cell>
          <cell r="C2012" t="str">
            <v xml:space="preserve">Other Personal Care Services </v>
          </cell>
        </row>
        <row r="2013">
          <cell r="B2013">
            <v>812191</v>
          </cell>
          <cell r="C2013" t="str">
            <v xml:space="preserve">Diet and Weight Reducing Centers </v>
          </cell>
        </row>
        <row r="2014">
          <cell r="B2014">
            <v>812199</v>
          </cell>
          <cell r="C2014" t="str">
            <v xml:space="preserve">Other Personal Care Services </v>
          </cell>
        </row>
        <row r="2015">
          <cell r="B2015">
            <v>8122</v>
          </cell>
          <cell r="C2015" t="str">
            <v xml:space="preserve">Death Care Services </v>
          </cell>
        </row>
        <row r="2016">
          <cell r="B2016">
            <v>81221</v>
          </cell>
          <cell r="C2016" t="str">
            <v xml:space="preserve">Funeral Homes and Funeral Services </v>
          </cell>
        </row>
        <row r="2017">
          <cell r="B2017">
            <v>812210</v>
          </cell>
          <cell r="C2017" t="str">
            <v xml:space="preserve">Funeral Homes and Funeral Services </v>
          </cell>
        </row>
        <row r="2018">
          <cell r="B2018">
            <v>81222</v>
          </cell>
          <cell r="C2018" t="str">
            <v xml:space="preserve">Cemeteries and Crematories </v>
          </cell>
        </row>
        <row r="2019">
          <cell r="B2019">
            <v>812220</v>
          </cell>
          <cell r="C2019" t="str">
            <v xml:space="preserve">Cemeteries and Crematories </v>
          </cell>
        </row>
        <row r="2020">
          <cell r="B2020">
            <v>8123</v>
          </cell>
          <cell r="C2020" t="str">
            <v xml:space="preserve">Drycleaning and Laundry Services </v>
          </cell>
        </row>
        <row r="2021">
          <cell r="B2021">
            <v>81231</v>
          </cell>
          <cell r="C2021" t="str">
            <v xml:space="preserve">Coin-Operated Laundries and Drycleaners </v>
          </cell>
        </row>
        <row r="2022">
          <cell r="B2022">
            <v>812310</v>
          </cell>
          <cell r="C2022" t="str">
            <v xml:space="preserve">Coin-Operated Laundries and Drycleaners </v>
          </cell>
        </row>
        <row r="2023">
          <cell r="B2023">
            <v>81232</v>
          </cell>
          <cell r="C2023" t="str">
            <v xml:space="preserve">Drycleaning and Laundry Services (except Coin-Operated) </v>
          </cell>
        </row>
        <row r="2024">
          <cell r="B2024">
            <v>812320</v>
          </cell>
          <cell r="C2024" t="str">
            <v xml:space="preserve">Drycleaning and Laundry Services (except Coin-Operated) </v>
          </cell>
        </row>
        <row r="2025">
          <cell r="B2025">
            <v>81233</v>
          </cell>
          <cell r="C2025" t="str">
            <v xml:space="preserve">Linen and Uniform Supply </v>
          </cell>
        </row>
        <row r="2026">
          <cell r="B2026">
            <v>812331</v>
          </cell>
          <cell r="C2026" t="str">
            <v xml:space="preserve">Linen Supply </v>
          </cell>
        </row>
        <row r="2027">
          <cell r="B2027">
            <v>812332</v>
          </cell>
          <cell r="C2027" t="str">
            <v xml:space="preserve">Industrial Launderers </v>
          </cell>
        </row>
        <row r="2028">
          <cell r="B2028">
            <v>8129</v>
          </cell>
          <cell r="C2028" t="str">
            <v xml:space="preserve">Other Personal Services </v>
          </cell>
        </row>
        <row r="2029">
          <cell r="B2029">
            <v>81291</v>
          </cell>
          <cell r="C2029" t="str">
            <v xml:space="preserve">Pet Care (except Veterinary) Services </v>
          </cell>
        </row>
        <row r="2030">
          <cell r="B2030">
            <v>812910</v>
          </cell>
          <cell r="C2030" t="str">
            <v xml:space="preserve">Pet Care (except Veterinary) Services </v>
          </cell>
        </row>
        <row r="2031">
          <cell r="B2031">
            <v>81292</v>
          </cell>
          <cell r="C2031" t="str">
            <v xml:space="preserve">Photofinishing </v>
          </cell>
        </row>
        <row r="2032">
          <cell r="B2032">
            <v>812921</v>
          </cell>
          <cell r="C2032" t="str">
            <v xml:space="preserve">Photofinishing Laboratories (except One-Hour) </v>
          </cell>
        </row>
        <row r="2033">
          <cell r="B2033">
            <v>812922</v>
          </cell>
          <cell r="C2033" t="str">
            <v xml:space="preserve">One-Hour Photofinishing </v>
          </cell>
        </row>
        <row r="2034">
          <cell r="B2034">
            <v>81293</v>
          </cell>
          <cell r="C2034" t="str">
            <v xml:space="preserve">Parking Lots and Garages </v>
          </cell>
        </row>
        <row r="2035">
          <cell r="B2035">
            <v>812930</v>
          </cell>
          <cell r="C2035" t="str">
            <v xml:space="preserve">Parking Lots and Garages </v>
          </cell>
        </row>
        <row r="2036">
          <cell r="B2036">
            <v>81299</v>
          </cell>
          <cell r="C2036" t="str">
            <v xml:space="preserve">All Other Personal Services </v>
          </cell>
        </row>
        <row r="2037">
          <cell r="B2037">
            <v>812990</v>
          </cell>
          <cell r="C2037" t="str">
            <v xml:space="preserve">All Other Personal Services </v>
          </cell>
        </row>
        <row r="2038">
          <cell r="B2038">
            <v>813</v>
          </cell>
          <cell r="C2038" t="str">
            <v>Religious, Grantmaking, Civic, Professional, and Similar OrganizationsT</v>
          </cell>
        </row>
        <row r="2039">
          <cell r="B2039">
            <v>8131</v>
          </cell>
          <cell r="C2039" t="str">
            <v xml:space="preserve">Religious Organizations </v>
          </cell>
        </row>
        <row r="2040">
          <cell r="B2040">
            <v>81311</v>
          </cell>
          <cell r="C2040" t="str">
            <v xml:space="preserve">Religious Organizations </v>
          </cell>
        </row>
        <row r="2041">
          <cell r="B2041">
            <v>813110</v>
          </cell>
          <cell r="C2041" t="str">
            <v xml:space="preserve">Religious Organizations </v>
          </cell>
        </row>
        <row r="2042">
          <cell r="B2042">
            <v>8132</v>
          </cell>
          <cell r="C2042" t="str">
            <v xml:space="preserve">Grantmaking and Giving Services </v>
          </cell>
        </row>
        <row r="2043">
          <cell r="B2043">
            <v>81321</v>
          </cell>
          <cell r="C2043" t="str">
            <v xml:space="preserve">Grantmaking and Giving Services </v>
          </cell>
        </row>
        <row r="2044">
          <cell r="B2044">
            <v>813211</v>
          </cell>
          <cell r="C2044" t="str">
            <v xml:space="preserve">Grantmaking Foundations </v>
          </cell>
        </row>
        <row r="2045">
          <cell r="B2045">
            <v>813212</v>
          </cell>
          <cell r="C2045" t="str">
            <v xml:space="preserve">Voluntary Health Organizations </v>
          </cell>
        </row>
        <row r="2046">
          <cell r="B2046">
            <v>813219</v>
          </cell>
          <cell r="C2046" t="str">
            <v xml:space="preserve">Other Grantmaking and Giving Services </v>
          </cell>
        </row>
        <row r="2047">
          <cell r="B2047">
            <v>8133</v>
          </cell>
          <cell r="C2047" t="str">
            <v xml:space="preserve">Social Advocacy Organizations </v>
          </cell>
        </row>
        <row r="2048">
          <cell r="B2048">
            <v>81331</v>
          </cell>
          <cell r="C2048" t="str">
            <v xml:space="preserve">Social Advocacy Organizations </v>
          </cell>
        </row>
        <row r="2049">
          <cell r="B2049">
            <v>813311</v>
          </cell>
          <cell r="C2049" t="str">
            <v xml:space="preserve">Human Rights Organizations </v>
          </cell>
        </row>
        <row r="2050">
          <cell r="B2050">
            <v>813312</v>
          </cell>
          <cell r="C2050" t="str">
            <v xml:space="preserve">Environment, Conservation and Wildlife Organizations </v>
          </cell>
        </row>
        <row r="2051">
          <cell r="B2051">
            <v>813319</v>
          </cell>
          <cell r="C2051" t="str">
            <v xml:space="preserve">Other Social Advocacy Organizations </v>
          </cell>
        </row>
        <row r="2052">
          <cell r="B2052">
            <v>8134</v>
          </cell>
          <cell r="C2052" t="str">
            <v xml:space="preserve">Civic and Social Organizations </v>
          </cell>
        </row>
        <row r="2053">
          <cell r="B2053">
            <v>81341</v>
          </cell>
          <cell r="C2053" t="str">
            <v xml:space="preserve">Civic and Social Organizations </v>
          </cell>
        </row>
        <row r="2054">
          <cell r="B2054">
            <v>813410</v>
          </cell>
          <cell r="C2054" t="str">
            <v xml:space="preserve">Civic and Social Organizations </v>
          </cell>
        </row>
        <row r="2055">
          <cell r="B2055">
            <v>8139</v>
          </cell>
          <cell r="C2055" t="str">
            <v xml:space="preserve">Business, Professional, Labor, Political, and Similar Organizations </v>
          </cell>
        </row>
        <row r="2056">
          <cell r="B2056">
            <v>81391</v>
          </cell>
          <cell r="C2056" t="str">
            <v xml:space="preserve">Business Associations </v>
          </cell>
        </row>
        <row r="2057">
          <cell r="B2057">
            <v>813910</v>
          </cell>
          <cell r="C2057" t="str">
            <v xml:space="preserve">Business Associations </v>
          </cell>
        </row>
        <row r="2058">
          <cell r="B2058">
            <v>81392</v>
          </cell>
          <cell r="C2058" t="str">
            <v xml:space="preserve">Professional Organizations </v>
          </cell>
        </row>
        <row r="2059">
          <cell r="B2059">
            <v>813920</v>
          </cell>
          <cell r="C2059" t="str">
            <v xml:space="preserve">Professional Organizations </v>
          </cell>
        </row>
        <row r="2060">
          <cell r="B2060">
            <v>81393</v>
          </cell>
          <cell r="C2060" t="str">
            <v xml:space="preserve">Labor Unions and Similar Labor Organizations </v>
          </cell>
        </row>
        <row r="2061">
          <cell r="B2061">
            <v>813930</v>
          </cell>
          <cell r="C2061" t="str">
            <v xml:space="preserve">Labor Unions and Similar Labor Organizations </v>
          </cell>
        </row>
        <row r="2062">
          <cell r="B2062">
            <v>81394</v>
          </cell>
          <cell r="C2062" t="str">
            <v xml:space="preserve">Political Organizations </v>
          </cell>
        </row>
        <row r="2063">
          <cell r="B2063">
            <v>813940</v>
          </cell>
          <cell r="C2063" t="str">
            <v xml:space="preserve">Political Organizations </v>
          </cell>
        </row>
        <row r="2064">
          <cell r="B2064">
            <v>81399</v>
          </cell>
          <cell r="C2064" t="str">
            <v xml:space="preserve">Other Similar Organizations (except Business, Professional, Labor, and Political Organizations) </v>
          </cell>
        </row>
        <row r="2065">
          <cell r="B2065">
            <v>813990</v>
          </cell>
          <cell r="C2065" t="str">
            <v xml:space="preserve">Other Similar Organizations (except Business, Professional, Labor, and Political Organizations) </v>
          </cell>
        </row>
        <row r="2066">
          <cell r="B2066">
            <v>814</v>
          </cell>
          <cell r="C2066" t="str">
            <v xml:space="preserve">Private HouseholdsT </v>
          </cell>
        </row>
        <row r="2067">
          <cell r="B2067">
            <v>8141</v>
          </cell>
          <cell r="C2067" t="str">
            <v xml:space="preserve">Private HouseholdsT </v>
          </cell>
        </row>
        <row r="2068">
          <cell r="B2068">
            <v>81411</v>
          </cell>
          <cell r="C2068" t="str">
            <v xml:space="preserve">Private HouseholdsT </v>
          </cell>
        </row>
        <row r="2069">
          <cell r="B2069">
            <v>814110</v>
          </cell>
          <cell r="C2069" t="str">
            <v>Private Households</v>
          </cell>
        </row>
        <row r="2071">
          <cell r="B2071">
            <v>92</v>
          </cell>
          <cell r="C2071" t="str">
            <v>Public AdministrationT</v>
          </cell>
        </row>
        <row r="2072">
          <cell r="B2072">
            <v>921</v>
          </cell>
          <cell r="C2072" t="str">
            <v xml:space="preserve">Executive, Legislative, and Other General Government Support </v>
          </cell>
        </row>
        <row r="2073">
          <cell r="B2073">
            <v>9211</v>
          </cell>
          <cell r="C2073" t="str">
            <v xml:space="preserve">Executive, Legislative, and Other General Government Support </v>
          </cell>
        </row>
        <row r="2074">
          <cell r="B2074">
            <v>92111</v>
          </cell>
          <cell r="C2074" t="str">
            <v xml:space="preserve">Executive Offices </v>
          </cell>
        </row>
        <row r="2075">
          <cell r="B2075">
            <v>921110</v>
          </cell>
          <cell r="C2075" t="str">
            <v xml:space="preserve">Executive Offices </v>
          </cell>
        </row>
        <row r="2076">
          <cell r="B2076">
            <v>92112</v>
          </cell>
          <cell r="C2076" t="str">
            <v xml:space="preserve">Legislative Bodies </v>
          </cell>
        </row>
        <row r="2077">
          <cell r="B2077">
            <v>921120</v>
          </cell>
          <cell r="C2077" t="str">
            <v xml:space="preserve">Legislative Bodies </v>
          </cell>
        </row>
        <row r="2078">
          <cell r="B2078">
            <v>92113</v>
          </cell>
          <cell r="C2078" t="str">
            <v xml:space="preserve">Public Finance Activities </v>
          </cell>
        </row>
        <row r="2079">
          <cell r="B2079">
            <v>921130</v>
          </cell>
          <cell r="C2079" t="str">
            <v xml:space="preserve">Public Finance Activities </v>
          </cell>
        </row>
        <row r="2080">
          <cell r="B2080">
            <v>92114</v>
          </cell>
          <cell r="C2080" t="str">
            <v xml:space="preserve">Executive and Legislative Offices, Combined </v>
          </cell>
        </row>
        <row r="2081">
          <cell r="B2081">
            <v>921140</v>
          </cell>
          <cell r="C2081" t="str">
            <v xml:space="preserve">Executive and Legislative Offices, Combined </v>
          </cell>
        </row>
        <row r="2082">
          <cell r="B2082">
            <v>92115</v>
          </cell>
          <cell r="C2082" t="str">
            <v xml:space="preserve">American Indian and Alaska Native Tribal Governments </v>
          </cell>
        </row>
        <row r="2083">
          <cell r="B2083">
            <v>921150</v>
          </cell>
          <cell r="C2083" t="str">
            <v xml:space="preserve">American Indian and Alaska Native Tribal Governments </v>
          </cell>
        </row>
        <row r="2084">
          <cell r="B2084">
            <v>92119</v>
          </cell>
          <cell r="C2084" t="str">
            <v xml:space="preserve">Other General Government Support </v>
          </cell>
        </row>
        <row r="2085">
          <cell r="B2085">
            <v>921190</v>
          </cell>
          <cell r="C2085" t="str">
            <v xml:space="preserve">Other General Government Support </v>
          </cell>
        </row>
        <row r="2086">
          <cell r="B2086">
            <v>922</v>
          </cell>
          <cell r="C2086" t="str">
            <v xml:space="preserve">Justice, Public Order, and Safety Activities </v>
          </cell>
        </row>
        <row r="2087">
          <cell r="B2087">
            <v>9221</v>
          </cell>
          <cell r="C2087" t="str">
            <v xml:space="preserve">Justice, Public Order, and Safety Activities </v>
          </cell>
        </row>
        <row r="2088">
          <cell r="B2088">
            <v>92211</v>
          </cell>
          <cell r="C2088" t="str">
            <v xml:space="preserve">Courts </v>
          </cell>
        </row>
        <row r="2089">
          <cell r="B2089">
            <v>922110</v>
          </cell>
          <cell r="C2089" t="str">
            <v xml:space="preserve">Courts </v>
          </cell>
        </row>
        <row r="2090">
          <cell r="B2090">
            <v>92212</v>
          </cell>
          <cell r="C2090" t="str">
            <v xml:space="preserve">Police Protection </v>
          </cell>
        </row>
        <row r="2091">
          <cell r="B2091">
            <v>922120</v>
          </cell>
          <cell r="C2091" t="str">
            <v xml:space="preserve">Police Protection </v>
          </cell>
        </row>
        <row r="2092">
          <cell r="B2092">
            <v>92213</v>
          </cell>
          <cell r="C2092" t="str">
            <v xml:space="preserve">Legal Counsel and Prosecution </v>
          </cell>
        </row>
        <row r="2093">
          <cell r="B2093">
            <v>922130</v>
          </cell>
          <cell r="C2093" t="str">
            <v xml:space="preserve">Legal Counsel and Prosecution </v>
          </cell>
        </row>
        <row r="2094">
          <cell r="B2094">
            <v>92214</v>
          </cell>
          <cell r="C2094" t="str">
            <v xml:space="preserve">Correctional Institutions </v>
          </cell>
        </row>
        <row r="2095">
          <cell r="B2095">
            <v>922140</v>
          </cell>
          <cell r="C2095" t="str">
            <v xml:space="preserve">Correctional Institutions </v>
          </cell>
        </row>
        <row r="2096">
          <cell r="B2096">
            <v>92215</v>
          </cell>
          <cell r="C2096" t="str">
            <v xml:space="preserve">Parole Offices and Probation Offices </v>
          </cell>
        </row>
        <row r="2097">
          <cell r="B2097">
            <v>922150</v>
          </cell>
          <cell r="C2097" t="str">
            <v xml:space="preserve">Parole Offices and Probation Offices </v>
          </cell>
        </row>
        <row r="2098">
          <cell r="B2098">
            <v>92216</v>
          </cell>
          <cell r="C2098" t="str">
            <v xml:space="preserve">Fire Protection </v>
          </cell>
        </row>
        <row r="2099">
          <cell r="B2099">
            <v>922160</v>
          </cell>
          <cell r="C2099" t="str">
            <v xml:space="preserve">Fire Protection </v>
          </cell>
        </row>
        <row r="2100">
          <cell r="B2100">
            <v>92219</v>
          </cell>
          <cell r="C2100" t="str">
            <v xml:space="preserve">Other Justice, Public Order, and Safety Activities </v>
          </cell>
        </row>
        <row r="2101">
          <cell r="B2101">
            <v>922190</v>
          </cell>
          <cell r="C2101" t="str">
            <v xml:space="preserve">Other Justice, Public Order, and Safety Activities </v>
          </cell>
        </row>
        <row r="2102">
          <cell r="B2102">
            <v>923</v>
          </cell>
          <cell r="C2102" t="str">
            <v xml:space="preserve">Administration of Human Resource Programs </v>
          </cell>
        </row>
        <row r="2103">
          <cell r="B2103">
            <v>9231</v>
          </cell>
          <cell r="C2103" t="str">
            <v xml:space="preserve">Administration of Human Resource Programs </v>
          </cell>
        </row>
        <row r="2104">
          <cell r="B2104">
            <v>92311</v>
          </cell>
          <cell r="C2104" t="str">
            <v xml:space="preserve">Administration of Education Programs </v>
          </cell>
        </row>
        <row r="2105">
          <cell r="B2105">
            <v>923110</v>
          </cell>
          <cell r="C2105" t="str">
            <v xml:space="preserve">Administration of Education Programs </v>
          </cell>
        </row>
        <row r="2106">
          <cell r="B2106">
            <v>92312</v>
          </cell>
          <cell r="C2106" t="str">
            <v xml:space="preserve">Administration of Public Health Programs </v>
          </cell>
        </row>
        <row r="2107">
          <cell r="B2107">
            <v>923120</v>
          </cell>
          <cell r="C2107" t="str">
            <v xml:space="preserve">Administration of Public Health Programs </v>
          </cell>
        </row>
        <row r="2108">
          <cell r="B2108">
            <v>92313</v>
          </cell>
          <cell r="C2108" t="str">
            <v xml:space="preserve">Administration of Human Resource Programs (except Education, Public Health, and Veterans' Affairs Programs) </v>
          </cell>
        </row>
        <row r="2109">
          <cell r="B2109">
            <v>923130</v>
          </cell>
          <cell r="C2109" t="str">
            <v xml:space="preserve">Administration of Human Resource Programs (except Education, Public Health, and Veterans' Affairs Programs) </v>
          </cell>
        </row>
        <row r="2110">
          <cell r="B2110">
            <v>92314</v>
          </cell>
          <cell r="C2110" t="str">
            <v xml:space="preserve">Administration of Veterans' Affairs </v>
          </cell>
        </row>
        <row r="2111">
          <cell r="B2111">
            <v>923140</v>
          </cell>
          <cell r="C2111" t="str">
            <v xml:space="preserve">Administration of Veterans' Affairs </v>
          </cell>
        </row>
        <row r="2112">
          <cell r="B2112">
            <v>924</v>
          </cell>
          <cell r="C2112" t="str">
            <v xml:space="preserve">Administration of Environmental Quality Programs </v>
          </cell>
        </row>
        <row r="2113">
          <cell r="B2113">
            <v>9241</v>
          </cell>
          <cell r="C2113" t="str">
            <v xml:space="preserve">Administration of Environmental Quality Programs </v>
          </cell>
        </row>
        <row r="2114">
          <cell r="B2114">
            <v>92411</v>
          </cell>
          <cell r="C2114" t="str">
            <v xml:space="preserve">Administration of Air and Water Resource and Solid Waste Management Programs </v>
          </cell>
        </row>
        <row r="2115">
          <cell r="B2115">
            <v>924110</v>
          </cell>
          <cell r="C2115" t="str">
            <v xml:space="preserve">Administration of Air and Water Resource and Solid Waste Management Programs </v>
          </cell>
        </row>
        <row r="2116">
          <cell r="B2116">
            <v>92412</v>
          </cell>
          <cell r="C2116" t="str">
            <v xml:space="preserve">Administration of Conservation Programs </v>
          </cell>
        </row>
        <row r="2117">
          <cell r="B2117">
            <v>924120</v>
          </cell>
          <cell r="C2117" t="str">
            <v xml:space="preserve">Administration of Conservation Programs </v>
          </cell>
        </row>
        <row r="2118">
          <cell r="B2118">
            <v>925</v>
          </cell>
          <cell r="C2118" t="str">
            <v xml:space="preserve">Administration of Housing Programs, Urban Planning, and Community Development </v>
          </cell>
        </row>
        <row r="2119">
          <cell r="B2119">
            <v>9251</v>
          </cell>
          <cell r="C2119" t="str">
            <v xml:space="preserve">Administration of Housing Programs, Urban Planning, and Community Development </v>
          </cell>
        </row>
        <row r="2120">
          <cell r="B2120">
            <v>92511</v>
          </cell>
          <cell r="C2120" t="str">
            <v xml:space="preserve">Administration of Housing Programs </v>
          </cell>
        </row>
        <row r="2121">
          <cell r="B2121">
            <v>925110</v>
          </cell>
          <cell r="C2121" t="str">
            <v xml:space="preserve">Administration of Housing Programs </v>
          </cell>
        </row>
        <row r="2122">
          <cell r="B2122">
            <v>92512</v>
          </cell>
          <cell r="C2122" t="str">
            <v xml:space="preserve">Administration of Urban Planning and Community and Rural Development </v>
          </cell>
        </row>
        <row r="2123">
          <cell r="B2123">
            <v>925120</v>
          </cell>
          <cell r="C2123" t="str">
            <v xml:space="preserve">Administration of Urban Planning and Community and Rural Development </v>
          </cell>
        </row>
        <row r="2124">
          <cell r="B2124">
            <v>926</v>
          </cell>
          <cell r="C2124" t="str">
            <v xml:space="preserve">Administration of Economic Programs </v>
          </cell>
        </row>
        <row r="2125">
          <cell r="B2125">
            <v>9261</v>
          </cell>
          <cell r="C2125" t="str">
            <v xml:space="preserve">Administration of Economic Programs </v>
          </cell>
        </row>
        <row r="2126">
          <cell r="B2126">
            <v>92611</v>
          </cell>
          <cell r="C2126" t="str">
            <v xml:space="preserve">Administration of General Economic Programs </v>
          </cell>
        </row>
        <row r="2127">
          <cell r="B2127">
            <v>926110</v>
          </cell>
          <cell r="C2127" t="str">
            <v xml:space="preserve">Administration of General Economic Programs </v>
          </cell>
        </row>
        <row r="2128">
          <cell r="B2128">
            <v>92612</v>
          </cell>
          <cell r="C2128" t="str">
            <v xml:space="preserve">Regulation and Administration of Transportation Programs </v>
          </cell>
        </row>
        <row r="2129">
          <cell r="B2129">
            <v>926120</v>
          </cell>
          <cell r="C2129" t="str">
            <v xml:space="preserve">Regulation and Administration of Transportation Programs </v>
          </cell>
        </row>
        <row r="2130">
          <cell r="B2130">
            <v>92613</v>
          </cell>
          <cell r="C2130" t="str">
            <v xml:space="preserve">Regulation and Administration of Communications, Electric, Gas, and Other Utilities </v>
          </cell>
        </row>
        <row r="2131">
          <cell r="B2131">
            <v>926130</v>
          </cell>
          <cell r="C2131" t="str">
            <v xml:space="preserve">Regulation and Administration of Communications, Electric, Gas, and Other Utilities </v>
          </cell>
        </row>
        <row r="2132">
          <cell r="B2132">
            <v>92614</v>
          </cell>
          <cell r="C2132" t="str">
            <v xml:space="preserve">Regulation of Agricultural Marketing and Commodities </v>
          </cell>
        </row>
        <row r="2133">
          <cell r="B2133">
            <v>926140</v>
          </cell>
          <cell r="C2133" t="str">
            <v xml:space="preserve">Regulation of Agricultural Marketing and Commodities </v>
          </cell>
        </row>
        <row r="2134">
          <cell r="B2134">
            <v>92615</v>
          </cell>
          <cell r="C2134" t="str">
            <v xml:space="preserve">Regulation, Licensing, and Inspection of Miscellaneous Commercial Sectors </v>
          </cell>
        </row>
        <row r="2135">
          <cell r="B2135">
            <v>926150</v>
          </cell>
          <cell r="C2135" t="str">
            <v xml:space="preserve">Regulation, Licensing, and Inspection of Miscellaneous Commercial Sectors </v>
          </cell>
        </row>
        <row r="2136">
          <cell r="B2136">
            <v>927</v>
          </cell>
          <cell r="C2136" t="str">
            <v xml:space="preserve">Space Research and Technology </v>
          </cell>
        </row>
        <row r="2137">
          <cell r="B2137">
            <v>9271</v>
          </cell>
          <cell r="C2137" t="str">
            <v xml:space="preserve">Space Research and Technology </v>
          </cell>
        </row>
        <row r="2138">
          <cell r="B2138">
            <v>92711</v>
          </cell>
          <cell r="C2138" t="str">
            <v xml:space="preserve">Space Research and Technology </v>
          </cell>
        </row>
        <row r="2139">
          <cell r="B2139">
            <v>927110</v>
          </cell>
          <cell r="C2139" t="str">
            <v xml:space="preserve">Space Research and Technology </v>
          </cell>
        </row>
        <row r="2140">
          <cell r="B2140">
            <v>928</v>
          </cell>
          <cell r="C2140" t="str">
            <v xml:space="preserve">National Security and International Affairs </v>
          </cell>
        </row>
        <row r="2141">
          <cell r="B2141">
            <v>9281</v>
          </cell>
          <cell r="C2141" t="str">
            <v xml:space="preserve">National Security and International Affairs </v>
          </cell>
        </row>
        <row r="2142">
          <cell r="B2142">
            <v>92811</v>
          </cell>
          <cell r="C2142" t="str">
            <v xml:space="preserve">National Security </v>
          </cell>
        </row>
        <row r="2143">
          <cell r="B2143">
            <v>928110</v>
          </cell>
          <cell r="C2143" t="str">
            <v xml:space="preserve">National Security </v>
          </cell>
        </row>
        <row r="2144">
          <cell r="B2144">
            <v>92812</v>
          </cell>
          <cell r="C2144" t="str">
            <v xml:space="preserve">International Affairs </v>
          </cell>
        </row>
        <row r="2145">
          <cell r="B2145">
            <v>928120</v>
          </cell>
          <cell r="C2145" t="str">
            <v xml:space="preserve">International Affairs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tel.tech/" TargetMode="External"/><Relationship Id="rId3" Type="http://schemas.openxmlformats.org/officeDocument/2006/relationships/hyperlink" Target="https://www.tec.dk/" TargetMode="External"/><Relationship Id="rId7" Type="http://schemas.openxmlformats.org/officeDocument/2006/relationships/hyperlink" Target="http://www.swichtec.com.my/" TargetMode="External"/><Relationship Id="rId2" Type="http://schemas.openxmlformats.org/officeDocument/2006/relationships/hyperlink" Target="https://talenom.com/sv-se/varakontor/stockholm/" TargetMode="External"/><Relationship Id="rId1" Type="http://schemas.openxmlformats.org/officeDocument/2006/relationships/hyperlink" Target="http://www.parentzone.org.uk/" TargetMode="External"/><Relationship Id="rId6" Type="http://schemas.openxmlformats.org/officeDocument/2006/relationships/hyperlink" Target="https://www.rhenus.group/rhenus-group/about-us/warehousing-solutions/" TargetMode="External"/><Relationship Id="rId11" Type="http://schemas.openxmlformats.org/officeDocument/2006/relationships/hyperlink" Target="http://www.southpole.se/" TargetMode="External"/><Relationship Id="rId5" Type="http://schemas.openxmlformats.org/officeDocument/2006/relationships/hyperlink" Target="https://services.global.ntt/" TargetMode="External"/><Relationship Id="rId10" Type="http://schemas.openxmlformats.org/officeDocument/2006/relationships/hyperlink" Target="https://www.extendaretail.com/" TargetMode="External"/><Relationship Id="rId4" Type="http://schemas.openxmlformats.org/officeDocument/2006/relationships/hyperlink" Target="https://hello.global.ntt/en-us/" TargetMode="External"/><Relationship Id="rId9" Type="http://schemas.openxmlformats.org/officeDocument/2006/relationships/hyperlink" Target="mailto:carolin.jaques@extendaret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1E67-8F49-4B84-BCD9-83F37D87AABF}">
  <dimension ref="A1:BR593"/>
  <sheetViews>
    <sheetView tabSelected="1" workbookViewId="0">
      <selection activeCell="C593" sqref="C593"/>
    </sheetView>
  </sheetViews>
  <sheetFormatPr defaultRowHeight="15" x14ac:dyDescent="0.25"/>
  <cols>
    <col min="1" max="1" width="9.140625" style="6"/>
    <col min="2" max="2" width="49.5703125" style="6" customWidth="1"/>
    <col min="3" max="3" width="25.7109375" style="8" customWidth="1"/>
    <col min="4" max="4" width="30.7109375" style="6" customWidth="1"/>
    <col min="5" max="5" width="30.7109375" style="8" customWidth="1"/>
    <col min="6" max="6" width="57.28515625" style="8" bestFit="1" customWidth="1"/>
    <col min="7" max="8" width="18.7109375" style="6" customWidth="1"/>
    <col min="9" max="9" width="18.7109375" style="8" customWidth="1"/>
    <col min="10" max="10" width="18.7109375" style="6" customWidth="1"/>
    <col min="11" max="11" width="18.7109375" style="9" customWidth="1"/>
    <col min="12" max="12" width="25.42578125" style="8" customWidth="1"/>
    <col min="13" max="13" width="18.7109375" style="9" customWidth="1"/>
    <col min="14" max="19" width="18.7109375" style="6" customWidth="1"/>
    <col min="20" max="20" width="18.7109375" style="12" customWidth="1"/>
    <col min="21" max="33" width="18.7109375" style="6" customWidth="1"/>
    <col min="34" max="34" width="34.42578125" style="6" customWidth="1"/>
    <col min="35" max="56" width="18.7109375" style="6" customWidth="1"/>
    <col min="57" max="57" width="25.5703125" style="6" customWidth="1"/>
    <col min="58" max="69" width="18.7109375" style="6" customWidth="1"/>
    <col min="70" max="70" width="30.85546875" style="6" customWidth="1"/>
    <col min="71" max="16384" width="9.140625" style="6"/>
  </cols>
  <sheetData>
    <row r="1" spans="1:70" s="5" customFormat="1" ht="70.5" customHeight="1" thickBot="1" x14ac:dyDescent="0.3">
      <c r="A1" s="1" t="s">
        <v>0</v>
      </c>
      <c r="B1" s="2" t="s">
        <v>1</v>
      </c>
      <c r="C1" s="1" t="s">
        <v>2</v>
      </c>
      <c r="D1" s="1" t="s">
        <v>3</v>
      </c>
      <c r="E1" s="1" t="s">
        <v>4</v>
      </c>
      <c r="F1" s="1" t="s">
        <v>5</v>
      </c>
      <c r="G1" s="1" t="s">
        <v>6</v>
      </c>
      <c r="H1" s="1" t="s">
        <v>7</v>
      </c>
      <c r="I1" s="1" t="s">
        <v>8</v>
      </c>
      <c r="J1" s="1" t="s">
        <v>9</v>
      </c>
      <c r="K1" s="3" t="s">
        <v>10</v>
      </c>
      <c r="L1" s="1" t="s">
        <v>11</v>
      </c>
      <c r="M1" s="3" t="s">
        <v>12</v>
      </c>
      <c r="N1" s="1" t="s">
        <v>13</v>
      </c>
      <c r="O1" s="1" t="s">
        <v>14</v>
      </c>
      <c r="P1" s="1" t="s">
        <v>15</v>
      </c>
      <c r="Q1" s="1" t="s">
        <v>16</v>
      </c>
      <c r="R1" s="1" t="s">
        <v>17</v>
      </c>
      <c r="S1" s="1" t="s">
        <v>18</v>
      </c>
      <c r="T1" s="4"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row>
    <row r="2" spans="1:70" ht="45" customHeight="1" thickTop="1" x14ac:dyDescent="0.25">
      <c r="A2" s="6">
        <v>1</v>
      </c>
      <c r="B2" s="7" t="s">
        <v>69</v>
      </c>
      <c r="C2" s="8" t="s">
        <v>70</v>
      </c>
      <c r="D2" s="6" t="s">
        <v>71</v>
      </c>
      <c r="E2" s="6" t="s">
        <v>72</v>
      </c>
      <c r="F2" s="8" t="s">
        <v>71</v>
      </c>
      <c r="G2" s="6" t="s">
        <v>73</v>
      </c>
      <c r="H2" s="6" t="s">
        <v>74</v>
      </c>
      <c r="I2" s="6" t="s">
        <v>75</v>
      </c>
      <c r="J2" s="6" t="s">
        <v>76</v>
      </c>
      <c r="K2" s="9">
        <v>9220</v>
      </c>
      <c r="L2" s="8" t="s">
        <v>77</v>
      </c>
      <c r="M2" s="9">
        <v>10</v>
      </c>
      <c r="N2" s="6">
        <v>57.012754999999999</v>
      </c>
      <c r="O2" s="6">
        <v>9.98827</v>
      </c>
      <c r="P2" s="6" t="s">
        <v>78</v>
      </c>
      <c r="Q2" s="6">
        <v>1</v>
      </c>
      <c r="R2" s="6" t="s">
        <v>79</v>
      </c>
      <c r="S2" s="6">
        <v>2009</v>
      </c>
      <c r="T2" s="6">
        <v>28698964</v>
      </c>
      <c r="U2" s="6" t="s">
        <v>80</v>
      </c>
      <c r="V2" s="6">
        <v>15</v>
      </c>
      <c r="W2" s="6" t="s">
        <v>80</v>
      </c>
      <c r="X2" s="6" t="s">
        <v>81</v>
      </c>
      <c r="Y2" s="6" t="s">
        <v>82</v>
      </c>
      <c r="Z2" s="6" t="s">
        <v>83</v>
      </c>
      <c r="AA2" s="6" t="s">
        <v>84</v>
      </c>
      <c r="AC2" s="10">
        <f>_xlfn.XLOOKUP(AH2,[1]Mapping!C:C,[1]Mapping!B:B,"",1)</f>
        <v>517121</v>
      </c>
      <c r="AD2" s="10" t="str">
        <f>_xlfn.XLOOKUP(AC2,[1]Mapping!B:B,[1]Mapping!C:C,"")</f>
        <v>Telecommunications Resellers</v>
      </c>
      <c r="AG2" s="6" t="s">
        <v>85</v>
      </c>
      <c r="AH2" s="6" t="s">
        <v>86</v>
      </c>
      <c r="AI2" s="6" t="s">
        <v>87</v>
      </c>
      <c r="AJ2" s="6" t="s">
        <v>86</v>
      </c>
      <c r="AK2" s="6" t="s">
        <v>88</v>
      </c>
      <c r="AL2" s="6" t="s">
        <v>89</v>
      </c>
      <c r="AM2" s="6" t="s">
        <v>90</v>
      </c>
      <c r="AN2" s="6" t="s">
        <v>91</v>
      </c>
      <c r="AO2" s="6" t="s">
        <v>92</v>
      </c>
      <c r="AQ2" s="6" t="s">
        <v>93</v>
      </c>
      <c r="AR2" s="6" t="s">
        <v>94</v>
      </c>
      <c r="AS2" s="6" t="s">
        <v>95</v>
      </c>
      <c r="AT2" s="6">
        <v>6190</v>
      </c>
      <c r="AU2" s="6" t="s">
        <v>96</v>
      </c>
      <c r="AV2" s="6">
        <v>61.9</v>
      </c>
      <c r="AW2" s="6" t="s">
        <v>96</v>
      </c>
      <c r="AX2" s="6" t="s">
        <v>97</v>
      </c>
      <c r="AY2" s="6" t="s">
        <v>98</v>
      </c>
      <c r="AZ2" s="6">
        <v>4596356150</v>
      </c>
      <c r="BA2" s="6" t="s">
        <v>99</v>
      </c>
      <c r="BB2" s="6" t="s">
        <v>99</v>
      </c>
      <c r="BD2" s="6" t="s">
        <v>100</v>
      </c>
      <c r="BE2" s="6" t="str">
        <f>LEFT(
  SUBSTITUTE(SUBSTITUTE(SUBSTITUTE(BD2,"https://",""),"http://",""),"www.",""),
  IFERROR(
    FIND("/",SUBSTITUTE(SUBSTITUTE(SUBSTITUTE(BD2,"https://",""),"http://",""),"www.","")&amp;"/")-1,
    LEN(SUBSTITUTE(SUBSTITUTE(SUBSTITUTE(BD2,"https://",""),"http://",""),"www.",""))
  )
)</f>
        <v>2operate.com</v>
      </c>
      <c r="BF2" s="6" t="str">
        <f>_xlfn.TEXTAFTER(BE2,".",-1)</f>
        <v>com</v>
      </c>
      <c r="BG2" s="6" t="s">
        <v>101</v>
      </c>
      <c r="BK2" s="6" t="s">
        <v>102</v>
      </c>
      <c r="BP2" s="6" t="s">
        <v>103</v>
      </c>
      <c r="BQ2" s="6" t="s">
        <v>104</v>
      </c>
      <c r="BR2" s="6" t="s">
        <v>105</v>
      </c>
    </row>
    <row r="3" spans="1:70" ht="45" customHeight="1" x14ac:dyDescent="0.25">
      <c r="A3" s="6">
        <v>2</v>
      </c>
      <c r="B3" s="7" t="s">
        <v>106</v>
      </c>
      <c r="C3" s="8" t="s">
        <v>107</v>
      </c>
      <c r="D3" s="6" t="s">
        <v>108</v>
      </c>
      <c r="E3" s="6" t="s">
        <v>109</v>
      </c>
      <c r="F3" s="8" t="s">
        <v>108</v>
      </c>
      <c r="G3" s="6" t="s">
        <v>73</v>
      </c>
      <c r="H3" s="6" t="s">
        <v>74</v>
      </c>
      <c r="I3" s="6" t="s">
        <v>110</v>
      </c>
      <c r="J3" s="6" t="s">
        <v>111</v>
      </c>
      <c r="K3" s="9">
        <v>2860</v>
      </c>
      <c r="L3" s="8" t="s">
        <v>112</v>
      </c>
      <c r="M3" s="9">
        <v>62</v>
      </c>
      <c r="N3" s="6">
        <v>55.736617699999996</v>
      </c>
      <c r="O3" s="6">
        <v>12.4895595</v>
      </c>
      <c r="P3" s="6" t="s">
        <v>113</v>
      </c>
      <c r="Q3" s="6">
        <v>1</v>
      </c>
      <c r="R3" s="6" t="s">
        <v>79</v>
      </c>
      <c r="T3" s="6"/>
      <c r="X3" s="6" t="s">
        <v>114</v>
      </c>
      <c r="Y3" s="6" t="s">
        <v>115</v>
      </c>
      <c r="Z3" s="6" t="s">
        <v>116</v>
      </c>
      <c r="AC3" s="10">
        <f>_xlfn.XLOOKUP(AH3,[1]Mapping!C:C,[1]Mapping!B:B,"",1)</f>
        <v>812111</v>
      </c>
      <c r="AD3" s="10" t="str">
        <f>_xlfn.XLOOKUP(AC3,[1]Mapping!B:B,[1]Mapping!C:C,"")</f>
        <v xml:space="preserve">Barber Shops </v>
      </c>
      <c r="AG3" s="6" t="s">
        <v>117</v>
      </c>
      <c r="AH3" s="6" t="s">
        <v>118</v>
      </c>
      <c r="AI3" s="6" t="s">
        <v>119</v>
      </c>
      <c r="AY3" s="6" t="s">
        <v>120</v>
      </c>
      <c r="AZ3" s="6">
        <v>4572118040</v>
      </c>
      <c r="BB3" s="6" t="s">
        <v>121</v>
      </c>
      <c r="BD3" s="6" t="s">
        <v>122</v>
      </c>
      <c r="BE3" s="6" t="str">
        <f t="shared" ref="BE3:BE66" si="0">LEFT(
  SUBSTITUTE(SUBSTITUTE(SUBSTITUTE(BD3,"https://",""),"http://",""),"www.",""),
  IFERROR(
    FIND("/",SUBSTITUTE(SUBSTITUTE(SUBSTITUTE(BD3,"https://",""),"http://",""),"www.","")&amp;"/")-1,
    LEN(SUBSTITUTE(SUBSTITUTE(SUBSTITUTE(BD3,"https://",""),"http://",""),"www.",""))
  )
)</f>
        <v>3stepit.dk</v>
      </c>
      <c r="BF3" s="6" t="str">
        <f t="shared" ref="BF3:BF66" si="1">_xlfn.TEXTAFTER(BE3,".",-1)</f>
        <v>dk</v>
      </c>
      <c r="BG3" s="6" t="s">
        <v>123</v>
      </c>
      <c r="BK3" s="6" t="s">
        <v>124</v>
      </c>
      <c r="BN3" s="6" t="s">
        <v>125</v>
      </c>
      <c r="BQ3" s="6" t="s">
        <v>126</v>
      </c>
      <c r="BR3" s="6" t="s">
        <v>105</v>
      </c>
    </row>
    <row r="4" spans="1:70" ht="45" customHeight="1" x14ac:dyDescent="0.25">
      <c r="A4" s="6">
        <v>3</v>
      </c>
      <c r="B4" s="7" t="s">
        <v>127</v>
      </c>
      <c r="C4" s="8" t="s">
        <v>128</v>
      </c>
      <c r="D4" s="6" t="s">
        <v>129</v>
      </c>
      <c r="E4" s="6" t="s">
        <v>129</v>
      </c>
      <c r="F4" s="8" t="s">
        <v>129</v>
      </c>
      <c r="G4" s="6" t="s">
        <v>130</v>
      </c>
      <c r="H4" s="6" t="s">
        <v>131</v>
      </c>
      <c r="I4" s="6" t="s">
        <v>132</v>
      </c>
      <c r="J4" s="6" t="s">
        <v>132</v>
      </c>
      <c r="K4" s="9">
        <v>167</v>
      </c>
      <c r="L4" s="8" t="s">
        <v>133</v>
      </c>
      <c r="M4" s="9">
        <v>7</v>
      </c>
      <c r="N4" s="6">
        <v>59.918920000000007</v>
      </c>
      <c r="O4" s="6">
        <v>10.731693999999999</v>
      </c>
      <c r="P4" s="6" t="s">
        <v>134</v>
      </c>
      <c r="Q4" s="6">
        <v>1</v>
      </c>
      <c r="R4" s="6" t="s">
        <v>79</v>
      </c>
      <c r="T4" s="6">
        <v>1785892</v>
      </c>
      <c r="U4" s="6" t="s">
        <v>80</v>
      </c>
      <c r="V4" s="6">
        <v>8</v>
      </c>
      <c r="W4" s="6" t="s">
        <v>80</v>
      </c>
      <c r="X4" s="6" t="s">
        <v>135</v>
      </c>
      <c r="Y4" s="6" t="s">
        <v>136</v>
      </c>
      <c r="Z4" s="6" t="s">
        <v>137</v>
      </c>
      <c r="AA4" s="6" t="s">
        <v>138</v>
      </c>
      <c r="AC4" s="6">
        <v>541720</v>
      </c>
      <c r="AD4" s="10" t="str">
        <f>_xlfn.XLOOKUP(AC4,[1]Mapping!B:B,[1]Mapping!C:C,"")</f>
        <v xml:space="preserve">Research and Development in the Social Sciences and Humanities </v>
      </c>
      <c r="AG4" s="6" t="s">
        <v>139</v>
      </c>
      <c r="AH4" s="6" t="s">
        <v>140</v>
      </c>
      <c r="AI4" s="6" t="s">
        <v>141</v>
      </c>
      <c r="AQ4" s="6" t="s">
        <v>142</v>
      </c>
      <c r="AR4" s="6" t="s">
        <v>143</v>
      </c>
      <c r="AT4" s="6">
        <v>7220</v>
      </c>
      <c r="AU4" s="6" t="s">
        <v>144</v>
      </c>
      <c r="AV4" s="6">
        <v>72.2</v>
      </c>
      <c r="AW4" s="6" t="s">
        <v>144</v>
      </c>
      <c r="AY4" s="6" t="s">
        <v>145</v>
      </c>
      <c r="AZ4" s="6" t="s">
        <v>146</v>
      </c>
      <c r="BA4" s="6" t="s">
        <v>147</v>
      </c>
      <c r="BB4" s="6" t="s">
        <v>148</v>
      </c>
      <c r="BD4" s="6" t="s">
        <v>149</v>
      </c>
      <c r="BE4" s="6" t="str">
        <f t="shared" si="0"/>
        <v>no.3stepit.com</v>
      </c>
      <c r="BF4" s="6" t="str">
        <f t="shared" si="1"/>
        <v>com</v>
      </c>
      <c r="BG4" s="6" t="s">
        <v>150</v>
      </c>
      <c r="BK4" s="6" t="s">
        <v>151</v>
      </c>
      <c r="BN4" s="6" t="s">
        <v>152</v>
      </c>
      <c r="BP4" s="6" t="s">
        <v>153</v>
      </c>
      <c r="BQ4" s="6" t="s">
        <v>154</v>
      </c>
      <c r="BR4" s="6" t="s">
        <v>105</v>
      </c>
    </row>
    <row r="5" spans="1:70" ht="45" customHeight="1" x14ac:dyDescent="0.25">
      <c r="A5" s="6">
        <v>4</v>
      </c>
      <c r="B5" s="7" t="s">
        <v>155</v>
      </c>
      <c r="C5" s="8" t="s">
        <v>156</v>
      </c>
      <c r="D5" s="6" t="s">
        <v>157</v>
      </c>
      <c r="E5" s="6" t="s">
        <v>158</v>
      </c>
      <c r="F5" s="8" t="s">
        <v>159</v>
      </c>
      <c r="G5" s="6" t="s">
        <v>160</v>
      </c>
      <c r="H5" s="6" t="s">
        <v>161</v>
      </c>
      <c r="I5" s="6" t="s">
        <v>162</v>
      </c>
      <c r="J5" s="6" t="s">
        <v>163</v>
      </c>
      <c r="K5" s="9" t="s">
        <v>164</v>
      </c>
      <c r="L5" s="8" t="s">
        <v>165</v>
      </c>
      <c r="M5" s="9">
        <v>19</v>
      </c>
      <c r="N5" s="6">
        <v>58.409185700000002</v>
      </c>
      <c r="O5" s="6">
        <v>15.6266444</v>
      </c>
      <c r="P5" s="6" t="s">
        <v>166</v>
      </c>
      <c r="Q5" s="6">
        <v>14</v>
      </c>
      <c r="R5" s="6" t="s">
        <v>79</v>
      </c>
      <c r="S5" s="6">
        <v>1994</v>
      </c>
      <c r="T5" s="6">
        <v>7000000</v>
      </c>
      <c r="U5" s="6" t="s">
        <v>167</v>
      </c>
      <c r="V5" s="6">
        <v>130</v>
      </c>
      <c r="W5" s="6" t="s">
        <v>167</v>
      </c>
      <c r="X5" s="6" t="s">
        <v>168</v>
      </c>
      <c r="Y5" s="6" t="s">
        <v>169</v>
      </c>
      <c r="Z5" s="6" t="s">
        <v>170</v>
      </c>
      <c r="AA5" s="6" t="s">
        <v>171</v>
      </c>
      <c r="AB5" s="6" t="s">
        <v>172</v>
      </c>
      <c r="AC5" s="6">
        <v>518210</v>
      </c>
      <c r="AD5" s="10" t="str">
        <f>_xlfn.XLOOKUP(AC5,[1]Mapping!B:B,[1]Mapping!C:C,"")</f>
        <v>Computing Infrastructure Providers, Data Processing, Web Hosting, and Related Services</v>
      </c>
      <c r="AG5" s="6" t="s">
        <v>173</v>
      </c>
      <c r="AH5" s="6" t="s">
        <v>86</v>
      </c>
      <c r="AI5" s="6" t="s">
        <v>87</v>
      </c>
      <c r="AJ5" s="6" t="s">
        <v>174</v>
      </c>
      <c r="AK5" s="6" t="s">
        <v>175</v>
      </c>
      <c r="AL5" s="6" t="s">
        <v>176</v>
      </c>
      <c r="AM5" s="6" t="s">
        <v>177</v>
      </c>
      <c r="AN5" s="6" t="s">
        <v>91</v>
      </c>
      <c r="AO5" s="6" t="s">
        <v>92</v>
      </c>
      <c r="AQ5" s="6" t="s">
        <v>178</v>
      </c>
      <c r="AR5" s="6" t="s">
        <v>179</v>
      </c>
      <c r="AS5" s="6" t="s">
        <v>180</v>
      </c>
      <c r="AT5" s="6" t="s">
        <v>181</v>
      </c>
      <c r="AU5" s="6" t="s">
        <v>182</v>
      </c>
      <c r="AV5" s="6" t="s">
        <v>183</v>
      </c>
      <c r="AW5" s="6" t="s">
        <v>184</v>
      </c>
      <c r="AX5" s="6" t="s">
        <v>185</v>
      </c>
      <c r="AY5" s="6" t="s">
        <v>186</v>
      </c>
      <c r="AZ5" s="6" t="s">
        <v>187</v>
      </c>
      <c r="BA5" s="6" t="s">
        <v>188</v>
      </c>
      <c r="BB5" s="6" t="s">
        <v>189</v>
      </c>
      <c r="BD5" s="11" t="s">
        <v>190</v>
      </c>
      <c r="BE5" s="6" t="str">
        <f t="shared" si="0"/>
        <v>se.3stepit.com</v>
      </c>
      <c r="BF5" s="6" t="str">
        <f t="shared" si="1"/>
        <v>com</v>
      </c>
      <c r="BG5" s="6" t="s">
        <v>101</v>
      </c>
      <c r="BH5" s="6" t="s">
        <v>191</v>
      </c>
      <c r="BI5" s="11" t="s">
        <v>192</v>
      </c>
      <c r="BK5" s="6" t="s">
        <v>193</v>
      </c>
      <c r="BN5" s="6" t="s">
        <v>194</v>
      </c>
      <c r="BP5" s="6" t="s">
        <v>195</v>
      </c>
      <c r="BQ5" s="6" t="s">
        <v>196</v>
      </c>
      <c r="BR5" s="6" t="s">
        <v>105</v>
      </c>
    </row>
    <row r="6" spans="1:70" ht="45" customHeight="1" x14ac:dyDescent="0.25">
      <c r="A6" s="6">
        <v>5</v>
      </c>
      <c r="B6" s="7" t="s">
        <v>197</v>
      </c>
      <c r="C6" s="8" t="s">
        <v>198</v>
      </c>
      <c r="D6" s="6" t="s">
        <v>199</v>
      </c>
      <c r="E6" s="6" t="s">
        <v>200</v>
      </c>
      <c r="F6" s="8" t="s">
        <v>199</v>
      </c>
      <c r="G6" s="6" t="s">
        <v>201</v>
      </c>
      <c r="H6" s="6" t="s">
        <v>202</v>
      </c>
      <c r="I6" s="6" t="s">
        <v>203</v>
      </c>
      <c r="J6" s="6" t="s">
        <v>204</v>
      </c>
      <c r="K6" s="9">
        <v>94104</v>
      </c>
      <c r="L6" s="8" t="s">
        <v>205</v>
      </c>
      <c r="M6" s="9">
        <v>235</v>
      </c>
      <c r="N6" s="6">
        <v>37.791367399999999</v>
      </c>
      <c r="O6" s="6">
        <v>-122.40287960000001</v>
      </c>
      <c r="P6" s="6" t="s">
        <v>206</v>
      </c>
      <c r="Q6" s="6">
        <v>10</v>
      </c>
      <c r="R6" s="6" t="s">
        <v>79</v>
      </c>
      <c r="S6" s="6">
        <v>2010</v>
      </c>
      <c r="T6" s="6"/>
      <c r="X6" s="6" t="s">
        <v>207</v>
      </c>
      <c r="Y6" s="6" t="s">
        <v>208</v>
      </c>
      <c r="Z6" s="6" t="s">
        <v>209</v>
      </c>
      <c r="AA6" s="6" t="s">
        <v>210</v>
      </c>
      <c r="AB6" s="6" t="s">
        <v>211</v>
      </c>
      <c r="AC6" s="6">
        <v>541620</v>
      </c>
      <c r="AD6" s="10" t="str">
        <f>_xlfn.XLOOKUP(AC6,[1]Mapping!B:B,[1]Mapping!C:C,"")</f>
        <v>Environmental Consulting Services</v>
      </c>
      <c r="AE6" s="6" t="s">
        <v>212</v>
      </c>
      <c r="AF6" s="6" t="s">
        <v>213</v>
      </c>
      <c r="AG6" s="6" t="s">
        <v>214</v>
      </c>
      <c r="AH6" s="6" t="s">
        <v>215</v>
      </c>
      <c r="AI6" s="6" t="s">
        <v>216</v>
      </c>
      <c r="AJ6" s="6" t="s">
        <v>217</v>
      </c>
      <c r="AK6" s="6" t="s">
        <v>218</v>
      </c>
      <c r="AL6" s="6" t="s">
        <v>219</v>
      </c>
      <c r="AM6" s="6" t="s">
        <v>220</v>
      </c>
      <c r="AN6" s="6" t="s">
        <v>221</v>
      </c>
      <c r="AO6" s="6" t="s">
        <v>222</v>
      </c>
      <c r="AQ6" s="6">
        <v>8999</v>
      </c>
      <c r="AR6" s="6" t="s">
        <v>223</v>
      </c>
      <c r="AS6" s="6" t="s">
        <v>224</v>
      </c>
      <c r="AT6" s="6">
        <v>7490</v>
      </c>
      <c r="AU6" s="6" t="s">
        <v>225</v>
      </c>
      <c r="AV6" s="6">
        <v>74.900000000000006</v>
      </c>
      <c r="AW6" s="6" t="s">
        <v>225</v>
      </c>
      <c r="AX6" s="6" t="s">
        <v>226</v>
      </c>
      <c r="AY6" s="6" t="s">
        <v>227</v>
      </c>
      <c r="AZ6" s="6">
        <v>18664769378</v>
      </c>
      <c r="BA6" s="6" t="s">
        <v>228</v>
      </c>
      <c r="BB6" s="6" t="s">
        <v>229</v>
      </c>
      <c r="BD6" s="6" t="s">
        <v>230</v>
      </c>
      <c r="BE6" s="6" t="str">
        <f t="shared" si="0"/>
        <v>3degreesinc.com</v>
      </c>
      <c r="BF6" s="6" t="str">
        <f t="shared" si="1"/>
        <v>com</v>
      </c>
      <c r="BG6" s="6" t="s">
        <v>101</v>
      </c>
      <c r="BH6" s="6" t="s">
        <v>231</v>
      </c>
      <c r="BI6" s="6" t="s">
        <v>232</v>
      </c>
      <c r="BJ6" s="6" t="s">
        <v>233</v>
      </c>
      <c r="BK6" s="6" t="s">
        <v>234</v>
      </c>
      <c r="BN6" s="6" t="s">
        <v>235</v>
      </c>
      <c r="BP6" s="6" t="s">
        <v>236</v>
      </c>
      <c r="BQ6" s="6" t="s">
        <v>237</v>
      </c>
      <c r="BR6" s="6" t="s">
        <v>105</v>
      </c>
    </row>
    <row r="7" spans="1:70" ht="45" customHeight="1" x14ac:dyDescent="0.25">
      <c r="A7" s="6">
        <v>6</v>
      </c>
      <c r="B7" s="7" t="s">
        <v>238</v>
      </c>
      <c r="C7" s="8" t="s">
        <v>239</v>
      </c>
      <c r="D7" s="6" t="s">
        <v>240</v>
      </c>
      <c r="E7" s="6" t="s">
        <v>241</v>
      </c>
      <c r="F7" s="8" t="s">
        <v>242</v>
      </c>
      <c r="G7" s="6" t="s">
        <v>243</v>
      </c>
      <c r="H7" s="6" t="s">
        <v>244</v>
      </c>
      <c r="I7" s="6" t="s">
        <v>245</v>
      </c>
      <c r="J7" s="6" t="s">
        <v>246</v>
      </c>
      <c r="K7" s="9">
        <v>180</v>
      </c>
      <c r="L7" s="8" t="s">
        <v>247</v>
      </c>
      <c r="M7" s="9" t="s">
        <v>248</v>
      </c>
      <c r="N7" s="6">
        <v>60.164260599999999</v>
      </c>
      <c r="O7" s="6">
        <v>24.921892</v>
      </c>
      <c r="P7" s="6" t="s">
        <v>249</v>
      </c>
      <c r="Q7" s="6">
        <v>20</v>
      </c>
      <c r="R7" s="6" t="s">
        <v>79</v>
      </c>
      <c r="S7" s="6">
        <v>2004</v>
      </c>
      <c r="T7" s="6">
        <v>111438832</v>
      </c>
      <c r="U7" s="6" t="s">
        <v>80</v>
      </c>
      <c r="V7" s="6">
        <v>600</v>
      </c>
      <c r="W7" s="6" t="s">
        <v>80</v>
      </c>
      <c r="X7" s="6" t="s">
        <v>250</v>
      </c>
      <c r="Y7" s="6" t="s">
        <v>251</v>
      </c>
      <c r="Z7" s="6" t="s">
        <v>252</v>
      </c>
      <c r="AA7" s="6" t="s">
        <v>253</v>
      </c>
      <c r="AB7" s="6" t="s">
        <v>254</v>
      </c>
      <c r="AC7" s="6">
        <v>518210</v>
      </c>
      <c r="AD7" s="10" t="str">
        <f>_xlfn.XLOOKUP(AC7,[1]Mapping!B:B,[1]Mapping!C:C,"")</f>
        <v>Computing Infrastructure Providers, Data Processing, Web Hosting, and Related Services</v>
      </c>
      <c r="AG7" s="6" t="s">
        <v>173</v>
      </c>
      <c r="AH7" s="6" t="s">
        <v>86</v>
      </c>
      <c r="AI7" s="6" t="s">
        <v>87</v>
      </c>
      <c r="AJ7" s="6" t="s">
        <v>255</v>
      </c>
      <c r="AK7" s="6" t="s">
        <v>256</v>
      </c>
      <c r="AL7" s="6" t="s">
        <v>257</v>
      </c>
      <c r="AM7" s="6" t="s">
        <v>258</v>
      </c>
      <c r="AN7" s="6" t="s">
        <v>259</v>
      </c>
      <c r="AO7" s="6" t="s">
        <v>260</v>
      </c>
      <c r="AQ7" s="6" t="s">
        <v>178</v>
      </c>
      <c r="AR7" s="6" t="s">
        <v>179</v>
      </c>
      <c r="AS7" s="6" t="s">
        <v>261</v>
      </c>
      <c r="AT7" s="6" t="s">
        <v>181</v>
      </c>
      <c r="AU7" s="6" t="s">
        <v>182</v>
      </c>
      <c r="AV7" s="6" t="s">
        <v>183</v>
      </c>
      <c r="AW7" s="6" t="s">
        <v>184</v>
      </c>
      <c r="AX7" s="6" t="s">
        <v>262</v>
      </c>
      <c r="AY7" s="6" t="s">
        <v>263</v>
      </c>
      <c r="AZ7" s="6" t="s">
        <v>264</v>
      </c>
      <c r="BA7" s="6" t="s">
        <v>265</v>
      </c>
      <c r="BB7" s="6" t="s">
        <v>266</v>
      </c>
      <c r="BC7" s="6" t="s">
        <v>267</v>
      </c>
      <c r="BD7" s="6" t="s">
        <v>268</v>
      </c>
      <c r="BE7" s="6" t="str">
        <f t="shared" si="0"/>
        <v>fi.3stepit.com</v>
      </c>
      <c r="BF7" s="6" t="str">
        <f t="shared" si="1"/>
        <v>com</v>
      </c>
      <c r="BG7" s="6" t="s">
        <v>101</v>
      </c>
      <c r="BH7" s="6" t="s">
        <v>269</v>
      </c>
      <c r="BI7" s="6" t="s">
        <v>270</v>
      </c>
      <c r="BJ7" s="6" t="s">
        <v>271</v>
      </c>
      <c r="BK7" s="6" t="s">
        <v>272</v>
      </c>
      <c r="BN7" s="6" t="s">
        <v>273</v>
      </c>
      <c r="BP7" s="6" t="s">
        <v>274</v>
      </c>
      <c r="BQ7" s="6" t="s">
        <v>275</v>
      </c>
      <c r="BR7" s="6" t="s">
        <v>105</v>
      </c>
    </row>
    <row r="8" spans="1:70" ht="45" customHeight="1" x14ac:dyDescent="0.25">
      <c r="A8" s="6">
        <v>7</v>
      </c>
      <c r="B8" s="7" t="s">
        <v>276</v>
      </c>
      <c r="C8" s="8" t="s">
        <v>277</v>
      </c>
      <c r="D8" s="6" t="s">
        <v>278</v>
      </c>
      <c r="E8" s="6" t="s">
        <v>279</v>
      </c>
      <c r="F8" s="8" t="s">
        <v>280</v>
      </c>
      <c r="G8" s="6" t="s">
        <v>160</v>
      </c>
      <c r="H8" s="6" t="s">
        <v>161</v>
      </c>
      <c r="I8" s="6" t="s">
        <v>281</v>
      </c>
      <c r="J8" s="6" t="s">
        <v>282</v>
      </c>
      <c r="K8" s="9" t="s">
        <v>283</v>
      </c>
      <c r="L8" s="8" t="s">
        <v>284</v>
      </c>
      <c r="M8" s="9">
        <v>90</v>
      </c>
      <c r="N8" s="6">
        <v>59.335420399999997</v>
      </c>
      <c r="O8" s="6">
        <v>18.072402400000001</v>
      </c>
      <c r="P8" s="6" t="s">
        <v>285</v>
      </c>
      <c r="Q8" s="6">
        <v>1</v>
      </c>
      <c r="R8" s="6" t="s">
        <v>79</v>
      </c>
      <c r="S8" s="6">
        <v>2008</v>
      </c>
      <c r="T8" s="6">
        <v>3987137</v>
      </c>
      <c r="U8" s="6" t="s">
        <v>80</v>
      </c>
      <c r="V8" s="6">
        <v>25</v>
      </c>
      <c r="W8" s="6" t="s">
        <v>80</v>
      </c>
      <c r="X8" s="6" t="s">
        <v>286</v>
      </c>
      <c r="Y8" s="6" t="s">
        <v>287</v>
      </c>
      <c r="Z8" s="6" t="s">
        <v>288</v>
      </c>
      <c r="AA8" s="6" t="s">
        <v>289</v>
      </c>
      <c r="AC8" s="6">
        <v>238220</v>
      </c>
      <c r="AD8" s="10" t="str">
        <f>_xlfn.XLOOKUP(AC8,[1]Mapping!B:B,[1]Mapping!C:C,"")</f>
        <v xml:space="preserve">Plumbing, Heating, and Air-Conditioning Contractors </v>
      </c>
      <c r="AG8" s="6" t="s">
        <v>290</v>
      </c>
      <c r="AH8" s="6" t="s">
        <v>291</v>
      </c>
      <c r="AI8" s="6" t="s">
        <v>292</v>
      </c>
      <c r="AJ8" s="6" t="s">
        <v>293</v>
      </c>
      <c r="AK8" s="6" t="s">
        <v>294</v>
      </c>
      <c r="AL8" s="6" t="s">
        <v>295</v>
      </c>
      <c r="AM8" s="6" t="s">
        <v>296</v>
      </c>
      <c r="AN8" s="6" t="s">
        <v>297</v>
      </c>
      <c r="AO8" s="6" t="s">
        <v>298</v>
      </c>
      <c r="AQ8" s="6" t="s">
        <v>299</v>
      </c>
      <c r="AR8" s="6" t="s">
        <v>300</v>
      </c>
      <c r="AT8" s="6" t="s">
        <v>301</v>
      </c>
      <c r="AU8" s="6" t="s">
        <v>302</v>
      </c>
      <c r="AV8" s="6" t="s">
        <v>303</v>
      </c>
      <c r="AW8" s="6" t="s">
        <v>304</v>
      </c>
      <c r="AY8" s="6" t="s">
        <v>305</v>
      </c>
      <c r="AZ8" s="6">
        <v>46704000270</v>
      </c>
      <c r="BA8" s="6" t="s">
        <v>306</v>
      </c>
      <c r="BD8" s="6" t="s">
        <v>307</v>
      </c>
      <c r="BE8" s="6" t="str">
        <f t="shared" si="0"/>
        <v>kearney.com</v>
      </c>
      <c r="BF8" s="6" t="str">
        <f t="shared" si="1"/>
        <v>com</v>
      </c>
      <c r="BG8" s="6" t="s">
        <v>308</v>
      </c>
      <c r="BP8" s="6" t="s">
        <v>309</v>
      </c>
      <c r="BQ8" s="6" t="s">
        <v>310</v>
      </c>
      <c r="BR8" s="6" t="s">
        <v>105</v>
      </c>
    </row>
    <row r="9" spans="1:70" ht="45" customHeight="1" x14ac:dyDescent="0.25">
      <c r="A9" s="6">
        <v>8</v>
      </c>
      <c r="B9" s="7" t="s">
        <v>311</v>
      </c>
      <c r="C9" s="8" t="s">
        <v>312</v>
      </c>
      <c r="D9" s="6" t="s">
        <v>278</v>
      </c>
      <c r="E9" s="8" t="s">
        <v>313</v>
      </c>
      <c r="F9" s="8" t="s">
        <v>314</v>
      </c>
      <c r="G9" s="6" t="s">
        <v>315</v>
      </c>
      <c r="H9" s="6" t="s">
        <v>316</v>
      </c>
      <c r="I9" s="8" t="s">
        <v>316</v>
      </c>
      <c r="J9" s="6" t="s">
        <v>316</v>
      </c>
      <c r="K9" s="9">
        <v>18983</v>
      </c>
      <c r="L9" s="8" t="s">
        <v>317</v>
      </c>
      <c r="N9" s="6">
        <v>1.2795091999999999</v>
      </c>
      <c r="O9" s="6">
        <v>103.8541591</v>
      </c>
      <c r="P9" s="6" t="s">
        <v>318</v>
      </c>
      <c r="Q9" s="6">
        <v>1</v>
      </c>
      <c r="R9" s="6" t="s">
        <v>79</v>
      </c>
      <c r="T9" s="6">
        <v>643321</v>
      </c>
      <c r="U9" s="6" t="s">
        <v>80</v>
      </c>
      <c r="V9" s="6">
        <v>6</v>
      </c>
      <c r="W9" s="6" t="s">
        <v>80</v>
      </c>
      <c r="Y9" s="6" t="s">
        <v>319</v>
      </c>
      <c r="Z9" s="6" t="s">
        <v>320</v>
      </c>
      <c r="AA9" s="6" t="s">
        <v>321</v>
      </c>
      <c r="AB9" s="6" t="s">
        <v>322</v>
      </c>
      <c r="AC9" s="6">
        <v>721199</v>
      </c>
      <c r="AD9" s="10" t="str">
        <f>_xlfn.XLOOKUP(AC9,[1]Mapping!B:B,[1]Mapping!C:C,"")</f>
        <v xml:space="preserve">All Other Traveler Accommodation </v>
      </c>
      <c r="AG9" s="6" t="s">
        <v>323</v>
      </c>
      <c r="AH9" s="6" t="s">
        <v>324</v>
      </c>
      <c r="AI9" s="6" t="s">
        <v>325</v>
      </c>
      <c r="AJ9" s="6" t="s">
        <v>326</v>
      </c>
      <c r="AK9" s="6" t="s">
        <v>327</v>
      </c>
      <c r="AL9" s="6" t="s">
        <v>328</v>
      </c>
      <c r="AM9" s="6" t="s">
        <v>329</v>
      </c>
      <c r="AN9" s="6" t="s">
        <v>297</v>
      </c>
      <c r="AO9" s="6" t="s">
        <v>298</v>
      </c>
      <c r="AQ9" s="6">
        <v>7011</v>
      </c>
      <c r="AR9" s="6" t="s">
        <v>330</v>
      </c>
      <c r="AT9" s="6">
        <v>5510</v>
      </c>
      <c r="AU9" s="6" t="s">
        <v>331</v>
      </c>
      <c r="AV9" s="6" t="s">
        <v>332</v>
      </c>
      <c r="AW9" s="6" t="s">
        <v>333</v>
      </c>
      <c r="AY9" s="6" t="s">
        <v>334</v>
      </c>
      <c r="BA9" s="6" t="s">
        <v>335</v>
      </c>
      <c r="BD9" s="6" t="s">
        <v>336</v>
      </c>
      <c r="BE9" s="6" t="str">
        <f t="shared" si="0"/>
        <v>kearney.com</v>
      </c>
      <c r="BF9" s="6" t="str">
        <f t="shared" si="1"/>
        <v>com</v>
      </c>
      <c r="BG9" s="6" t="s">
        <v>337</v>
      </c>
      <c r="BQ9" s="6" t="s">
        <v>338</v>
      </c>
      <c r="BR9" s="6" t="s">
        <v>105</v>
      </c>
    </row>
    <row r="10" spans="1:70" ht="45" customHeight="1" x14ac:dyDescent="0.25">
      <c r="A10" s="6">
        <v>9</v>
      </c>
      <c r="B10" s="7" t="s">
        <v>339</v>
      </c>
      <c r="C10" s="8" t="s">
        <v>340</v>
      </c>
      <c r="D10" s="6" t="s">
        <v>76</v>
      </c>
      <c r="E10" s="8" t="s">
        <v>339</v>
      </c>
      <c r="F10" s="8" t="s">
        <v>341</v>
      </c>
      <c r="G10" s="6" t="s">
        <v>73</v>
      </c>
      <c r="H10" s="6" t="s">
        <v>74</v>
      </c>
      <c r="I10" s="8" t="s">
        <v>76</v>
      </c>
      <c r="J10" s="6" t="s">
        <v>76</v>
      </c>
      <c r="L10" s="8" t="s">
        <v>342</v>
      </c>
      <c r="N10" s="6">
        <v>57.0488195</v>
      </c>
      <c r="O10" s="6">
        <v>9.9217469999999999</v>
      </c>
      <c r="P10" s="6" t="s">
        <v>343</v>
      </c>
      <c r="Q10" s="6">
        <v>1</v>
      </c>
      <c r="R10" s="6" t="s">
        <v>79</v>
      </c>
      <c r="T10" s="6">
        <v>16195217</v>
      </c>
      <c r="U10" s="6" t="s">
        <v>80</v>
      </c>
      <c r="V10" s="6">
        <v>75</v>
      </c>
      <c r="W10" s="6" t="s">
        <v>80</v>
      </c>
      <c r="X10" s="6" t="s">
        <v>344</v>
      </c>
      <c r="Y10" s="6" t="s">
        <v>345</v>
      </c>
      <c r="Z10" s="6" t="s">
        <v>346</v>
      </c>
      <c r="AA10" s="6" t="s">
        <v>347</v>
      </c>
      <c r="AB10" s="6" t="s">
        <v>348</v>
      </c>
      <c r="AC10" s="6">
        <v>813910</v>
      </c>
      <c r="AD10" s="10" t="str">
        <f>_xlfn.XLOOKUP(AC10,[1]Mapping!B:B,[1]Mapping!C:C,"")</f>
        <v xml:space="preserve">Business Associations </v>
      </c>
      <c r="AG10" s="6" t="s">
        <v>349</v>
      </c>
      <c r="AH10" s="6" t="s">
        <v>350</v>
      </c>
      <c r="AI10" s="6" t="s">
        <v>351</v>
      </c>
      <c r="AJ10" s="6" t="s">
        <v>255</v>
      </c>
      <c r="AK10" s="6" t="s">
        <v>256</v>
      </c>
      <c r="AL10" s="6" t="s">
        <v>257</v>
      </c>
      <c r="AM10" s="6" t="s">
        <v>258</v>
      </c>
      <c r="AN10" s="6" t="s">
        <v>259</v>
      </c>
      <c r="AO10" s="6" t="s">
        <v>260</v>
      </c>
      <c r="AQ10" s="6">
        <v>8611</v>
      </c>
      <c r="AR10" s="6" t="s">
        <v>352</v>
      </c>
      <c r="AS10" s="6" t="s">
        <v>353</v>
      </c>
      <c r="AT10" s="6">
        <v>9411</v>
      </c>
      <c r="AU10" s="6" t="s">
        <v>354</v>
      </c>
      <c r="AV10" s="6">
        <v>94.11</v>
      </c>
      <c r="AW10" s="6" t="s">
        <v>354</v>
      </c>
      <c r="AX10" s="6" t="s">
        <v>355</v>
      </c>
      <c r="AY10" s="6">
        <v>4525509001</v>
      </c>
      <c r="AZ10" s="6" t="s">
        <v>356</v>
      </c>
      <c r="BA10" s="6" t="s">
        <v>357</v>
      </c>
      <c r="BB10" s="6" t="s">
        <v>358</v>
      </c>
      <c r="BC10" s="6" t="s">
        <v>359</v>
      </c>
      <c r="BD10" s="6" t="s">
        <v>360</v>
      </c>
      <c r="BE10" s="6" t="str">
        <f t="shared" si="0"/>
        <v>aalborgcity.dk</v>
      </c>
      <c r="BF10" s="6" t="str">
        <f t="shared" si="1"/>
        <v>dk</v>
      </c>
      <c r="BG10" s="6" t="s">
        <v>123</v>
      </c>
      <c r="BH10" s="6" t="s">
        <v>361</v>
      </c>
      <c r="BJ10" s="6" t="s">
        <v>362</v>
      </c>
      <c r="BK10" s="6" t="s">
        <v>363</v>
      </c>
      <c r="BP10" s="6" t="s">
        <v>364</v>
      </c>
      <c r="BQ10" s="6" t="s">
        <v>365</v>
      </c>
      <c r="BR10" s="6" t="s">
        <v>105</v>
      </c>
    </row>
    <row r="11" spans="1:70" ht="45" customHeight="1" x14ac:dyDescent="0.25">
      <c r="A11" s="6">
        <v>10</v>
      </c>
      <c r="B11" s="7" t="s">
        <v>366</v>
      </c>
      <c r="C11" s="8" t="s">
        <v>367</v>
      </c>
      <c r="D11" s="6" t="s">
        <v>368</v>
      </c>
      <c r="E11" s="8" t="s">
        <v>369</v>
      </c>
      <c r="F11" s="8" t="s">
        <v>370</v>
      </c>
      <c r="G11" s="6" t="s">
        <v>130</v>
      </c>
      <c r="H11" s="6" t="s">
        <v>131</v>
      </c>
      <c r="I11" s="8" t="s">
        <v>132</v>
      </c>
      <c r="J11" s="6" t="s">
        <v>132</v>
      </c>
      <c r="K11" s="9">
        <v>158</v>
      </c>
      <c r="L11" s="8" t="s">
        <v>371</v>
      </c>
      <c r="M11" s="9">
        <v>27</v>
      </c>
      <c r="N11" s="6">
        <v>59.911194899999998</v>
      </c>
      <c r="O11" s="6">
        <v>10.736255699999999</v>
      </c>
      <c r="P11" s="6" t="s">
        <v>372</v>
      </c>
      <c r="Q11" s="6">
        <v>5</v>
      </c>
      <c r="R11" s="6" t="s">
        <v>79</v>
      </c>
      <c r="T11" s="6"/>
      <c r="X11" s="6" t="s">
        <v>373</v>
      </c>
      <c r="Y11" s="6" t="s">
        <v>374</v>
      </c>
      <c r="Z11" s="6" t="s">
        <v>375</v>
      </c>
      <c r="AC11" s="6">
        <v>541611</v>
      </c>
      <c r="AD11" s="10" t="str">
        <f>_xlfn.XLOOKUP(AC11,[1]Mapping!B:B,[1]Mapping!C:C,"")</f>
        <v xml:space="preserve">Administrative Management and General Management Consulting Services </v>
      </c>
      <c r="AG11" s="6" t="s">
        <v>376</v>
      </c>
      <c r="AH11" s="6" t="s">
        <v>376</v>
      </c>
      <c r="AI11" s="6" t="s">
        <v>141</v>
      </c>
      <c r="AQ11" s="6">
        <v>8742</v>
      </c>
      <c r="AR11" s="6" t="s">
        <v>377</v>
      </c>
      <c r="AT11" s="6">
        <v>7020</v>
      </c>
      <c r="AU11" s="6" t="s">
        <v>378</v>
      </c>
      <c r="AV11" s="6" t="s">
        <v>379</v>
      </c>
      <c r="AW11" s="6" t="s">
        <v>380</v>
      </c>
      <c r="AY11" s="6" t="s">
        <v>381</v>
      </c>
      <c r="AZ11" s="6">
        <v>4767126700</v>
      </c>
      <c r="BD11" s="6" t="s">
        <v>382</v>
      </c>
      <c r="BE11" s="6" t="str">
        <f t="shared" si="0"/>
        <v>accenture.no</v>
      </c>
      <c r="BF11" s="6" t="str">
        <f t="shared" si="1"/>
        <v>no</v>
      </c>
      <c r="BG11" s="6" t="s">
        <v>150</v>
      </c>
      <c r="BH11" s="6" t="s">
        <v>383</v>
      </c>
      <c r="BQ11" s="6" t="s">
        <v>384</v>
      </c>
      <c r="BR11" s="6" t="s">
        <v>105</v>
      </c>
    </row>
    <row r="12" spans="1:70" ht="45" customHeight="1" x14ac:dyDescent="0.25">
      <c r="A12" s="6">
        <v>11</v>
      </c>
      <c r="B12" s="7" t="s">
        <v>385</v>
      </c>
      <c r="C12" s="8" t="s">
        <v>386</v>
      </c>
      <c r="D12" s="6" t="s">
        <v>385</v>
      </c>
      <c r="E12" s="8" t="s">
        <v>385</v>
      </c>
      <c r="F12" s="8" t="s">
        <v>387</v>
      </c>
      <c r="G12" s="6" t="s">
        <v>73</v>
      </c>
      <c r="H12" s="6" t="s">
        <v>74</v>
      </c>
      <c r="I12" s="8" t="s">
        <v>388</v>
      </c>
      <c r="J12" s="6" t="s">
        <v>388</v>
      </c>
      <c r="K12" s="9">
        <v>5000</v>
      </c>
      <c r="L12" s="8" t="s">
        <v>389</v>
      </c>
      <c r="M12" s="9">
        <v>13</v>
      </c>
      <c r="N12" s="6">
        <v>55.393701099999987</v>
      </c>
      <c r="O12" s="6">
        <v>10.378677700000001</v>
      </c>
      <c r="P12" s="6" t="s">
        <v>390</v>
      </c>
      <c r="Q12" s="6">
        <v>3</v>
      </c>
      <c r="R12" s="6" t="s">
        <v>79</v>
      </c>
      <c r="S12" s="6">
        <v>2015</v>
      </c>
      <c r="T12" s="6">
        <v>174450</v>
      </c>
      <c r="U12" s="6" t="s">
        <v>80</v>
      </c>
      <c r="V12" s="6">
        <v>2</v>
      </c>
      <c r="W12" s="6" t="s">
        <v>167</v>
      </c>
      <c r="X12" s="6" t="s">
        <v>391</v>
      </c>
      <c r="Y12" s="6" t="s">
        <v>392</v>
      </c>
      <c r="Z12" s="6" t="s">
        <v>393</v>
      </c>
      <c r="AA12" s="6" t="s">
        <v>394</v>
      </c>
      <c r="AB12" s="6" t="s">
        <v>395</v>
      </c>
      <c r="AC12" s="6">
        <v>561311</v>
      </c>
      <c r="AD12" s="10" t="str">
        <f>_xlfn.XLOOKUP(AC12,[1]Mapping!B:B,[1]Mapping!C:C,"")</f>
        <v xml:space="preserve">Employment Placement Agencies </v>
      </c>
      <c r="AG12" s="6" t="s">
        <v>396</v>
      </c>
      <c r="AH12" s="6" t="s">
        <v>397</v>
      </c>
      <c r="AI12" s="6" t="s">
        <v>141</v>
      </c>
      <c r="AJ12" s="6" t="s">
        <v>293</v>
      </c>
      <c r="AK12" s="6" t="s">
        <v>294</v>
      </c>
      <c r="AL12" s="6" t="s">
        <v>295</v>
      </c>
      <c r="AM12" s="6" t="s">
        <v>296</v>
      </c>
      <c r="AN12" s="6" t="s">
        <v>297</v>
      </c>
      <c r="AO12" s="6" t="s">
        <v>298</v>
      </c>
      <c r="AQ12" s="6" t="s">
        <v>398</v>
      </c>
      <c r="AR12" s="6" t="s">
        <v>399</v>
      </c>
      <c r="AS12" s="6" t="s">
        <v>400</v>
      </c>
      <c r="AT12" s="6">
        <v>7810</v>
      </c>
      <c r="AU12" s="6" t="s">
        <v>401</v>
      </c>
      <c r="AV12" s="6">
        <v>78.099999999999994</v>
      </c>
      <c r="AW12" s="6" t="s">
        <v>401</v>
      </c>
      <c r="AX12" s="6" t="s">
        <v>402</v>
      </c>
      <c r="AY12" s="6" t="s">
        <v>403</v>
      </c>
      <c r="AZ12" s="6">
        <v>4529890903</v>
      </c>
      <c r="BA12" s="6" t="s">
        <v>404</v>
      </c>
      <c r="BB12" s="6" t="s">
        <v>404</v>
      </c>
      <c r="BC12" s="6" t="s">
        <v>405</v>
      </c>
      <c r="BD12" s="6" t="s">
        <v>406</v>
      </c>
      <c r="BE12" s="6" t="str">
        <f t="shared" si="0"/>
        <v>edentic.dk</v>
      </c>
      <c r="BF12" s="6" t="str">
        <f t="shared" si="1"/>
        <v>dk</v>
      </c>
      <c r="BG12" s="6" t="s">
        <v>101</v>
      </c>
      <c r="BH12" s="6" t="s">
        <v>407</v>
      </c>
      <c r="BI12" s="6" t="s">
        <v>408</v>
      </c>
      <c r="BJ12" s="6" t="s">
        <v>409</v>
      </c>
      <c r="BK12" s="6" t="s">
        <v>410</v>
      </c>
      <c r="BP12" s="6" t="s">
        <v>411</v>
      </c>
      <c r="BQ12" s="6" t="s">
        <v>412</v>
      </c>
      <c r="BR12" s="6" t="s">
        <v>105</v>
      </c>
    </row>
    <row r="13" spans="1:70" ht="45" customHeight="1" x14ac:dyDescent="0.25">
      <c r="A13" s="6">
        <v>12</v>
      </c>
      <c r="B13" s="7" t="s">
        <v>413</v>
      </c>
      <c r="C13" s="8" t="s">
        <v>414</v>
      </c>
      <c r="D13" s="6" t="s">
        <v>415</v>
      </c>
      <c r="E13" s="6" t="s">
        <v>416</v>
      </c>
      <c r="F13" s="8" t="s">
        <v>417</v>
      </c>
      <c r="G13" s="6" t="s">
        <v>418</v>
      </c>
      <c r="H13" s="6" t="s">
        <v>419</v>
      </c>
      <c r="I13" s="6" t="s">
        <v>420</v>
      </c>
      <c r="J13" s="6" t="s">
        <v>421</v>
      </c>
      <c r="K13" s="9">
        <v>75014</v>
      </c>
      <c r="L13" s="8" t="s">
        <v>422</v>
      </c>
      <c r="M13" s="9">
        <v>52</v>
      </c>
      <c r="N13" s="6">
        <v>48.842208100000001</v>
      </c>
      <c r="O13" s="6">
        <v>2.3255767999999999</v>
      </c>
      <c r="P13" s="6" t="s">
        <v>423</v>
      </c>
      <c r="Q13" s="6">
        <v>18</v>
      </c>
      <c r="R13" s="6" t="s">
        <v>79</v>
      </c>
      <c r="S13" s="6">
        <v>1932</v>
      </c>
      <c r="T13" s="6">
        <v>655900032</v>
      </c>
      <c r="U13" s="6" t="s">
        <v>167</v>
      </c>
      <c r="V13" s="6">
        <v>3000</v>
      </c>
      <c r="W13" s="6" t="s">
        <v>80</v>
      </c>
      <c r="X13" s="6" t="s">
        <v>424</v>
      </c>
      <c r="Y13" s="6" t="s">
        <v>425</v>
      </c>
      <c r="Z13" s="6" t="s">
        <v>426</v>
      </c>
      <c r="AA13" s="6" t="s">
        <v>427</v>
      </c>
      <c r="AB13" s="6" t="s">
        <v>428</v>
      </c>
      <c r="AC13" s="6">
        <v>335929</v>
      </c>
      <c r="AD13" s="10" t="str">
        <f>_xlfn.XLOOKUP(AC13,[1]Mapping!B:B,[1]Mapping!C:C,"")</f>
        <v xml:space="preserve">Other Communication and Energy Wire Manufacturing </v>
      </c>
      <c r="AG13" s="6" t="s">
        <v>429</v>
      </c>
      <c r="AH13" s="6" t="s">
        <v>430</v>
      </c>
      <c r="AI13" s="6" t="s">
        <v>431</v>
      </c>
      <c r="AJ13" s="6" t="s">
        <v>432</v>
      </c>
      <c r="AK13" s="6" t="s">
        <v>433</v>
      </c>
      <c r="AL13" s="6" t="s">
        <v>434</v>
      </c>
      <c r="AM13" s="6" t="s">
        <v>435</v>
      </c>
      <c r="AN13" s="6" t="s">
        <v>436</v>
      </c>
      <c r="AO13" s="6" t="s">
        <v>437</v>
      </c>
      <c r="AQ13" s="6">
        <v>3357</v>
      </c>
      <c r="AR13" s="6" t="s">
        <v>438</v>
      </c>
      <c r="AT13" s="6">
        <v>2732</v>
      </c>
      <c r="AU13" s="6" t="s">
        <v>439</v>
      </c>
      <c r="AV13" s="6">
        <v>27.32</v>
      </c>
      <c r="AW13" s="6" t="s">
        <v>439</v>
      </c>
      <c r="AY13" s="6" t="s">
        <v>440</v>
      </c>
      <c r="AZ13" s="6" t="s">
        <v>441</v>
      </c>
      <c r="BD13" s="6" t="s">
        <v>442</v>
      </c>
      <c r="BE13" s="6" t="str">
        <f t="shared" si="0"/>
        <v>acome.com</v>
      </c>
      <c r="BF13" s="6" t="str">
        <f t="shared" si="1"/>
        <v>com</v>
      </c>
      <c r="BG13" s="6" t="s">
        <v>101</v>
      </c>
      <c r="BH13" s="6" t="s">
        <v>443</v>
      </c>
      <c r="BI13" s="6" t="s">
        <v>444</v>
      </c>
      <c r="BK13" s="6" t="s">
        <v>445</v>
      </c>
      <c r="BN13" s="6" t="s">
        <v>446</v>
      </c>
      <c r="BP13" s="6" t="s">
        <v>447</v>
      </c>
      <c r="BQ13" s="6" t="s">
        <v>448</v>
      </c>
      <c r="BR13" s="6" t="s">
        <v>105</v>
      </c>
    </row>
    <row r="14" spans="1:70" ht="45" customHeight="1" x14ac:dyDescent="0.25">
      <c r="A14" s="6">
        <v>13</v>
      </c>
      <c r="B14" s="7" t="s">
        <v>449</v>
      </c>
      <c r="C14" s="8" t="s">
        <v>450</v>
      </c>
      <c r="D14" s="6" t="s">
        <v>451</v>
      </c>
      <c r="E14" s="8" t="s">
        <v>449</v>
      </c>
      <c r="F14" s="8" t="s">
        <v>449</v>
      </c>
      <c r="G14" s="6" t="s">
        <v>452</v>
      </c>
      <c r="H14" s="6" t="s">
        <v>453</v>
      </c>
      <c r="I14" s="6" t="s">
        <v>454</v>
      </c>
      <c r="J14" s="6" t="s">
        <v>455</v>
      </c>
      <c r="K14" s="9">
        <v>266041</v>
      </c>
      <c r="L14" s="8" t="s">
        <v>456</v>
      </c>
      <c r="N14" s="6">
        <v>38.391820000000003</v>
      </c>
      <c r="O14" s="6">
        <v>116.30519</v>
      </c>
      <c r="P14" s="6" t="s">
        <v>457</v>
      </c>
      <c r="Q14" s="6">
        <v>1</v>
      </c>
      <c r="R14" s="6" t="s">
        <v>79</v>
      </c>
      <c r="S14" s="6">
        <v>2009</v>
      </c>
      <c r="T14" s="12">
        <v>8348041</v>
      </c>
      <c r="U14" s="6" t="s">
        <v>80</v>
      </c>
      <c r="V14" s="6">
        <v>150</v>
      </c>
      <c r="W14" s="6" t="s">
        <v>80</v>
      </c>
      <c r="X14" s="6" t="s">
        <v>458</v>
      </c>
      <c r="Y14" s="6" t="s">
        <v>459</v>
      </c>
      <c r="Z14" s="6" t="s">
        <v>460</v>
      </c>
      <c r="AA14" s="6" t="s">
        <v>461</v>
      </c>
      <c r="AB14" s="6" t="s">
        <v>462</v>
      </c>
      <c r="AC14" s="10">
        <v>326220</v>
      </c>
      <c r="AD14" s="10" t="s">
        <v>463</v>
      </c>
      <c r="AG14" s="6" t="s">
        <v>464</v>
      </c>
      <c r="AH14" s="6" t="s">
        <v>465</v>
      </c>
      <c r="AI14" s="6" t="s">
        <v>466</v>
      </c>
      <c r="AJ14" s="6" t="s">
        <v>467</v>
      </c>
      <c r="AK14" s="6" t="s">
        <v>468</v>
      </c>
      <c r="AL14" s="6" t="s">
        <v>434</v>
      </c>
      <c r="AM14" s="6" t="s">
        <v>435</v>
      </c>
      <c r="AN14" s="6" t="s">
        <v>436</v>
      </c>
      <c r="AO14" s="6" t="s">
        <v>437</v>
      </c>
      <c r="AQ14" s="6">
        <v>3052</v>
      </c>
      <c r="AR14" s="6" t="s">
        <v>469</v>
      </c>
      <c r="AS14" s="6" t="s">
        <v>470</v>
      </c>
      <c r="AT14" s="6" t="s">
        <v>471</v>
      </c>
      <c r="AU14" s="6" t="s">
        <v>472</v>
      </c>
      <c r="AV14" s="6" t="s">
        <v>473</v>
      </c>
      <c r="AW14" s="6" t="s">
        <v>474</v>
      </c>
      <c r="AX14" s="6" t="s">
        <v>475</v>
      </c>
      <c r="AY14" s="6">
        <v>8618017203526</v>
      </c>
      <c r="AZ14" s="6" t="s">
        <v>476</v>
      </c>
      <c r="BA14" s="6" t="s">
        <v>477</v>
      </c>
      <c r="BD14" s="6" t="s">
        <v>478</v>
      </c>
      <c r="BE14" s="6" t="str">
        <f t="shared" si="0"/>
        <v>acometech.com</v>
      </c>
      <c r="BF14" s="6" t="str">
        <f t="shared" si="1"/>
        <v>com</v>
      </c>
      <c r="BG14" s="6" t="s">
        <v>101</v>
      </c>
      <c r="BP14" s="6" t="s">
        <v>479</v>
      </c>
      <c r="BQ14" s="6" t="s">
        <v>480</v>
      </c>
      <c r="BR14" s="6" t="s">
        <v>105</v>
      </c>
    </row>
    <row r="15" spans="1:70" ht="45" customHeight="1" x14ac:dyDescent="0.25">
      <c r="A15" s="6">
        <v>14</v>
      </c>
      <c r="B15" s="7" t="s">
        <v>481</v>
      </c>
      <c r="C15" s="8" t="s">
        <v>482</v>
      </c>
      <c r="D15" s="6" t="s">
        <v>483</v>
      </c>
      <c r="E15" s="6" t="s">
        <v>484</v>
      </c>
      <c r="F15" s="8" t="s">
        <v>485</v>
      </c>
      <c r="G15" s="6" t="s">
        <v>73</v>
      </c>
      <c r="H15" s="6" t="s">
        <v>74</v>
      </c>
      <c r="I15" s="6"/>
      <c r="J15" s="6" t="s">
        <v>486</v>
      </c>
      <c r="K15" s="9">
        <v>1411</v>
      </c>
      <c r="L15" s="8" t="s">
        <v>487</v>
      </c>
      <c r="M15" s="9" t="s">
        <v>488</v>
      </c>
      <c r="N15" s="6">
        <v>55.670170400000003</v>
      </c>
      <c r="O15" s="6">
        <v>12.5857782</v>
      </c>
      <c r="P15" s="6" t="s">
        <v>489</v>
      </c>
      <c r="Q15" s="6">
        <v>1</v>
      </c>
      <c r="R15" s="6" t="s">
        <v>79</v>
      </c>
      <c r="S15" s="6">
        <v>1998</v>
      </c>
      <c r="T15" s="6">
        <v>35819152</v>
      </c>
      <c r="U15" s="6" t="s">
        <v>80</v>
      </c>
      <c r="V15" s="6">
        <v>160</v>
      </c>
      <c r="W15" s="6" t="s">
        <v>167</v>
      </c>
      <c r="X15" s="6" t="s">
        <v>490</v>
      </c>
      <c r="Y15" s="6" t="s">
        <v>491</v>
      </c>
      <c r="Z15" s="6" t="s">
        <v>492</v>
      </c>
      <c r="AA15" s="6" t="s">
        <v>493</v>
      </c>
      <c r="AB15" s="6" t="s">
        <v>494</v>
      </c>
      <c r="AC15" s="6">
        <v>541511</v>
      </c>
      <c r="AD15" s="10" t="str">
        <f>_xlfn.XLOOKUP(AC15,[1]Mapping!B:B,[1]Mapping!C:C,"")</f>
        <v xml:space="preserve">Custom Computer Programming Services </v>
      </c>
      <c r="AE15" s="6" t="s">
        <v>495</v>
      </c>
      <c r="AF15" s="6" t="s">
        <v>496</v>
      </c>
      <c r="AG15" s="6" t="s">
        <v>497</v>
      </c>
      <c r="AH15" s="6" t="s">
        <v>498</v>
      </c>
      <c r="AI15" s="6" t="s">
        <v>499</v>
      </c>
      <c r="AJ15" s="6" t="s">
        <v>500</v>
      </c>
      <c r="AK15" s="6" t="s">
        <v>501</v>
      </c>
      <c r="AL15" s="6" t="s">
        <v>502</v>
      </c>
      <c r="AM15" s="6" t="s">
        <v>503</v>
      </c>
      <c r="AN15" s="6" t="s">
        <v>297</v>
      </c>
      <c r="AO15" s="6" t="s">
        <v>298</v>
      </c>
      <c r="AQ15" s="6">
        <v>7371</v>
      </c>
      <c r="AR15" s="6" t="s">
        <v>504</v>
      </c>
      <c r="AT15" s="6">
        <v>6201</v>
      </c>
      <c r="AU15" s="6" t="s">
        <v>505</v>
      </c>
      <c r="AV15" s="6">
        <v>62.01</v>
      </c>
      <c r="AW15" s="6" t="s">
        <v>505</v>
      </c>
      <c r="AY15" s="6" t="s">
        <v>506</v>
      </c>
      <c r="AZ15" s="6" t="s">
        <v>507</v>
      </c>
      <c r="BA15" s="6" t="s">
        <v>508</v>
      </c>
      <c r="BB15" s="6" t="s">
        <v>509</v>
      </c>
      <c r="BC15" s="6" t="s">
        <v>510</v>
      </c>
      <c r="BD15" s="6" t="s">
        <v>511</v>
      </c>
      <c r="BE15" s="6" t="str">
        <f t="shared" si="0"/>
        <v>adaptagency.com</v>
      </c>
      <c r="BF15" s="6" t="str">
        <f t="shared" si="1"/>
        <v>com</v>
      </c>
      <c r="BG15" s="6" t="s">
        <v>101</v>
      </c>
      <c r="BH15" s="6" t="s">
        <v>512</v>
      </c>
      <c r="BI15" s="6" t="s">
        <v>513</v>
      </c>
      <c r="BJ15" s="6" t="s">
        <v>514</v>
      </c>
      <c r="BK15" s="6" t="s">
        <v>515</v>
      </c>
      <c r="BP15" s="6" t="s">
        <v>516</v>
      </c>
      <c r="BQ15" s="6" t="s">
        <v>517</v>
      </c>
      <c r="BR15" s="6" t="s">
        <v>105</v>
      </c>
    </row>
    <row r="16" spans="1:70" ht="45" customHeight="1" x14ac:dyDescent="0.25">
      <c r="A16" s="6">
        <v>15</v>
      </c>
      <c r="B16" s="7" t="s">
        <v>518</v>
      </c>
      <c r="C16" s="8" t="s">
        <v>519</v>
      </c>
      <c r="D16" s="6" t="s">
        <v>520</v>
      </c>
      <c r="E16" s="6" t="s">
        <v>521</v>
      </c>
      <c r="F16" s="8" t="s">
        <v>522</v>
      </c>
      <c r="G16" s="6" t="s">
        <v>73</v>
      </c>
      <c r="H16" s="6" t="s">
        <v>74</v>
      </c>
      <c r="I16" s="6"/>
      <c r="J16" s="6" t="s">
        <v>523</v>
      </c>
      <c r="K16" s="9">
        <v>2000</v>
      </c>
      <c r="L16" s="8" t="s">
        <v>524</v>
      </c>
      <c r="M16" s="9">
        <v>1</v>
      </c>
      <c r="N16" s="6">
        <v>55.678584000000001</v>
      </c>
      <c r="O16" s="6">
        <v>12.5331726</v>
      </c>
      <c r="P16" s="6" t="s">
        <v>525</v>
      </c>
      <c r="Q16" s="6">
        <v>1</v>
      </c>
      <c r="R16" s="6" t="s">
        <v>79</v>
      </c>
      <c r="S16" s="6">
        <v>2015</v>
      </c>
      <c r="T16" s="6">
        <v>1022897</v>
      </c>
      <c r="U16" s="6" t="s">
        <v>80</v>
      </c>
      <c r="V16" s="6">
        <v>5</v>
      </c>
      <c r="W16" s="6" t="s">
        <v>167</v>
      </c>
      <c r="X16" s="6" t="s">
        <v>526</v>
      </c>
      <c r="Y16" s="6" t="s">
        <v>527</v>
      </c>
      <c r="Z16" s="6" t="s">
        <v>528</v>
      </c>
      <c r="AA16" s="6" t="s">
        <v>529</v>
      </c>
      <c r="AC16" s="6">
        <v>238210</v>
      </c>
      <c r="AD16" s="10" t="str">
        <f>_xlfn.XLOOKUP(AC16,[1]Mapping!B:B,[1]Mapping!C:C,"")</f>
        <v>Electrical Contractors and Other Wiring Installation Contractors</v>
      </c>
      <c r="AG16" s="6" t="s">
        <v>530</v>
      </c>
      <c r="AH16" s="6" t="s">
        <v>291</v>
      </c>
      <c r="AI16" s="6" t="s">
        <v>292</v>
      </c>
      <c r="AQ16" s="6" t="s">
        <v>531</v>
      </c>
      <c r="AR16" s="6" t="s">
        <v>532</v>
      </c>
      <c r="AS16" s="6" t="s">
        <v>533</v>
      </c>
      <c r="AT16" s="6">
        <v>4321</v>
      </c>
      <c r="AU16" s="6" t="s">
        <v>534</v>
      </c>
      <c r="AV16" s="6">
        <v>43.21</v>
      </c>
      <c r="AW16" s="6" t="s">
        <v>534</v>
      </c>
      <c r="AX16" s="6" t="s">
        <v>535</v>
      </c>
      <c r="AY16" s="6" t="s">
        <v>536</v>
      </c>
      <c r="AZ16" s="6" t="s">
        <v>537</v>
      </c>
      <c r="BA16" s="6" t="s">
        <v>538</v>
      </c>
      <c r="BB16" s="6" t="s">
        <v>539</v>
      </c>
      <c r="BD16" s="6" t="s">
        <v>540</v>
      </c>
      <c r="BE16" s="6" t="str">
        <f t="shared" si="0"/>
        <v>flair.dk</v>
      </c>
      <c r="BF16" s="6" t="str">
        <f t="shared" si="1"/>
        <v>dk</v>
      </c>
      <c r="BG16" s="6" t="s">
        <v>123</v>
      </c>
      <c r="BH16" s="6" t="s">
        <v>541</v>
      </c>
      <c r="BK16" s="6" t="s">
        <v>542</v>
      </c>
      <c r="BP16" s="6" t="s">
        <v>543</v>
      </c>
      <c r="BQ16" s="6" t="s">
        <v>544</v>
      </c>
      <c r="BR16" s="6" t="s">
        <v>105</v>
      </c>
    </row>
    <row r="17" spans="1:70" ht="45" customHeight="1" x14ac:dyDescent="0.25">
      <c r="A17" s="6">
        <v>16</v>
      </c>
      <c r="B17" s="7" t="s">
        <v>545</v>
      </c>
      <c r="C17" s="8" t="s">
        <v>546</v>
      </c>
      <c r="D17" s="6" t="s">
        <v>547</v>
      </c>
      <c r="E17" s="6" t="s">
        <v>548</v>
      </c>
      <c r="F17" s="8" t="s">
        <v>549</v>
      </c>
      <c r="G17" s="6" t="s">
        <v>315</v>
      </c>
      <c r="H17" s="6" t="s">
        <v>316</v>
      </c>
      <c r="I17" s="6"/>
      <c r="J17" s="6" t="s">
        <v>316</v>
      </c>
      <c r="K17" s="9">
        <v>228208</v>
      </c>
      <c r="L17" s="8" t="s">
        <v>550</v>
      </c>
      <c r="M17" s="9">
        <v>1</v>
      </c>
      <c r="N17" s="6">
        <v>1.3062932</v>
      </c>
      <c r="O17" s="6">
        <v>103.8318472</v>
      </c>
      <c r="P17" s="6" t="s">
        <v>551</v>
      </c>
      <c r="Q17" s="6">
        <v>2</v>
      </c>
      <c r="R17" s="6" t="s">
        <v>79</v>
      </c>
      <c r="T17" s="6"/>
      <c r="X17" s="6" t="s">
        <v>552</v>
      </c>
      <c r="Y17" s="6" t="s">
        <v>553</v>
      </c>
      <c r="Z17" s="6" t="s">
        <v>554</v>
      </c>
      <c r="AA17" s="6" t="s">
        <v>555</v>
      </c>
      <c r="AB17" s="6" t="s">
        <v>556</v>
      </c>
      <c r="AC17" s="6">
        <v>561311</v>
      </c>
      <c r="AD17" s="10" t="str">
        <f>_xlfn.XLOOKUP(AC17,[1]Mapping!B:B,[1]Mapping!C:C,"")</f>
        <v xml:space="preserve">Employment Placement Agencies </v>
      </c>
      <c r="AG17" s="6" t="s">
        <v>396</v>
      </c>
      <c r="AH17" s="6" t="s">
        <v>397</v>
      </c>
      <c r="AI17" s="6" t="s">
        <v>141</v>
      </c>
      <c r="AJ17" s="6" t="s">
        <v>293</v>
      </c>
      <c r="AK17" s="6" t="s">
        <v>294</v>
      </c>
      <c r="AL17" s="6" t="s">
        <v>295</v>
      </c>
      <c r="AM17" s="6" t="s">
        <v>296</v>
      </c>
      <c r="AN17" s="6" t="s">
        <v>297</v>
      </c>
      <c r="AO17" s="6" t="s">
        <v>298</v>
      </c>
      <c r="AQ17" s="6" t="s">
        <v>398</v>
      </c>
      <c r="AR17" s="6" t="s">
        <v>399</v>
      </c>
      <c r="AT17" s="6">
        <v>7810</v>
      </c>
      <c r="AU17" s="6" t="s">
        <v>401</v>
      </c>
      <c r="AV17" s="6">
        <v>78.099999999999994</v>
      </c>
      <c r="AW17" s="6" t="s">
        <v>401</v>
      </c>
      <c r="AY17" s="6" t="s">
        <v>557</v>
      </c>
      <c r="AZ17" s="6" t="s">
        <v>558</v>
      </c>
      <c r="BA17" s="6" t="s">
        <v>559</v>
      </c>
      <c r="BD17" s="6" t="s">
        <v>560</v>
      </c>
      <c r="BE17" s="6" t="str">
        <f t="shared" si="0"/>
        <v>adecco.com.sg</v>
      </c>
      <c r="BF17" s="6" t="str">
        <f t="shared" si="1"/>
        <v>sg</v>
      </c>
      <c r="BG17" s="6" t="s">
        <v>101</v>
      </c>
      <c r="BH17" s="6" t="s">
        <v>561</v>
      </c>
      <c r="BI17" s="6" t="s">
        <v>562</v>
      </c>
      <c r="BJ17" s="6" t="s">
        <v>563</v>
      </c>
      <c r="BP17" s="6" t="s">
        <v>564</v>
      </c>
      <c r="BQ17" s="6" t="s">
        <v>565</v>
      </c>
      <c r="BR17" s="6" t="s">
        <v>105</v>
      </c>
    </row>
    <row r="18" spans="1:70" ht="45" customHeight="1" x14ac:dyDescent="0.25">
      <c r="A18" s="6">
        <v>17</v>
      </c>
      <c r="B18" s="7" t="s">
        <v>566</v>
      </c>
      <c r="C18" s="8" t="s">
        <v>567</v>
      </c>
      <c r="D18" s="6" t="s">
        <v>568</v>
      </c>
      <c r="E18" s="6" t="s">
        <v>569</v>
      </c>
      <c r="F18" s="8" t="s">
        <v>568</v>
      </c>
      <c r="G18" s="6" t="s">
        <v>570</v>
      </c>
      <c r="H18" s="6" t="s">
        <v>571</v>
      </c>
      <c r="I18" s="6" t="s">
        <v>572</v>
      </c>
      <c r="J18" s="6" t="s">
        <v>573</v>
      </c>
      <c r="K18" s="9" t="s">
        <v>574</v>
      </c>
      <c r="L18" s="8" t="s">
        <v>575</v>
      </c>
      <c r="M18" s="13" t="s">
        <v>576</v>
      </c>
      <c r="N18" s="6">
        <v>53.290776600000001</v>
      </c>
      <c r="O18" s="6">
        <v>-6.4203299999999999</v>
      </c>
      <c r="P18" s="6" t="s">
        <v>577</v>
      </c>
      <c r="Q18" s="6">
        <v>1</v>
      </c>
      <c r="R18" s="6" t="s">
        <v>79</v>
      </c>
      <c r="T18" s="6"/>
      <c r="X18" s="6" t="s">
        <v>578</v>
      </c>
      <c r="Y18" s="6" t="s">
        <v>579</v>
      </c>
      <c r="Z18" s="6" t="s">
        <v>580</v>
      </c>
      <c r="AC18" s="6">
        <v>541512</v>
      </c>
      <c r="AD18" s="10" t="str">
        <f>_xlfn.XLOOKUP(AC18,[1]Mapping!B:B,[1]Mapping!C:C,"")</f>
        <v xml:space="preserve">Computer Systems Design Services </v>
      </c>
      <c r="AG18" s="6" t="s">
        <v>581</v>
      </c>
      <c r="AH18" s="6" t="s">
        <v>174</v>
      </c>
      <c r="AI18" s="6" t="s">
        <v>87</v>
      </c>
      <c r="AQ18" s="6" t="s">
        <v>582</v>
      </c>
      <c r="AR18" s="6" t="s">
        <v>583</v>
      </c>
      <c r="AT18" s="6">
        <v>6202</v>
      </c>
      <c r="AU18" s="6" t="s">
        <v>584</v>
      </c>
      <c r="AV18" s="6" t="s">
        <v>585</v>
      </c>
      <c r="AW18" s="6" t="s">
        <v>586</v>
      </c>
      <c r="AY18" s="6" t="s">
        <v>587</v>
      </c>
      <c r="AZ18" s="6">
        <v>35312426721</v>
      </c>
      <c r="BD18" s="6" t="s">
        <v>588</v>
      </c>
      <c r="BE18" s="6" t="str">
        <f t="shared" si="0"/>
        <v>adobe.com</v>
      </c>
      <c r="BF18" s="6" t="str">
        <f t="shared" si="1"/>
        <v>com</v>
      </c>
      <c r="BG18" s="6" t="s">
        <v>101</v>
      </c>
      <c r="BQ18" s="6" t="s">
        <v>589</v>
      </c>
      <c r="BR18" s="6" t="s">
        <v>105</v>
      </c>
    </row>
    <row r="19" spans="1:70" ht="45" customHeight="1" x14ac:dyDescent="0.25">
      <c r="A19" s="6">
        <v>18</v>
      </c>
      <c r="B19" s="7" t="s">
        <v>590</v>
      </c>
      <c r="C19" s="8" t="s">
        <v>591</v>
      </c>
      <c r="D19" s="6" t="s">
        <v>592</v>
      </c>
      <c r="E19" s="8" t="s">
        <v>593</v>
      </c>
      <c r="F19" s="8" t="s">
        <v>593</v>
      </c>
      <c r="G19" s="6" t="s">
        <v>594</v>
      </c>
      <c r="H19" s="6" t="s">
        <v>595</v>
      </c>
      <c r="I19" s="6" t="s">
        <v>596</v>
      </c>
      <c r="J19" s="6" t="s">
        <v>597</v>
      </c>
      <c r="K19" s="9">
        <v>1293</v>
      </c>
      <c r="L19" s="8" t="s">
        <v>598</v>
      </c>
      <c r="M19" s="9">
        <v>319</v>
      </c>
      <c r="N19" s="6">
        <v>46.253694299999999</v>
      </c>
      <c r="O19" s="6">
        <v>6.1528881999999996</v>
      </c>
      <c r="P19" s="6" t="s">
        <v>599</v>
      </c>
      <c r="Q19" s="6">
        <v>1</v>
      </c>
      <c r="R19" s="6" t="s">
        <v>79</v>
      </c>
      <c r="T19" s="6"/>
      <c r="X19" s="6" t="s">
        <v>600</v>
      </c>
      <c r="Y19" s="6" t="s">
        <v>601</v>
      </c>
      <c r="Z19" s="6" t="s">
        <v>602</v>
      </c>
      <c r="AC19" s="10">
        <f>_xlfn.XLOOKUP(AH19,[1]Mapping!C:C,[1]Mapping!B:B,"",1)</f>
        <v>3364</v>
      </c>
      <c r="AD19" s="10" t="str">
        <f>_xlfn.XLOOKUP(AC19,[1]Mapping!B:B,[1]Mapping!C:C,"")</f>
        <v xml:space="preserve">Aerospace Product and Parts ManufacturingT </v>
      </c>
      <c r="AG19" s="6" t="s">
        <v>603</v>
      </c>
      <c r="AH19" s="6" t="s">
        <v>604</v>
      </c>
      <c r="AI19" s="6" t="s">
        <v>466</v>
      </c>
      <c r="AY19" s="6">
        <v>41791731942</v>
      </c>
      <c r="AZ19" s="6">
        <v>41791731942</v>
      </c>
      <c r="BD19" s="6" t="s">
        <v>605</v>
      </c>
      <c r="BE19" s="6" t="str">
        <f t="shared" si="0"/>
        <v>aejets.ch</v>
      </c>
      <c r="BF19" s="6" t="str">
        <f t="shared" si="1"/>
        <v>ch</v>
      </c>
      <c r="BG19" s="6" t="s">
        <v>337</v>
      </c>
      <c r="BP19" s="6" t="s">
        <v>606</v>
      </c>
      <c r="BQ19" s="6" t="s">
        <v>607</v>
      </c>
      <c r="BR19" s="6" t="s">
        <v>105</v>
      </c>
    </row>
    <row r="20" spans="1:70" ht="45" customHeight="1" x14ac:dyDescent="0.25">
      <c r="A20" s="6">
        <v>19</v>
      </c>
      <c r="B20" s="7" t="s">
        <v>608</v>
      </c>
      <c r="C20" s="8" t="s">
        <v>609</v>
      </c>
      <c r="D20" s="6" t="s">
        <v>610</v>
      </c>
      <c r="E20" s="8" t="s">
        <v>611</v>
      </c>
      <c r="F20" s="8" t="s">
        <v>611</v>
      </c>
      <c r="G20" s="6" t="s">
        <v>612</v>
      </c>
      <c r="H20" s="6" t="s">
        <v>613</v>
      </c>
      <c r="I20" s="6" t="s">
        <v>614</v>
      </c>
      <c r="J20" s="6" t="s">
        <v>615</v>
      </c>
      <c r="K20" s="9">
        <v>40150</v>
      </c>
      <c r="L20" s="8" t="s">
        <v>616</v>
      </c>
      <c r="M20" s="9" t="s">
        <v>617</v>
      </c>
      <c r="N20" s="6">
        <v>3.1291338</v>
      </c>
      <c r="O20" s="6">
        <v>101.54516099999999</v>
      </c>
      <c r="P20" s="6" t="s">
        <v>618</v>
      </c>
      <c r="Q20" s="6">
        <v>1</v>
      </c>
      <c r="S20" s="6">
        <v>1995</v>
      </c>
      <c r="T20" s="6"/>
      <c r="X20" s="6" t="s">
        <v>619</v>
      </c>
      <c r="Y20" s="6" t="s">
        <v>620</v>
      </c>
      <c r="Z20" s="6" t="s">
        <v>621</v>
      </c>
      <c r="AA20" s="6" t="s">
        <v>622</v>
      </c>
      <c r="AB20" s="6" t="s">
        <v>623</v>
      </c>
      <c r="AC20" s="6">
        <v>334417</v>
      </c>
      <c r="AD20" s="10" t="str">
        <f>_xlfn.XLOOKUP(AC20,[1]Mapping!B:B,[1]Mapping!C:C,"")</f>
        <v xml:space="preserve">Electronic Connector Manufacturing </v>
      </c>
      <c r="AE20" s="6" t="s">
        <v>624</v>
      </c>
      <c r="AF20" s="6" t="s">
        <v>625</v>
      </c>
      <c r="AG20" s="6" t="s">
        <v>626</v>
      </c>
      <c r="AH20" s="6" t="s">
        <v>627</v>
      </c>
      <c r="AI20" s="6" t="s">
        <v>628</v>
      </c>
      <c r="AQ20" s="6">
        <v>3678</v>
      </c>
      <c r="AR20" s="6" t="s">
        <v>629</v>
      </c>
      <c r="AT20" s="6">
        <v>2610</v>
      </c>
      <c r="AU20" s="6" t="s">
        <v>630</v>
      </c>
      <c r="AV20" s="6">
        <v>26.11</v>
      </c>
      <c r="AW20" s="6" t="s">
        <v>630</v>
      </c>
      <c r="AY20" s="6" t="s">
        <v>631</v>
      </c>
      <c r="AZ20" s="6" t="s">
        <v>632</v>
      </c>
      <c r="BA20" s="6" t="s">
        <v>633</v>
      </c>
      <c r="BD20" s="6" t="s">
        <v>634</v>
      </c>
      <c r="BE20" s="6" t="str">
        <f t="shared" si="0"/>
        <v>litech.cc</v>
      </c>
      <c r="BF20" s="6" t="str">
        <f t="shared" si="1"/>
        <v>cc</v>
      </c>
      <c r="BG20" s="6" t="s">
        <v>101</v>
      </c>
      <c r="BQ20" s="6" t="s">
        <v>635</v>
      </c>
      <c r="BR20" s="6" t="s">
        <v>105</v>
      </c>
    </row>
    <row r="21" spans="1:70" ht="45" customHeight="1" x14ac:dyDescent="0.25">
      <c r="A21" s="6">
        <v>20</v>
      </c>
      <c r="B21" s="7" t="s">
        <v>636</v>
      </c>
      <c r="C21" s="8" t="s">
        <v>637</v>
      </c>
      <c r="D21" s="6" t="s">
        <v>638</v>
      </c>
      <c r="E21" s="6" t="s">
        <v>639</v>
      </c>
      <c r="F21" s="8" t="s">
        <v>640</v>
      </c>
      <c r="G21" s="6" t="s">
        <v>130</v>
      </c>
      <c r="H21" s="6" t="s">
        <v>131</v>
      </c>
      <c r="I21" s="6" t="s">
        <v>132</v>
      </c>
      <c r="J21" s="6" t="s">
        <v>132</v>
      </c>
      <c r="K21" s="9">
        <v>283</v>
      </c>
      <c r="L21" s="8" t="s">
        <v>641</v>
      </c>
      <c r="M21" s="9">
        <v>8</v>
      </c>
      <c r="N21" s="6">
        <v>59.916091600000001</v>
      </c>
      <c r="O21" s="6">
        <v>10.6367034</v>
      </c>
      <c r="P21" s="6" t="s">
        <v>642</v>
      </c>
      <c r="Q21" s="6">
        <v>5</v>
      </c>
      <c r="R21" s="6" t="s">
        <v>79</v>
      </c>
      <c r="S21" s="6">
        <v>2010</v>
      </c>
      <c r="T21" s="6">
        <v>201516784</v>
      </c>
      <c r="U21" s="6" t="s">
        <v>80</v>
      </c>
      <c r="V21" s="6">
        <v>600</v>
      </c>
      <c r="W21" s="6" t="s">
        <v>167</v>
      </c>
      <c r="X21" s="6" t="s">
        <v>643</v>
      </c>
      <c r="Y21" s="6" t="s">
        <v>644</v>
      </c>
      <c r="Z21" s="6" t="s">
        <v>645</v>
      </c>
      <c r="AA21" s="6" t="s">
        <v>646</v>
      </c>
      <c r="AB21" s="6" t="s">
        <v>647</v>
      </c>
      <c r="AC21" s="6">
        <v>541611</v>
      </c>
      <c r="AD21" s="10" t="str">
        <f>_xlfn.XLOOKUP(AC21,[1]Mapping!B:B,[1]Mapping!C:C,"")</f>
        <v xml:space="preserve">Administrative Management and General Management Consulting Services </v>
      </c>
      <c r="AE21" s="6" t="s">
        <v>648</v>
      </c>
      <c r="AF21" s="6" t="s">
        <v>649</v>
      </c>
      <c r="AG21" s="6" t="s">
        <v>650</v>
      </c>
      <c r="AH21" s="6" t="s">
        <v>651</v>
      </c>
      <c r="AI21" s="6" t="s">
        <v>652</v>
      </c>
      <c r="AJ21" s="6" t="s">
        <v>653</v>
      </c>
      <c r="AK21" s="6" t="s">
        <v>654</v>
      </c>
      <c r="AL21" s="6" t="s">
        <v>655</v>
      </c>
      <c r="AM21" s="6" t="s">
        <v>656</v>
      </c>
      <c r="AN21" s="6" t="s">
        <v>655</v>
      </c>
      <c r="AO21" s="6" t="s">
        <v>657</v>
      </c>
      <c r="AQ21" s="6">
        <v>8741</v>
      </c>
      <c r="AR21" s="6" t="s">
        <v>658</v>
      </c>
      <c r="AT21" s="6">
        <v>7020</v>
      </c>
      <c r="AU21" s="6" t="s">
        <v>378</v>
      </c>
      <c r="AV21" s="6">
        <v>70.22</v>
      </c>
      <c r="AW21" s="6" t="s">
        <v>659</v>
      </c>
      <c r="AY21" s="6" t="s">
        <v>660</v>
      </c>
      <c r="AZ21" s="6" t="s">
        <v>661</v>
      </c>
      <c r="BA21" s="6" t="s">
        <v>662</v>
      </c>
      <c r="BD21" s="6" t="s">
        <v>663</v>
      </c>
      <c r="BE21" s="6" t="str">
        <f t="shared" si="0"/>
        <v>advansia.no</v>
      </c>
      <c r="BF21" s="6" t="str">
        <f t="shared" si="1"/>
        <v>no</v>
      </c>
      <c r="BG21" s="6" t="s">
        <v>101</v>
      </c>
      <c r="BH21" s="6" t="s">
        <v>664</v>
      </c>
      <c r="BJ21" s="6" t="s">
        <v>665</v>
      </c>
      <c r="BK21" s="6" t="s">
        <v>666</v>
      </c>
      <c r="BP21" s="6" t="s">
        <v>667</v>
      </c>
      <c r="BQ21" s="6" t="s">
        <v>668</v>
      </c>
      <c r="BR21" s="6" t="s">
        <v>105</v>
      </c>
    </row>
    <row r="22" spans="1:70" ht="45" customHeight="1" x14ac:dyDescent="0.25">
      <c r="A22" s="6">
        <v>21</v>
      </c>
      <c r="B22" s="7" t="s">
        <v>669</v>
      </c>
      <c r="C22" s="8" t="s">
        <v>670</v>
      </c>
      <c r="D22" s="6" t="s">
        <v>671</v>
      </c>
      <c r="E22" s="6" t="s">
        <v>672</v>
      </c>
      <c r="F22" s="8" t="s">
        <v>673</v>
      </c>
      <c r="G22" s="6" t="s">
        <v>130</v>
      </c>
      <c r="H22" s="6" t="s">
        <v>131</v>
      </c>
      <c r="I22" s="6" t="s">
        <v>132</v>
      </c>
      <c r="J22" s="6" t="s">
        <v>132</v>
      </c>
      <c r="K22" s="9">
        <v>157</v>
      </c>
      <c r="L22" s="8" t="s">
        <v>674</v>
      </c>
      <c r="M22" s="9">
        <v>11</v>
      </c>
      <c r="N22" s="6">
        <v>59.912104799999987</v>
      </c>
      <c r="O22" s="6">
        <v>10.742202600000001</v>
      </c>
      <c r="P22" s="6" t="s">
        <v>675</v>
      </c>
      <c r="Q22" s="6">
        <v>1</v>
      </c>
      <c r="R22" s="6" t="s">
        <v>79</v>
      </c>
      <c r="S22" s="6">
        <v>2012</v>
      </c>
      <c r="T22" s="6">
        <v>3709650</v>
      </c>
      <c r="U22" s="6" t="s">
        <v>80</v>
      </c>
      <c r="V22" s="6">
        <v>13</v>
      </c>
      <c r="W22" s="6" t="s">
        <v>167</v>
      </c>
      <c r="X22" s="6" t="s">
        <v>676</v>
      </c>
      <c r="Y22" s="6" t="s">
        <v>677</v>
      </c>
      <c r="Z22" s="6" t="s">
        <v>678</v>
      </c>
      <c r="AA22" s="6" t="s">
        <v>679</v>
      </c>
      <c r="AB22" s="6" t="s">
        <v>680</v>
      </c>
      <c r="AC22" s="6">
        <v>551112</v>
      </c>
      <c r="AD22" s="10" t="str">
        <f>_xlfn.XLOOKUP(AC22,[1]Mapping!B:B,[1]Mapping!C:C,"")</f>
        <v xml:space="preserve">Offices of Other Holding Companies </v>
      </c>
      <c r="AG22" s="6" t="s">
        <v>681</v>
      </c>
      <c r="AH22" s="6" t="s">
        <v>682</v>
      </c>
      <c r="AI22" s="6" t="s">
        <v>683</v>
      </c>
      <c r="AJ22" s="6" t="s">
        <v>174</v>
      </c>
      <c r="AK22" s="6" t="s">
        <v>175</v>
      </c>
      <c r="AL22" s="6" t="s">
        <v>176</v>
      </c>
      <c r="AM22" s="6" t="s">
        <v>177</v>
      </c>
      <c r="AN22" s="6" t="s">
        <v>91</v>
      </c>
      <c r="AO22" s="6" t="s">
        <v>92</v>
      </c>
      <c r="AQ22" s="6">
        <v>6719</v>
      </c>
      <c r="AR22" s="6" t="s">
        <v>684</v>
      </c>
      <c r="AS22" s="6" t="s">
        <v>685</v>
      </c>
      <c r="AT22" s="6">
        <v>6420</v>
      </c>
      <c r="AU22" s="6" t="s">
        <v>686</v>
      </c>
      <c r="AV22" s="6">
        <v>64.2</v>
      </c>
      <c r="AW22" s="6" t="s">
        <v>686</v>
      </c>
      <c r="AX22" s="6" t="s">
        <v>687</v>
      </c>
      <c r="AY22" s="6" t="s">
        <v>688</v>
      </c>
      <c r="AZ22" s="6" t="s">
        <v>689</v>
      </c>
      <c r="BA22" s="6" t="s">
        <v>690</v>
      </c>
      <c r="BB22" s="6" t="s">
        <v>690</v>
      </c>
      <c r="BC22" s="6" t="s">
        <v>691</v>
      </c>
      <c r="BD22" s="6" t="s">
        <v>692</v>
      </c>
      <c r="BE22" s="6" t="str">
        <f t="shared" si="0"/>
        <v>aeger.no</v>
      </c>
      <c r="BF22" s="6" t="str">
        <f t="shared" si="1"/>
        <v>no</v>
      </c>
      <c r="BG22" s="6" t="s">
        <v>101</v>
      </c>
      <c r="BH22" s="6" t="s">
        <v>693</v>
      </c>
      <c r="BK22" s="6" t="s">
        <v>694</v>
      </c>
      <c r="BP22" s="6" t="s">
        <v>695</v>
      </c>
      <c r="BQ22" s="6" t="s">
        <v>696</v>
      </c>
      <c r="BR22" s="6" t="s">
        <v>105</v>
      </c>
    </row>
    <row r="23" spans="1:70" ht="45" customHeight="1" x14ac:dyDescent="0.25">
      <c r="A23" s="6">
        <v>22</v>
      </c>
      <c r="B23" s="7" t="s">
        <v>697</v>
      </c>
      <c r="C23" s="8" t="s">
        <v>698</v>
      </c>
      <c r="D23" s="6" t="s">
        <v>699</v>
      </c>
      <c r="E23" s="6" t="s">
        <v>700</v>
      </c>
      <c r="F23" s="8" t="s">
        <v>701</v>
      </c>
      <c r="G23" s="6" t="s">
        <v>201</v>
      </c>
      <c r="H23" s="6" t="s">
        <v>202</v>
      </c>
      <c r="I23" s="6" t="s">
        <v>702</v>
      </c>
      <c r="J23" s="6" t="s">
        <v>703</v>
      </c>
      <c r="K23" s="9">
        <v>1720</v>
      </c>
      <c r="L23" s="8" t="s">
        <v>704</v>
      </c>
      <c r="M23" s="9">
        <v>35</v>
      </c>
      <c r="N23" s="6">
        <v>42.524869700000004</v>
      </c>
      <c r="O23" s="6">
        <v>-71.430771300000004</v>
      </c>
      <c r="P23" s="6" t="s">
        <v>705</v>
      </c>
      <c r="Q23" s="6">
        <v>1</v>
      </c>
      <c r="R23" s="6" t="s">
        <v>79</v>
      </c>
      <c r="S23" s="6">
        <v>2010</v>
      </c>
      <c r="T23" s="6">
        <v>75000000</v>
      </c>
      <c r="U23" s="6" t="s">
        <v>167</v>
      </c>
      <c r="V23" s="6">
        <v>120</v>
      </c>
      <c r="W23" s="6" t="s">
        <v>167</v>
      </c>
      <c r="X23" s="6" t="s">
        <v>706</v>
      </c>
      <c r="Y23" s="6" t="s">
        <v>707</v>
      </c>
      <c r="Z23" s="6" t="s">
        <v>708</v>
      </c>
      <c r="AA23" s="6" t="s">
        <v>709</v>
      </c>
      <c r="AB23" s="6" t="s">
        <v>710</v>
      </c>
      <c r="AC23" s="6">
        <v>518210</v>
      </c>
      <c r="AD23" s="10" t="str">
        <f>_xlfn.XLOOKUP(AC23,[1]Mapping!B:B,[1]Mapping!C:C,"")</f>
        <v>Computing Infrastructure Providers, Data Processing, Web Hosting, and Related Services</v>
      </c>
      <c r="AE23" s="6">
        <v>517112</v>
      </c>
      <c r="AF23" s="6" t="s">
        <v>711</v>
      </c>
      <c r="AG23" s="6" t="s">
        <v>89</v>
      </c>
      <c r="AH23" s="6" t="s">
        <v>86</v>
      </c>
      <c r="AI23" s="6" t="s">
        <v>87</v>
      </c>
      <c r="AQ23" s="6" t="s">
        <v>178</v>
      </c>
      <c r="AR23" s="6" t="s">
        <v>179</v>
      </c>
      <c r="AS23" s="6" t="s">
        <v>712</v>
      </c>
      <c r="AT23" s="6" t="s">
        <v>181</v>
      </c>
      <c r="AU23" s="6" t="s">
        <v>182</v>
      </c>
      <c r="AV23" s="6" t="s">
        <v>183</v>
      </c>
      <c r="AW23" s="6" t="s">
        <v>184</v>
      </c>
      <c r="AX23" s="6" t="s">
        <v>713</v>
      </c>
      <c r="AY23" s="6" t="s">
        <v>714</v>
      </c>
      <c r="AZ23" s="6">
        <v>19782680800</v>
      </c>
      <c r="BA23" s="6" t="s">
        <v>715</v>
      </c>
      <c r="BB23" s="6" t="s">
        <v>716</v>
      </c>
      <c r="BD23" s="6" t="s">
        <v>717</v>
      </c>
      <c r="BE23" s="6" t="str">
        <f t="shared" si="0"/>
        <v>affirmednetworks.com</v>
      </c>
      <c r="BF23" s="6" t="str">
        <f t="shared" si="1"/>
        <v>com</v>
      </c>
      <c r="BG23" s="6" t="s">
        <v>101</v>
      </c>
      <c r="BH23" s="6" t="s">
        <v>718</v>
      </c>
      <c r="BI23" s="6" t="s">
        <v>719</v>
      </c>
      <c r="BK23" s="6" t="s">
        <v>720</v>
      </c>
      <c r="BP23" s="6" t="s">
        <v>721</v>
      </c>
      <c r="BQ23" s="6" t="s">
        <v>722</v>
      </c>
      <c r="BR23" s="6" t="s">
        <v>105</v>
      </c>
    </row>
    <row r="24" spans="1:70" ht="45" customHeight="1" x14ac:dyDescent="0.25">
      <c r="A24" s="6">
        <v>23</v>
      </c>
      <c r="B24" s="7" t="s">
        <v>723</v>
      </c>
      <c r="C24" s="8" t="s">
        <v>724</v>
      </c>
      <c r="D24" s="6" t="s">
        <v>725</v>
      </c>
      <c r="E24" s="6" t="s">
        <v>725</v>
      </c>
      <c r="F24" s="8" t="s">
        <v>726</v>
      </c>
      <c r="G24" s="6" t="e">
        <f>#REF!</f>
        <v>#REF!</v>
      </c>
      <c r="H24" s="6" t="e">
        <f>#REF!</f>
        <v>#REF!</v>
      </c>
      <c r="I24" s="6" t="e">
        <f>#REF!</f>
        <v>#REF!</v>
      </c>
      <c r="J24" s="6" t="e">
        <f>#REF!</f>
        <v>#REF!</v>
      </c>
      <c r="L24" s="8" t="s">
        <v>727</v>
      </c>
      <c r="M24" s="9">
        <v>5</v>
      </c>
      <c r="P24" s="6" t="s">
        <v>728</v>
      </c>
      <c r="Q24" s="6">
        <v>1</v>
      </c>
      <c r="R24" s="6" t="s">
        <v>79</v>
      </c>
      <c r="T24" s="6">
        <v>5672347</v>
      </c>
      <c r="U24" s="6" t="s">
        <v>80</v>
      </c>
      <c r="V24" s="6">
        <v>85</v>
      </c>
      <c r="W24" s="6" t="s">
        <v>80</v>
      </c>
      <c r="X24" s="6" t="s">
        <v>729</v>
      </c>
      <c r="Y24" s="6" t="s">
        <v>730</v>
      </c>
      <c r="Z24" s="6" t="s">
        <v>731</v>
      </c>
      <c r="AC24" s="6">
        <v>335312</v>
      </c>
      <c r="AD24" s="10" t="str">
        <f>_xlfn.XLOOKUP(AC24,[1]Mapping!B:B,[1]Mapping!C:C,"")</f>
        <v xml:space="preserve">Motor and Generator Manufacturing </v>
      </c>
      <c r="AG24" s="6" t="s">
        <v>732</v>
      </c>
      <c r="AH24" s="6" t="s">
        <v>432</v>
      </c>
      <c r="AI24" s="6" t="s">
        <v>733</v>
      </c>
      <c r="AJ24" s="6" t="s">
        <v>467</v>
      </c>
      <c r="AK24" s="6" t="s">
        <v>468</v>
      </c>
      <c r="AL24" s="6" t="s">
        <v>434</v>
      </c>
      <c r="AM24" s="6" t="s">
        <v>435</v>
      </c>
      <c r="AN24" s="6" t="s">
        <v>436</v>
      </c>
      <c r="AO24" s="6" t="s">
        <v>437</v>
      </c>
      <c r="AQ24" s="6" t="s">
        <v>734</v>
      </c>
      <c r="AR24" s="6" t="s">
        <v>735</v>
      </c>
      <c r="AS24" s="6" t="s">
        <v>736</v>
      </c>
      <c r="AT24" s="6">
        <v>2710</v>
      </c>
      <c r="AU24" s="6" t="s">
        <v>737</v>
      </c>
      <c r="AV24" s="6" t="s">
        <v>738</v>
      </c>
      <c r="AW24" s="6" t="s">
        <v>739</v>
      </c>
      <c r="AX24" s="6" t="s">
        <v>740</v>
      </c>
      <c r="AY24" s="6">
        <v>8615160000000</v>
      </c>
      <c r="AZ24" s="6" t="s">
        <v>741</v>
      </c>
      <c r="BA24" s="6" t="s">
        <v>742</v>
      </c>
      <c r="BD24" s="6" t="s">
        <v>743</v>
      </c>
      <c r="BE24" s="6" t="str">
        <f t="shared" si="0"/>
        <v>aggpower.cn</v>
      </c>
      <c r="BF24" s="6" t="str">
        <f t="shared" si="1"/>
        <v>cn</v>
      </c>
      <c r="BG24" s="6" t="s">
        <v>744</v>
      </c>
      <c r="BP24" s="6" t="s">
        <v>745</v>
      </c>
      <c r="BQ24" s="6" t="s">
        <v>746</v>
      </c>
      <c r="BR24" s="6" t="s">
        <v>105</v>
      </c>
    </row>
    <row r="25" spans="1:70" ht="45" customHeight="1" x14ac:dyDescent="0.25">
      <c r="A25" s="6">
        <v>24</v>
      </c>
      <c r="B25" s="7" t="s">
        <v>747</v>
      </c>
      <c r="C25" s="8" t="s">
        <v>748</v>
      </c>
      <c r="D25" s="6" t="s">
        <v>749</v>
      </c>
      <c r="E25" s="6" t="s">
        <v>639</v>
      </c>
      <c r="F25" s="8" t="s">
        <v>750</v>
      </c>
      <c r="G25" s="6" t="s">
        <v>612</v>
      </c>
      <c r="H25" s="6" t="s">
        <v>613</v>
      </c>
      <c r="I25" s="6" t="s">
        <v>751</v>
      </c>
      <c r="J25" s="6" t="s">
        <v>752</v>
      </c>
      <c r="K25" s="9">
        <v>50450</v>
      </c>
      <c r="L25" s="8" t="s">
        <v>753</v>
      </c>
      <c r="M25" s="9">
        <v>99</v>
      </c>
      <c r="N25" s="6">
        <v>3.1523672999999999</v>
      </c>
      <c r="O25" s="6">
        <v>101.699895</v>
      </c>
      <c r="P25" s="6" t="s">
        <v>754</v>
      </c>
      <c r="Q25" s="6">
        <v>26</v>
      </c>
      <c r="R25" s="6" t="s">
        <v>79</v>
      </c>
      <c r="S25" s="6">
        <v>1948</v>
      </c>
      <c r="T25" s="6">
        <v>1413421440</v>
      </c>
      <c r="U25" s="6" t="s">
        <v>80</v>
      </c>
      <c r="V25" s="6">
        <v>5000</v>
      </c>
      <c r="W25" s="6" t="s">
        <v>167</v>
      </c>
      <c r="X25" s="6" t="s">
        <v>755</v>
      </c>
      <c r="Y25" s="6" t="s">
        <v>756</v>
      </c>
      <c r="Z25" s="6" t="s">
        <v>757</v>
      </c>
      <c r="AA25" s="6" t="s">
        <v>758</v>
      </c>
      <c r="AB25" s="6" t="s">
        <v>759</v>
      </c>
      <c r="AC25" s="6">
        <v>524113</v>
      </c>
      <c r="AD25" s="10" t="str">
        <f>_xlfn.XLOOKUP(AC25,[1]Mapping!B:B,[1]Mapping!C:C,"")</f>
        <v xml:space="preserve">Direct Life Insurance Carriers </v>
      </c>
      <c r="AG25" s="6" t="s">
        <v>760</v>
      </c>
      <c r="AH25" s="6" t="s">
        <v>761</v>
      </c>
      <c r="AI25" s="6" t="s">
        <v>119</v>
      </c>
      <c r="AJ25" s="6" t="s">
        <v>761</v>
      </c>
      <c r="AK25" s="6" t="s">
        <v>762</v>
      </c>
      <c r="AL25" s="6" t="s">
        <v>761</v>
      </c>
      <c r="AM25" s="6" t="s">
        <v>763</v>
      </c>
      <c r="AN25" s="6" t="s">
        <v>764</v>
      </c>
      <c r="AO25" s="6" t="s">
        <v>765</v>
      </c>
      <c r="AQ25" s="6" t="s">
        <v>766</v>
      </c>
      <c r="AR25" s="6" t="s">
        <v>767</v>
      </c>
      <c r="AS25" s="6" t="s">
        <v>768</v>
      </c>
      <c r="AT25" s="6">
        <v>6511</v>
      </c>
      <c r="AU25" s="6" t="s">
        <v>769</v>
      </c>
      <c r="AV25" s="6">
        <v>65.11</v>
      </c>
      <c r="AW25" s="6" t="s">
        <v>769</v>
      </c>
      <c r="AX25" s="6" t="s">
        <v>770</v>
      </c>
      <c r="AY25" s="6" t="s">
        <v>771</v>
      </c>
      <c r="AZ25" s="6" t="s">
        <v>772</v>
      </c>
      <c r="BA25" s="6" t="s">
        <v>773</v>
      </c>
      <c r="BD25" s="6" t="s">
        <v>774</v>
      </c>
      <c r="BE25" s="6" t="str">
        <f t="shared" si="0"/>
        <v>aia.com.my</v>
      </c>
      <c r="BF25" s="6" t="str">
        <f t="shared" si="1"/>
        <v>my</v>
      </c>
      <c r="BG25" s="6" t="s">
        <v>101</v>
      </c>
      <c r="BH25" s="6" t="s">
        <v>775</v>
      </c>
      <c r="BJ25" s="6" t="s">
        <v>776</v>
      </c>
      <c r="BK25" s="6" t="s">
        <v>777</v>
      </c>
      <c r="BL25" s="6" t="s">
        <v>778</v>
      </c>
      <c r="BM25" s="6" t="s">
        <v>779</v>
      </c>
      <c r="BN25" s="6" t="s">
        <v>780</v>
      </c>
      <c r="BP25" s="6" t="s">
        <v>781</v>
      </c>
      <c r="BQ25" s="6" t="s">
        <v>782</v>
      </c>
      <c r="BR25" s="6" t="s">
        <v>105</v>
      </c>
    </row>
    <row r="26" spans="1:70" ht="45" customHeight="1" x14ac:dyDescent="0.25">
      <c r="A26" s="6">
        <v>25</v>
      </c>
      <c r="B26" s="7" t="s">
        <v>783</v>
      </c>
      <c r="C26" s="8" t="s">
        <v>784</v>
      </c>
      <c r="D26" s="6" t="s">
        <v>785</v>
      </c>
      <c r="E26" s="6" t="s">
        <v>786</v>
      </c>
      <c r="F26" s="8" t="s">
        <v>787</v>
      </c>
      <c r="G26" s="6" t="s">
        <v>130</v>
      </c>
      <c r="H26" s="6" t="s">
        <v>131</v>
      </c>
      <c r="I26" s="6" t="s">
        <v>132</v>
      </c>
      <c r="J26" s="6" t="s">
        <v>132</v>
      </c>
      <c r="K26" s="9">
        <v>250</v>
      </c>
      <c r="L26" s="8" t="s">
        <v>788</v>
      </c>
      <c r="M26" s="9">
        <v>45</v>
      </c>
      <c r="N26" s="6">
        <v>59.9112534</v>
      </c>
      <c r="O26" s="6">
        <v>10.723941399999999</v>
      </c>
      <c r="P26" s="6" t="s">
        <v>789</v>
      </c>
      <c r="Q26" s="6">
        <v>1</v>
      </c>
      <c r="R26" s="6" t="s">
        <v>79</v>
      </c>
      <c r="S26" s="6">
        <v>2018</v>
      </c>
      <c r="T26" s="6">
        <v>28010168</v>
      </c>
      <c r="U26" s="6" t="s">
        <v>80</v>
      </c>
      <c r="V26" s="6">
        <v>20</v>
      </c>
      <c r="W26" s="6" t="s">
        <v>167</v>
      </c>
      <c r="X26" s="6" t="s">
        <v>790</v>
      </c>
      <c r="Y26" s="6" t="s">
        <v>791</v>
      </c>
      <c r="Z26" s="6" t="s">
        <v>792</v>
      </c>
      <c r="AA26" s="6" t="s">
        <v>793</v>
      </c>
      <c r="AB26" s="6" t="s">
        <v>794</v>
      </c>
      <c r="AC26" s="6">
        <v>524126</v>
      </c>
      <c r="AD26" s="10" t="str">
        <f>_xlfn.XLOOKUP(AC26,[1]Mapping!B:B,[1]Mapping!C:C,"")</f>
        <v xml:space="preserve">Direct Property and Casualty Insurance Carriers </v>
      </c>
      <c r="AG26" s="6" t="s">
        <v>795</v>
      </c>
      <c r="AH26" s="6" t="s">
        <v>796</v>
      </c>
      <c r="AI26" s="6" t="s">
        <v>683</v>
      </c>
      <c r="AJ26" s="6" t="s">
        <v>761</v>
      </c>
      <c r="AK26" s="6" t="s">
        <v>762</v>
      </c>
      <c r="AL26" s="6" t="s">
        <v>761</v>
      </c>
      <c r="AM26" s="6" t="s">
        <v>763</v>
      </c>
      <c r="AN26" s="6" t="s">
        <v>764</v>
      </c>
      <c r="AO26" s="6" t="s">
        <v>765</v>
      </c>
      <c r="AQ26" s="6">
        <v>6331</v>
      </c>
      <c r="AR26" s="6" t="s">
        <v>797</v>
      </c>
      <c r="AT26" s="6">
        <v>6512</v>
      </c>
      <c r="AU26" s="6" t="s">
        <v>796</v>
      </c>
      <c r="AV26" s="6">
        <v>65.12</v>
      </c>
      <c r="AW26" s="6" t="s">
        <v>796</v>
      </c>
      <c r="AY26" s="6" t="s">
        <v>798</v>
      </c>
      <c r="AZ26" s="6" t="s">
        <v>799</v>
      </c>
      <c r="BA26" s="6" t="s">
        <v>800</v>
      </c>
      <c r="BD26" s="6" t="s">
        <v>801</v>
      </c>
      <c r="BE26" s="6" t="str">
        <f t="shared" si="0"/>
        <v>aig.no</v>
      </c>
      <c r="BF26" s="6" t="str">
        <f t="shared" si="1"/>
        <v>no</v>
      </c>
      <c r="BG26" s="6" t="s">
        <v>150</v>
      </c>
      <c r="BH26" s="6" t="s">
        <v>802</v>
      </c>
      <c r="BJ26" s="6" t="s">
        <v>803</v>
      </c>
      <c r="BK26" s="6" t="s">
        <v>804</v>
      </c>
      <c r="BN26" s="6" t="s">
        <v>805</v>
      </c>
      <c r="BP26" s="6" t="s">
        <v>806</v>
      </c>
      <c r="BQ26" s="6" t="s">
        <v>807</v>
      </c>
      <c r="BR26" s="6" t="s">
        <v>105</v>
      </c>
    </row>
    <row r="27" spans="1:70" ht="45" customHeight="1" x14ac:dyDescent="0.25">
      <c r="A27" s="6">
        <v>26</v>
      </c>
      <c r="B27" s="7" t="s">
        <v>808</v>
      </c>
      <c r="C27" s="8" t="s">
        <v>809</v>
      </c>
      <c r="D27" s="6" t="s">
        <v>810</v>
      </c>
      <c r="E27" s="6" t="s">
        <v>811</v>
      </c>
      <c r="F27" s="8" t="s">
        <v>812</v>
      </c>
      <c r="G27" s="6" t="s">
        <v>73</v>
      </c>
      <c r="H27" s="6" t="s">
        <v>74</v>
      </c>
      <c r="I27" s="6"/>
      <c r="J27" s="6" t="s">
        <v>813</v>
      </c>
      <c r="K27" s="9">
        <v>2610</v>
      </c>
      <c r="L27" s="8" t="s">
        <v>814</v>
      </c>
      <c r="M27" s="9">
        <v>202</v>
      </c>
      <c r="N27" s="6">
        <v>55.678479000000003</v>
      </c>
      <c r="O27" s="6">
        <v>12.4554936</v>
      </c>
      <c r="P27" s="6" t="s">
        <v>815</v>
      </c>
      <c r="Q27" s="6">
        <v>1</v>
      </c>
      <c r="R27" s="6" t="s">
        <v>79</v>
      </c>
      <c r="T27" s="6">
        <v>10804487</v>
      </c>
      <c r="U27" s="6" t="s">
        <v>80</v>
      </c>
      <c r="V27" s="6">
        <v>75</v>
      </c>
      <c r="W27" s="6" t="s">
        <v>80</v>
      </c>
      <c r="X27" s="6" t="s">
        <v>816</v>
      </c>
      <c r="Y27" s="6" t="s">
        <v>817</v>
      </c>
      <c r="Z27" s="6" t="s">
        <v>818</v>
      </c>
      <c r="AA27" s="6" t="s">
        <v>819</v>
      </c>
      <c r="AB27" s="6" t="s">
        <v>820</v>
      </c>
      <c r="AC27" s="6">
        <v>455110</v>
      </c>
      <c r="AD27" s="10" t="str">
        <f>_xlfn.XLOOKUP(AC27,[1]Mapping!B:B,[1]Mapping!C:C,"")</f>
        <v xml:space="preserve">Department Stores </v>
      </c>
      <c r="AG27" s="6" t="s">
        <v>821</v>
      </c>
      <c r="AH27" s="6" t="s">
        <v>822</v>
      </c>
      <c r="AI27" s="6" t="s">
        <v>822</v>
      </c>
      <c r="AJ27" s="6" t="s">
        <v>255</v>
      </c>
      <c r="AK27" s="6" t="s">
        <v>256</v>
      </c>
      <c r="AL27" s="6" t="s">
        <v>257</v>
      </c>
      <c r="AM27" s="6" t="s">
        <v>258</v>
      </c>
      <c r="AN27" s="6" t="s">
        <v>259</v>
      </c>
      <c r="AO27" s="6" t="s">
        <v>260</v>
      </c>
      <c r="AQ27" s="6" t="s">
        <v>823</v>
      </c>
      <c r="AR27" s="6" t="s">
        <v>824</v>
      </c>
      <c r="AT27" s="6" t="s">
        <v>825</v>
      </c>
      <c r="AU27" s="6" t="s">
        <v>826</v>
      </c>
      <c r="AV27" s="6" t="s">
        <v>827</v>
      </c>
      <c r="AW27" s="6" t="s">
        <v>828</v>
      </c>
      <c r="AY27" s="6">
        <v>4536410744</v>
      </c>
      <c r="AZ27" s="6">
        <v>4536410744</v>
      </c>
      <c r="BD27" s="6" t="s">
        <v>829</v>
      </c>
      <c r="BE27" s="6" t="str">
        <f t="shared" si="0"/>
        <v>roedovrecentrum.dk</v>
      </c>
      <c r="BF27" s="6" t="str">
        <f t="shared" si="1"/>
        <v>dk</v>
      </c>
      <c r="BG27" s="6" t="s">
        <v>123</v>
      </c>
      <c r="BH27" s="6" t="s">
        <v>830</v>
      </c>
      <c r="BJ27" s="6" t="s">
        <v>831</v>
      </c>
      <c r="BK27" s="6" t="s">
        <v>832</v>
      </c>
      <c r="BP27" s="6" t="s">
        <v>833</v>
      </c>
      <c r="BQ27" s="6" t="s">
        <v>834</v>
      </c>
      <c r="BR27" s="6" t="s">
        <v>105</v>
      </c>
    </row>
    <row r="28" spans="1:70" ht="45" customHeight="1" x14ac:dyDescent="0.25">
      <c r="A28" s="6">
        <v>27</v>
      </c>
      <c r="B28" s="7" t="s">
        <v>835</v>
      </c>
      <c r="C28" s="8" t="s">
        <v>836</v>
      </c>
      <c r="D28" s="6" t="s">
        <v>837</v>
      </c>
      <c r="E28" s="6" t="s">
        <v>838</v>
      </c>
      <c r="F28" s="8" t="s">
        <v>839</v>
      </c>
      <c r="G28" s="6" t="s">
        <v>840</v>
      </c>
      <c r="H28" s="6" t="s">
        <v>841</v>
      </c>
      <c r="I28" s="6" t="s">
        <v>842</v>
      </c>
      <c r="J28" s="6" t="s">
        <v>843</v>
      </c>
      <c r="K28" s="9" t="s">
        <v>844</v>
      </c>
      <c r="L28" s="8" t="s">
        <v>845</v>
      </c>
      <c r="M28" s="9" t="s">
        <v>846</v>
      </c>
      <c r="N28" s="6">
        <v>51.519953600000001</v>
      </c>
      <c r="O28" s="6">
        <v>-7.76313E-2</v>
      </c>
      <c r="P28" s="6" t="s">
        <v>847</v>
      </c>
      <c r="Q28" s="6">
        <v>7</v>
      </c>
      <c r="R28" s="6" t="s">
        <v>79</v>
      </c>
      <c r="S28" s="6">
        <v>1930</v>
      </c>
      <c r="T28" s="6">
        <v>2400000000</v>
      </c>
      <c r="U28" s="6" t="s">
        <v>167</v>
      </c>
      <c r="V28" s="6">
        <v>5800</v>
      </c>
      <c r="W28" s="6" t="s">
        <v>167</v>
      </c>
      <c r="X28" s="6" t="s">
        <v>848</v>
      </c>
      <c r="Y28" s="6" t="s">
        <v>849</v>
      </c>
      <c r="Z28" s="6" t="s">
        <v>850</v>
      </c>
      <c r="AA28" s="6" t="s">
        <v>851</v>
      </c>
      <c r="AC28" s="6">
        <v>541110</v>
      </c>
      <c r="AD28" s="10" t="str">
        <f>_xlfn.XLOOKUP(AC28,[1]Mapping!B:B,[1]Mapping!C:C,"")</f>
        <v>Offices of Lawyers</v>
      </c>
      <c r="AG28" s="6" t="s">
        <v>852</v>
      </c>
      <c r="AH28" s="6" t="s">
        <v>853</v>
      </c>
      <c r="AI28" s="6" t="s">
        <v>854</v>
      </c>
      <c r="AJ28" s="6" t="s">
        <v>293</v>
      </c>
      <c r="AK28" s="6" t="s">
        <v>294</v>
      </c>
      <c r="AL28" s="6" t="s">
        <v>295</v>
      </c>
      <c r="AM28" s="6" t="s">
        <v>296</v>
      </c>
      <c r="AN28" s="6" t="s">
        <v>297</v>
      </c>
      <c r="AO28" s="6" t="s">
        <v>298</v>
      </c>
      <c r="AQ28" s="6">
        <v>8111</v>
      </c>
      <c r="AR28" s="6" t="s">
        <v>852</v>
      </c>
      <c r="AT28" s="6">
        <v>6910</v>
      </c>
      <c r="AU28" s="6" t="s">
        <v>855</v>
      </c>
      <c r="AV28" s="6">
        <v>69.099999999999994</v>
      </c>
      <c r="AW28" s="6" t="s">
        <v>855</v>
      </c>
      <c r="AY28" s="6" t="s">
        <v>856</v>
      </c>
      <c r="AZ28" s="6" t="s">
        <v>857</v>
      </c>
      <c r="BA28" s="6" t="s">
        <v>858</v>
      </c>
      <c r="BB28" s="6" t="s">
        <v>859</v>
      </c>
      <c r="BC28" s="6" t="s">
        <v>860</v>
      </c>
      <c r="BD28" s="6" t="s">
        <v>861</v>
      </c>
      <c r="BE28" s="6" t="str">
        <f t="shared" si="0"/>
        <v>aoshearman.com</v>
      </c>
      <c r="BF28" s="6" t="str">
        <f t="shared" si="1"/>
        <v>com</v>
      </c>
      <c r="BG28" s="6" t="s">
        <v>101</v>
      </c>
      <c r="BH28" s="6" t="s">
        <v>862</v>
      </c>
      <c r="BI28" s="6" t="s">
        <v>863</v>
      </c>
      <c r="BK28" s="6" t="s">
        <v>864</v>
      </c>
      <c r="BN28" s="6" t="s">
        <v>865</v>
      </c>
      <c r="BP28" s="6" t="s">
        <v>866</v>
      </c>
      <c r="BQ28" s="6" t="s">
        <v>867</v>
      </c>
      <c r="BR28" s="6" t="s">
        <v>105</v>
      </c>
    </row>
    <row r="29" spans="1:70" ht="45" customHeight="1" x14ac:dyDescent="0.25">
      <c r="A29" s="6">
        <v>28</v>
      </c>
      <c r="B29" s="7" t="s">
        <v>868</v>
      </c>
      <c r="C29" s="8" t="s">
        <v>869</v>
      </c>
      <c r="D29" s="6" t="s">
        <v>870</v>
      </c>
      <c r="E29" s="6" t="s">
        <v>871</v>
      </c>
      <c r="F29" s="8" t="s">
        <v>872</v>
      </c>
      <c r="G29" s="6" t="s">
        <v>315</v>
      </c>
      <c r="H29" s="6" t="s">
        <v>316</v>
      </c>
      <c r="I29" s="6"/>
      <c r="J29" s="6" t="s">
        <v>316</v>
      </c>
      <c r="K29" s="9">
        <v>48616</v>
      </c>
      <c r="L29" s="8" t="s">
        <v>873</v>
      </c>
      <c r="N29" s="6">
        <v>1.2847230000000001</v>
      </c>
      <c r="O29" s="6">
        <v>103.8506502</v>
      </c>
      <c r="P29" s="6" t="s">
        <v>874</v>
      </c>
      <c r="Q29" s="6">
        <v>2</v>
      </c>
      <c r="R29" s="6" t="s">
        <v>79</v>
      </c>
      <c r="T29" s="6">
        <v>79647328</v>
      </c>
      <c r="U29" s="6" t="s">
        <v>80</v>
      </c>
      <c r="V29" s="6">
        <v>75</v>
      </c>
      <c r="W29" s="6" t="s">
        <v>80</v>
      </c>
      <c r="X29" s="6" t="s">
        <v>875</v>
      </c>
      <c r="Y29" s="6" t="s">
        <v>876</v>
      </c>
      <c r="Z29" s="6" t="s">
        <v>877</v>
      </c>
      <c r="AA29" s="6" t="s">
        <v>878</v>
      </c>
      <c r="AB29" s="6" t="s">
        <v>879</v>
      </c>
      <c r="AC29" s="6">
        <v>325620</v>
      </c>
      <c r="AD29" s="10" t="str">
        <f>_xlfn.XLOOKUP(AC29,[1]Mapping!B:B,[1]Mapping!C:C,"")</f>
        <v>Toilet Preparation Manufacturing</v>
      </c>
      <c r="AG29" s="6" t="s">
        <v>880</v>
      </c>
      <c r="AH29" s="6" t="s">
        <v>881</v>
      </c>
      <c r="AI29" s="6" t="s">
        <v>882</v>
      </c>
      <c r="AJ29" s="6" t="s">
        <v>883</v>
      </c>
      <c r="AK29" s="6" t="s">
        <v>884</v>
      </c>
      <c r="AL29" s="6" t="s">
        <v>885</v>
      </c>
      <c r="AM29" s="6" t="s">
        <v>886</v>
      </c>
      <c r="AN29" s="6" t="s">
        <v>259</v>
      </c>
      <c r="AO29" s="6" t="s">
        <v>260</v>
      </c>
      <c r="AQ29" s="6">
        <v>2844</v>
      </c>
      <c r="AR29" s="6" t="s">
        <v>887</v>
      </c>
      <c r="AS29" s="6" t="s">
        <v>888</v>
      </c>
      <c r="AT29" s="6">
        <v>2023</v>
      </c>
      <c r="AU29" s="6" t="s">
        <v>889</v>
      </c>
      <c r="AV29" s="6" t="s">
        <v>890</v>
      </c>
      <c r="AW29" s="6" t="s">
        <v>891</v>
      </c>
      <c r="AX29" s="6" t="s">
        <v>892</v>
      </c>
      <c r="AY29" s="6" t="s">
        <v>893</v>
      </c>
      <c r="AZ29" s="6">
        <v>6596375665</v>
      </c>
      <c r="BD29" s="6" t="s">
        <v>894</v>
      </c>
      <c r="BE29" s="6" t="str">
        <f t="shared" si="0"/>
        <v>altairglobal.com</v>
      </c>
      <c r="BF29" s="6" t="str">
        <f t="shared" si="1"/>
        <v>com</v>
      </c>
      <c r="BG29" s="6" t="s">
        <v>101</v>
      </c>
      <c r="BP29" s="6" t="s">
        <v>895</v>
      </c>
      <c r="BQ29" s="6" t="s">
        <v>896</v>
      </c>
      <c r="BR29" s="6" t="s">
        <v>105</v>
      </c>
    </row>
    <row r="30" spans="1:70" ht="45" customHeight="1" x14ac:dyDescent="0.25">
      <c r="A30" s="6">
        <v>29</v>
      </c>
      <c r="B30" s="7" t="s">
        <v>897</v>
      </c>
      <c r="C30" s="8" t="s">
        <v>898</v>
      </c>
      <c r="D30" s="6" t="s">
        <v>899</v>
      </c>
      <c r="E30" s="6" t="s">
        <v>900</v>
      </c>
      <c r="F30" s="8" t="s">
        <v>901</v>
      </c>
      <c r="G30" s="6" t="s">
        <v>201</v>
      </c>
      <c r="H30" s="6" t="s">
        <v>202</v>
      </c>
      <c r="I30" s="6" t="s">
        <v>902</v>
      </c>
      <c r="J30" s="6" t="s">
        <v>903</v>
      </c>
      <c r="K30" s="9">
        <v>98109</v>
      </c>
      <c r="L30" s="8" t="s">
        <v>904</v>
      </c>
      <c r="M30" s="9">
        <v>440</v>
      </c>
      <c r="N30" s="6">
        <v>47.622750099999998</v>
      </c>
      <c r="O30" s="6">
        <v>-122.33675479999999</v>
      </c>
      <c r="P30" s="6" t="s">
        <v>905</v>
      </c>
      <c r="Q30" s="6">
        <v>2</v>
      </c>
      <c r="R30" s="6" t="s">
        <v>906</v>
      </c>
      <c r="S30" s="6">
        <v>2006</v>
      </c>
      <c r="T30" s="6">
        <v>637900000000</v>
      </c>
      <c r="U30" s="6" t="s">
        <v>167</v>
      </c>
      <c r="V30" s="6">
        <v>1556000</v>
      </c>
      <c r="W30" s="6" t="s">
        <v>167</v>
      </c>
      <c r="X30" s="6" t="s">
        <v>907</v>
      </c>
      <c r="Y30" s="6" t="s">
        <v>908</v>
      </c>
      <c r="Z30" s="6" t="s">
        <v>909</v>
      </c>
      <c r="AA30" s="6" t="s">
        <v>910</v>
      </c>
      <c r="AB30" s="6" t="s">
        <v>911</v>
      </c>
      <c r="AC30" s="6">
        <v>518210</v>
      </c>
      <c r="AD30" s="10" t="str">
        <f>_xlfn.XLOOKUP(AC30,[1]Mapping!B:B,[1]Mapping!C:C,"")</f>
        <v>Computing Infrastructure Providers, Data Processing, Web Hosting, and Related Services</v>
      </c>
      <c r="AE30" s="6">
        <v>519130</v>
      </c>
      <c r="AF30" s="6" t="s">
        <v>912</v>
      </c>
      <c r="AG30" s="6" t="s">
        <v>913</v>
      </c>
      <c r="AH30" s="6" t="s">
        <v>914</v>
      </c>
      <c r="AI30" s="6" t="s">
        <v>499</v>
      </c>
      <c r="AJ30" s="6" t="s">
        <v>174</v>
      </c>
      <c r="AK30" s="6" t="s">
        <v>175</v>
      </c>
      <c r="AL30" s="6" t="s">
        <v>176</v>
      </c>
      <c r="AM30" s="6" t="s">
        <v>177</v>
      </c>
      <c r="AN30" s="6" t="s">
        <v>91</v>
      </c>
      <c r="AO30" s="6" t="s">
        <v>92</v>
      </c>
      <c r="AQ30" s="6">
        <v>7374</v>
      </c>
      <c r="AR30" s="6" t="s">
        <v>915</v>
      </c>
      <c r="AS30" s="6" t="s">
        <v>916</v>
      </c>
      <c r="AT30" s="6">
        <v>6311</v>
      </c>
      <c r="AU30" s="6" t="s">
        <v>917</v>
      </c>
      <c r="AV30" s="6">
        <v>63.11</v>
      </c>
      <c r="AW30" s="6" t="s">
        <v>917</v>
      </c>
      <c r="AX30" s="6" t="s">
        <v>918</v>
      </c>
      <c r="AY30" s="6" t="s">
        <v>919</v>
      </c>
      <c r="BA30" s="6" t="s">
        <v>920</v>
      </c>
      <c r="BB30" s="6" t="s">
        <v>921</v>
      </c>
      <c r="BC30" s="6" t="s">
        <v>922</v>
      </c>
      <c r="BD30" s="6" t="s">
        <v>923</v>
      </c>
      <c r="BE30" s="6" t="str">
        <f t="shared" si="0"/>
        <v>aboutamazon.com</v>
      </c>
      <c r="BF30" s="6" t="str">
        <f t="shared" si="1"/>
        <v>com</v>
      </c>
      <c r="BG30" s="6" t="s">
        <v>101</v>
      </c>
      <c r="BH30" s="6" t="s">
        <v>924</v>
      </c>
      <c r="BI30" s="6" t="s">
        <v>925</v>
      </c>
      <c r="BJ30" s="6" t="s">
        <v>926</v>
      </c>
      <c r="BK30" s="6" t="s">
        <v>927</v>
      </c>
      <c r="BN30" s="6" t="s">
        <v>928</v>
      </c>
      <c r="BP30" s="6" t="s">
        <v>929</v>
      </c>
      <c r="BQ30" s="6" t="s">
        <v>930</v>
      </c>
      <c r="BR30" s="6" t="s">
        <v>105</v>
      </c>
    </row>
    <row r="31" spans="1:70" ht="45" customHeight="1" x14ac:dyDescent="0.25">
      <c r="A31" s="6">
        <v>30</v>
      </c>
      <c r="B31" s="7" t="s">
        <v>931</v>
      </c>
      <c r="C31" s="8" t="s">
        <v>932</v>
      </c>
      <c r="D31" s="6" t="s">
        <v>933</v>
      </c>
      <c r="E31" s="6" t="s">
        <v>934</v>
      </c>
      <c r="F31" s="8" t="s">
        <v>935</v>
      </c>
      <c r="G31" s="6" t="s">
        <v>936</v>
      </c>
      <c r="H31" s="6" t="s">
        <v>937</v>
      </c>
      <c r="I31" s="6" t="s">
        <v>937</v>
      </c>
      <c r="J31" s="6" t="s">
        <v>937</v>
      </c>
      <c r="K31" s="9">
        <v>1855</v>
      </c>
      <c r="L31" s="8" t="s">
        <v>938</v>
      </c>
      <c r="M31" s="9">
        <v>38</v>
      </c>
      <c r="N31" s="6">
        <v>49.630178099999988</v>
      </c>
      <c r="O31" s="6">
        <v>6.1692004999999996</v>
      </c>
      <c r="R31" s="6" t="s">
        <v>79</v>
      </c>
      <c r="T31" s="6"/>
      <c r="X31" s="6" t="s">
        <v>939</v>
      </c>
      <c r="Y31" s="6" t="s">
        <v>940</v>
      </c>
      <c r="AC31" s="6">
        <v>611310</v>
      </c>
      <c r="AD31" s="10" t="str">
        <f>_xlfn.XLOOKUP(AC31,[1]Mapping!B:B,[1]Mapping!C:C,"")</f>
        <v xml:space="preserve">Colleges, Universities, and Professional Schools </v>
      </c>
      <c r="AG31" s="6" t="s">
        <v>941</v>
      </c>
      <c r="AH31" s="6" t="s">
        <v>942</v>
      </c>
      <c r="AI31" s="6" t="s">
        <v>942</v>
      </c>
      <c r="AJ31" s="6" t="s">
        <v>174</v>
      </c>
      <c r="AK31" s="6" t="s">
        <v>175</v>
      </c>
      <c r="AL31" s="6" t="s">
        <v>176</v>
      </c>
      <c r="AM31" s="6" t="s">
        <v>177</v>
      </c>
      <c r="AN31" s="6" t="s">
        <v>91</v>
      </c>
      <c r="AO31" s="6" t="s">
        <v>92</v>
      </c>
      <c r="AQ31" s="6">
        <v>8221</v>
      </c>
      <c r="AR31" s="6" t="s">
        <v>943</v>
      </c>
      <c r="AS31" s="6" t="s">
        <v>944</v>
      </c>
      <c r="AT31" s="6">
        <v>8530</v>
      </c>
      <c r="AU31" s="6" t="s">
        <v>945</v>
      </c>
      <c r="AV31" s="6" t="s">
        <v>946</v>
      </c>
      <c r="AW31" s="6" t="s">
        <v>947</v>
      </c>
      <c r="AX31" s="6" t="s">
        <v>948</v>
      </c>
      <c r="AY31" s="6" t="s">
        <v>949</v>
      </c>
      <c r="BA31" s="6" t="s">
        <v>950</v>
      </c>
      <c r="BB31" s="6" t="s">
        <v>950</v>
      </c>
      <c r="BD31" s="6" t="s">
        <v>951</v>
      </c>
      <c r="BE31" s="6" t="str">
        <f t="shared" si="0"/>
        <v>logitech-events.com</v>
      </c>
      <c r="BF31" s="6" t="str">
        <f t="shared" si="1"/>
        <v>com</v>
      </c>
      <c r="BG31" s="6" t="s">
        <v>101</v>
      </c>
      <c r="BQ31" s="6" t="s">
        <v>952</v>
      </c>
      <c r="BR31" s="6" t="s">
        <v>105</v>
      </c>
    </row>
    <row r="32" spans="1:70" ht="45" customHeight="1" x14ac:dyDescent="0.25">
      <c r="A32" s="6">
        <v>31</v>
      </c>
      <c r="B32" s="7" t="s">
        <v>953</v>
      </c>
      <c r="C32" s="8" t="s">
        <v>954</v>
      </c>
      <c r="D32" s="6" t="s">
        <v>955</v>
      </c>
      <c r="E32" s="6" t="s">
        <v>956</v>
      </c>
      <c r="F32" s="8" t="s">
        <v>957</v>
      </c>
      <c r="G32" s="6" t="s">
        <v>130</v>
      </c>
      <c r="H32" s="6" t="s">
        <v>131</v>
      </c>
      <c r="I32" s="6" t="s">
        <v>132</v>
      </c>
      <c r="J32" s="6" t="s">
        <v>132</v>
      </c>
      <c r="K32" s="9">
        <v>250</v>
      </c>
      <c r="L32" s="8" t="s">
        <v>958</v>
      </c>
      <c r="M32" s="9">
        <v>6</v>
      </c>
      <c r="N32" s="6">
        <v>59.910544299999998</v>
      </c>
      <c r="O32" s="6">
        <v>10.727497</v>
      </c>
      <c r="P32" s="6" t="s">
        <v>959</v>
      </c>
      <c r="Q32" s="6">
        <v>1</v>
      </c>
      <c r="R32" s="6" t="s">
        <v>79</v>
      </c>
      <c r="T32" s="6"/>
      <c r="X32" s="6" t="s">
        <v>960</v>
      </c>
      <c r="Y32" s="6" t="s">
        <v>961</v>
      </c>
      <c r="Z32" s="6" t="s">
        <v>962</v>
      </c>
      <c r="AA32" s="6" t="s">
        <v>963</v>
      </c>
      <c r="AC32" s="10">
        <f>_xlfn.XLOOKUP(AH32,[1]Mapping!C:C,[1]Mapping!B:B,"",1)</f>
        <v>532210</v>
      </c>
      <c r="AD32" s="10" t="str">
        <f>_xlfn.XLOOKUP(AC32,[1]Mapping!B:B,[1]Mapping!C:C,"")</f>
        <v>Consumer Electronics and Appliances Rental</v>
      </c>
      <c r="AG32" s="6" t="s">
        <v>964</v>
      </c>
      <c r="AH32" s="6" t="s">
        <v>965</v>
      </c>
      <c r="AI32" s="6" t="s">
        <v>733</v>
      </c>
      <c r="AJ32" s="6" t="s">
        <v>293</v>
      </c>
      <c r="AK32" s="6" t="s">
        <v>294</v>
      </c>
      <c r="AL32" s="6" t="s">
        <v>295</v>
      </c>
      <c r="AM32" s="6" t="s">
        <v>296</v>
      </c>
      <c r="AN32" s="6" t="s">
        <v>297</v>
      </c>
      <c r="AO32" s="6" t="s">
        <v>298</v>
      </c>
      <c r="BA32" s="6" t="s">
        <v>966</v>
      </c>
      <c r="BD32" s="6" t="s">
        <v>967</v>
      </c>
      <c r="BE32" s="6" t="str">
        <f t="shared" si="0"/>
        <v>aws.amazon.com</v>
      </c>
      <c r="BF32" s="6" t="str">
        <f t="shared" si="1"/>
        <v>com</v>
      </c>
      <c r="BG32" s="6" t="s">
        <v>101</v>
      </c>
      <c r="BH32" s="6" t="s">
        <v>968</v>
      </c>
      <c r="BI32" s="6" t="s">
        <v>969</v>
      </c>
      <c r="BJ32" s="6" t="s">
        <v>970</v>
      </c>
      <c r="BK32" s="6" t="s">
        <v>971</v>
      </c>
      <c r="BN32" s="6" t="s">
        <v>972</v>
      </c>
      <c r="BP32" s="6" t="s">
        <v>973</v>
      </c>
      <c r="BQ32" s="6" t="s">
        <v>974</v>
      </c>
      <c r="BR32" s="6" t="s">
        <v>105</v>
      </c>
    </row>
    <row r="33" spans="1:70" ht="45" customHeight="1" x14ac:dyDescent="0.25">
      <c r="A33" s="6">
        <v>32</v>
      </c>
      <c r="B33" s="7" t="s">
        <v>975</v>
      </c>
      <c r="C33" s="8" t="s">
        <v>976</v>
      </c>
      <c r="D33" s="6" t="s">
        <v>977</v>
      </c>
      <c r="E33" s="6" t="s">
        <v>978</v>
      </c>
      <c r="F33" s="8" t="s">
        <v>979</v>
      </c>
      <c r="G33" s="6" t="s">
        <v>980</v>
      </c>
      <c r="H33" s="6" t="s">
        <v>981</v>
      </c>
      <c r="I33" s="6" t="s">
        <v>982</v>
      </c>
      <c r="J33" s="6" t="s">
        <v>982</v>
      </c>
      <c r="K33" s="9">
        <v>3010</v>
      </c>
      <c r="L33" s="8" t="s">
        <v>983</v>
      </c>
      <c r="M33" s="9">
        <v>141</v>
      </c>
      <c r="N33" s="6">
        <v>34.660664400000002</v>
      </c>
      <c r="O33" s="6">
        <v>33.0192117</v>
      </c>
      <c r="P33" s="6" t="s">
        <v>984</v>
      </c>
      <c r="Q33" s="6">
        <v>75</v>
      </c>
      <c r="R33" s="6" t="s">
        <v>906</v>
      </c>
      <c r="S33" s="6">
        <v>1982</v>
      </c>
      <c r="T33" s="6">
        <v>5000000000</v>
      </c>
      <c r="U33" s="6" t="s">
        <v>167</v>
      </c>
      <c r="V33" s="6">
        <v>29058</v>
      </c>
      <c r="W33" s="6" t="s">
        <v>167</v>
      </c>
      <c r="X33" s="6" t="s">
        <v>985</v>
      </c>
      <c r="Y33" s="6" t="s">
        <v>986</v>
      </c>
      <c r="Z33" s="6" t="s">
        <v>987</v>
      </c>
      <c r="AA33" s="6" t="s">
        <v>988</v>
      </c>
      <c r="AB33" s="6" t="s">
        <v>989</v>
      </c>
      <c r="AC33" s="6">
        <v>561499</v>
      </c>
      <c r="AD33" s="10" t="str">
        <f>_xlfn.XLOOKUP(AC33,[1]Mapping!B:B,[1]Mapping!C:C,"")</f>
        <v xml:space="preserve">All Other Business Support Services </v>
      </c>
      <c r="AG33" s="6" t="s">
        <v>990</v>
      </c>
      <c r="AH33" s="6" t="s">
        <v>174</v>
      </c>
      <c r="AI33" s="6" t="s">
        <v>87</v>
      </c>
      <c r="AJ33" s="6" t="s">
        <v>86</v>
      </c>
      <c r="AK33" s="6" t="s">
        <v>88</v>
      </c>
      <c r="AL33" s="6" t="s">
        <v>89</v>
      </c>
      <c r="AM33" s="6" t="s">
        <v>90</v>
      </c>
      <c r="AN33" s="6" t="s">
        <v>91</v>
      </c>
      <c r="AO33" s="6" t="s">
        <v>92</v>
      </c>
      <c r="AQ33" s="6">
        <v>7389</v>
      </c>
      <c r="AR33" s="6" t="s">
        <v>991</v>
      </c>
      <c r="AS33" s="6" t="s">
        <v>992</v>
      </c>
      <c r="AT33" s="6" t="s">
        <v>993</v>
      </c>
      <c r="AU33" s="6" t="s">
        <v>994</v>
      </c>
      <c r="AV33" s="6" t="s">
        <v>995</v>
      </c>
      <c r="AW33" s="6" t="s">
        <v>994</v>
      </c>
      <c r="AX33" s="6" t="s">
        <v>996</v>
      </c>
      <c r="AY33" s="6" t="s">
        <v>997</v>
      </c>
      <c r="AZ33" s="6" t="s">
        <v>998</v>
      </c>
      <c r="BA33" s="6" t="s">
        <v>999</v>
      </c>
      <c r="BB33" s="6" t="s">
        <v>1000</v>
      </c>
      <c r="BC33" s="6" t="s">
        <v>1001</v>
      </c>
      <c r="BD33" s="6" t="s">
        <v>1002</v>
      </c>
      <c r="BE33" s="6" t="str">
        <f t="shared" si="0"/>
        <v>amdocs.com</v>
      </c>
      <c r="BF33" s="6" t="str">
        <f t="shared" si="1"/>
        <v>com</v>
      </c>
      <c r="BG33" s="6" t="s">
        <v>101</v>
      </c>
      <c r="BH33" s="6" t="s">
        <v>1003</v>
      </c>
      <c r="BI33" s="6" t="s">
        <v>1004</v>
      </c>
      <c r="BJ33" s="6" t="s">
        <v>1005</v>
      </c>
      <c r="BK33" s="6" t="s">
        <v>1006</v>
      </c>
      <c r="BN33" s="6" t="s">
        <v>1007</v>
      </c>
      <c r="BP33" s="6" t="s">
        <v>1008</v>
      </c>
      <c r="BQ33" s="6" t="s">
        <v>1009</v>
      </c>
      <c r="BR33" s="6" t="s">
        <v>105</v>
      </c>
    </row>
    <row r="34" spans="1:70" ht="45" customHeight="1" x14ac:dyDescent="0.25">
      <c r="A34" s="6">
        <v>33</v>
      </c>
      <c r="B34" s="7" t="s">
        <v>1010</v>
      </c>
      <c r="C34" s="8" t="s">
        <v>1011</v>
      </c>
      <c r="D34" s="6" t="s">
        <v>1012</v>
      </c>
      <c r="E34" s="6" t="s">
        <v>1013</v>
      </c>
      <c r="F34" s="8" t="s">
        <v>1014</v>
      </c>
      <c r="G34" s="6" t="s">
        <v>73</v>
      </c>
      <c r="H34" s="6" t="s">
        <v>74</v>
      </c>
      <c r="I34" s="6"/>
      <c r="J34" s="6" t="s">
        <v>486</v>
      </c>
      <c r="K34" s="9">
        <v>1368</v>
      </c>
      <c r="L34" s="8" t="s">
        <v>1015</v>
      </c>
      <c r="M34" s="9">
        <v>22</v>
      </c>
      <c r="N34" s="6">
        <v>55.681933899999997</v>
      </c>
      <c r="O34" s="6">
        <v>12.5623039</v>
      </c>
      <c r="P34" s="6" t="s">
        <v>1016</v>
      </c>
      <c r="Q34" s="6">
        <v>1</v>
      </c>
      <c r="R34" s="6" t="s">
        <v>79</v>
      </c>
      <c r="T34" s="6">
        <v>752435</v>
      </c>
      <c r="U34" s="6" t="s">
        <v>80</v>
      </c>
      <c r="V34" s="6">
        <v>15</v>
      </c>
      <c r="W34" s="6" t="s">
        <v>80</v>
      </c>
      <c r="X34" s="6" t="s">
        <v>1017</v>
      </c>
      <c r="Y34" s="6" t="s">
        <v>1018</v>
      </c>
      <c r="Z34" s="6" t="s">
        <v>1019</v>
      </c>
      <c r="AC34" s="6">
        <v>722511</v>
      </c>
      <c r="AD34" s="10" t="str">
        <f>_xlfn.XLOOKUP(AC34,[1]Mapping!B:B,[1]Mapping!C:C,"")</f>
        <v xml:space="preserve">Full-Service Restaurants </v>
      </c>
      <c r="AE34" s="6">
        <v>445240</v>
      </c>
      <c r="AF34" s="6" t="s">
        <v>1020</v>
      </c>
      <c r="AG34" s="6" t="s">
        <v>1021</v>
      </c>
      <c r="AH34" s="6" t="s">
        <v>1022</v>
      </c>
      <c r="AI34" s="6" t="s">
        <v>325</v>
      </c>
      <c r="AJ34" s="6" t="s">
        <v>1023</v>
      </c>
      <c r="AK34" s="6" t="s">
        <v>1024</v>
      </c>
      <c r="AL34" s="6" t="s">
        <v>1025</v>
      </c>
      <c r="AM34" s="6" t="s">
        <v>1026</v>
      </c>
      <c r="AN34" s="6" t="s">
        <v>1027</v>
      </c>
      <c r="AO34" s="6" t="s">
        <v>1028</v>
      </c>
      <c r="AQ34" s="6">
        <v>5812</v>
      </c>
      <c r="AR34" s="6" t="s">
        <v>1029</v>
      </c>
      <c r="AS34" s="6" t="s">
        <v>1030</v>
      </c>
      <c r="AT34" s="6">
        <v>5610</v>
      </c>
      <c r="AU34" s="6" t="s">
        <v>1031</v>
      </c>
      <c r="AV34" s="6">
        <v>56.1</v>
      </c>
      <c r="AW34" s="6" t="s">
        <v>1031</v>
      </c>
      <c r="AX34" s="6" t="s">
        <v>1032</v>
      </c>
      <c r="AY34" s="6" t="s">
        <v>1033</v>
      </c>
      <c r="BD34" s="6" t="s">
        <v>1034</v>
      </c>
      <c r="BE34" s="6" t="str">
        <f t="shared" si="0"/>
        <v>americanexpress.com</v>
      </c>
      <c r="BF34" s="6" t="str">
        <f t="shared" si="1"/>
        <v>com</v>
      </c>
      <c r="BG34" s="6" t="s">
        <v>123</v>
      </c>
      <c r="BP34" s="6" t="s">
        <v>1035</v>
      </c>
      <c r="BQ34" s="6" t="s">
        <v>1036</v>
      </c>
      <c r="BR34" s="6" t="s">
        <v>105</v>
      </c>
    </row>
    <row r="35" spans="1:70" ht="45" customHeight="1" x14ac:dyDescent="0.25">
      <c r="A35" s="6">
        <v>34</v>
      </c>
      <c r="B35" s="7" t="s">
        <v>1037</v>
      </c>
      <c r="C35" s="8" t="s">
        <v>1038</v>
      </c>
      <c r="D35" s="6" t="s">
        <v>1039</v>
      </c>
      <c r="E35" s="6" t="s">
        <v>1040</v>
      </c>
      <c r="F35" s="8" t="s">
        <v>1039</v>
      </c>
      <c r="G35" s="6" t="s">
        <v>130</v>
      </c>
      <c r="H35" s="6" t="s">
        <v>131</v>
      </c>
      <c r="I35" s="6" t="s">
        <v>132</v>
      </c>
      <c r="J35" s="6" t="s">
        <v>132</v>
      </c>
      <c r="K35" s="9">
        <v>191</v>
      </c>
      <c r="L35" s="8" t="s">
        <v>1041</v>
      </c>
      <c r="M35" s="9">
        <v>30</v>
      </c>
      <c r="N35" s="6">
        <v>59.907661599999997</v>
      </c>
      <c r="O35" s="6">
        <v>10.759627999999999</v>
      </c>
      <c r="P35" s="6" t="s">
        <v>1042</v>
      </c>
      <c r="Q35" s="6">
        <v>1</v>
      </c>
      <c r="R35" s="6" t="s">
        <v>79</v>
      </c>
      <c r="T35" s="6"/>
      <c r="X35" s="6" t="s">
        <v>1043</v>
      </c>
      <c r="Y35" s="6" t="s">
        <v>1044</v>
      </c>
      <c r="Z35" s="6" t="s">
        <v>1045</v>
      </c>
      <c r="AA35" s="6" t="s">
        <v>1046</v>
      </c>
      <c r="AB35" s="6" t="s">
        <v>1047</v>
      </c>
      <c r="AC35" s="6">
        <v>522210</v>
      </c>
      <c r="AD35" s="10" t="str">
        <f>_xlfn.XLOOKUP(AC35,[1]Mapping!B:B,[1]Mapping!C:C,"")</f>
        <v xml:space="preserve">Credit Card Issuing </v>
      </c>
      <c r="AG35" s="6" t="s">
        <v>1048</v>
      </c>
      <c r="AH35" s="6" t="s">
        <v>1049</v>
      </c>
      <c r="AI35" s="6" t="s">
        <v>1050</v>
      </c>
      <c r="AQ35" s="6">
        <v>6141</v>
      </c>
      <c r="AR35" s="6" t="s">
        <v>1051</v>
      </c>
      <c r="AT35" s="6">
        <v>6492</v>
      </c>
      <c r="AU35" s="6" t="s">
        <v>1052</v>
      </c>
      <c r="AV35" s="6">
        <v>64.19</v>
      </c>
      <c r="AW35" s="6" t="s">
        <v>1053</v>
      </c>
      <c r="BD35" s="6" t="s">
        <v>1054</v>
      </c>
      <c r="BE35" s="6" t="str">
        <f t="shared" si="0"/>
        <v>americanexpress.no</v>
      </c>
      <c r="BF35" s="6" t="str">
        <f t="shared" si="1"/>
        <v>no</v>
      </c>
      <c r="BG35" s="6" t="s">
        <v>150</v>
      </c>
      <c r="BQ35" s="6" t="s">
        <v>1055</v>
      </c>
      <c r="BR35" s="6" t="s">
        <v>105</v>
      </c>
    </row>
    <row r="36" spans="1:70" ht="45" customHeight="1" x14ac:dyDescent="0.25">
      <c r="A36" s="6">
        <v>35</v>
      </c>
      <c r="B36" s="7" t="s">
        <v>1056</v>
      </c>
      <c r="C36" s="8" t="s">
        <v>1057</v>
      </c>
      <c r="D36" s="6" t="s">
        <v>1058</v>
      </c>
      <c r="E36" s="6" t="s">
        <v>1059</v>
      </c>
      <c r="F36" s="8" t="s">
        <v>1060</v>
      </c>
      <c r="G36" s="6" t="s">
        <v>130</v>
      </c>
      <c r="H36" s="6" t="s">
        <v>131</v>
      </c>
      <c r="I36" s="6" t="s">
        <v>132</v>
      </c>
      <c r="J36" s="6" t="s">
        <v>132</v>
      </c>
      <c r="K36" s="9">
        <v>252</v>
      </c>
      <c r="L36" s="8" t="s">
        <v>1061</v>
      </c>
      <c r="M36" s="9">
        <v>19</v>
      </c>
      <c r="N36" s="6">
        <v>59.907239300000008</v>
      </c>
      <c r="O36" s="6">
        <v>10.7207983</v>
      </c>
      <c r="P36" s="6" t="s">
        <v>1062</v>
      </c>
      <c r="Q36" s="6">
        <v>25</v>
      </c>
      <c r="R36" s="6" t="s">
        <v>79</v>
      </c>
      <c r="S36" s="6">
        <v>1985</v>
      </c>
      <c r="T36" s="6">
        <v>95000000</v>
      </c>
      <c r="U36" s="6" t="s">
        <v>167</v>
      </c>
      <c r="V36" s="6">
        <v>470</v>
      </c>
      <c r="W36" s="6" t="s">
        <v>167</v>
      </c>
      <c r="X36" s="6" t="s">
        <v>1063</v>
      </c>
      <c r="Y36" s="6" t="s">
        <v>1064</v>
      </c>
      <c r="Z36" s="6" t="s">
        <v>1063</v>
      </c>
      <c r="AA36" s="6" t="s">
        <v>1065</v>
      </c>
      <c r="AB36" s="6" t="s">
        <v>1066</v>
      </c>
      <c r="AC36" s="6">
        <v>541611</v>
      </c>
      <c r="AD36" s="10" t="str">
        <f>_xlfn.XLOOKUP(AC36,[1]Mapping!B:B,[1]Mapping!C:C,"")</f>
        <v xml:space="preserve">Administrative Management and General Management Consulting Services </v>
      </c>
      <c r="AG36" s="6" t="s">
        <v>376</v>
      </c>
      <c r="AH36" s="6" t="s">
        <v>376</v>
      </c>
      <c r="AI36" s="6" t="s">
        <v>141</v>
      </c>
      <c r="AJ36" s="6" t="s">
        <v>500</v>
      </c>
      <c r="AK36" s="6" t="s">
        <v>501</v>
      </c>
      <c r="AL36" s="6" t="s">
        <v>502</v>
      </c>
      <c r="AM36" s="6" t="s">
        <v>503</v>
      </c>
      <c r="AN36" s="6" t="s">
        <v>297</v>
      </c>
      <c r="AO36" s="6" t="s">
        <v>298</v>
      </c>
      <c r="AQ36" s="6">
        <v>8742</v>
      </c>
      <c r="AR36" s="6" t="s">
        <v>377</v>
      </c>
      <c r="AS36" s="6" t="s">
        <v>1067</v>
      </c>
      <c r="AT36" s="6">
        <v>7020</v>
      </c>
      <c r="AU36" s="6" t="s">
        <v>378</v>
      </c>
      <c r="AV36" s="6" t="s">
        <v>379</v>
      </c>
      <c r="AW36" s="6" t="s">
        <v>380</v>
      </c>
      <c r="AX36" s="6" t="s">
        <v>1068</v>
      </c>
      <c r="AY36" s="6" t="s">
        <v>1069</v>
      </c>
      <c r="AZ36" s="6" t="s">
        <v>1070</v>
      </c>
      <c r="BA36" s="6" t="s">
        <v>1071</v>
      </c>
      <c r="BB36" s="6" t="s">
        <v>1072</v>
      </c>
      <c r="BD36" s="6" t="s">
        <v>1073</v>
      </c>
      <c r="BE36" s="6" t="str">
        <f t="shared" si="0"/>
        <v>analysysmason.com</v>
      </c>
      <c r="BF36" s="6" t="str">
        <f t="shared" si="1"/>
        <v>com</v>
      </c>
      <c r="BG36" s="6" t="s">
        <v>101</v>
      </c>
      <c r="BH36" s="6" t="s">
        <v>1074</v>
      </c>
      <c r="BI36" s="6" t="s">
        <v>1075</v>
      </c>
      <c r="BK36" s="6" t="s">
        <v>1076</v>
      </c>
      <c r="BN36" s="6" t="s">
        <v>1077</v>
      </c>
      <c r="BP36" s="6" t="s">
        <v>1078</v>
      </c>
      <c r="BQ36" s="6" t="s">
        <v>1079</v>
      </c>
      <c r="BR36" s="6" t="s">
        <v>105</v>
      </c>
    </row>
    <row r="37" spans="1:70" ht="45" customHeight="1" x14ac:dyDescent="0.25">
      <c r="A37" s="6">
        <v>36</v>
      </c>
      <c r="B37" s="7" t="s">
        <v>1080</v>
      </c>
      <c r="C37" s="8" t="s">
        <v>1081</v>
      </c>
      <c r="D37" s="6" t="s">
        <v>1082</v>
      </c>
      <c r="E37" s="8" t="s">
        <v>1083</v>
      </c>
      <c r="F37" s="8" t="s">
        <v>1084</v>
      </c>
      <c r="G37" s="6" t="s">
        <v>840</v>
      </c>
      <c r="H37" s="6" t="s">
        <v>841</v>
      </c>
      <c r="I37" s="8" t="s">
        <v>842</v>
      </c>
      <c r="J37" s="6" t="s">
        <v>1085</v>
      </c>
      <c r="K37" s="9" t="s">
        <v>1086</v>
      </c>
      <c r="L37" s="8" t="s">
        <v>1087</v>
      </c>
      <c r="N37" s="6">
        <v>53.4833213</v>
      </c>
      <c r="O37" s="6">
        <v>-2.2702545999999999</v>
      </c>
      <c r="P37" s="6" t="s">
        <v>1088</v>
      </c>
      <c r="Q37" s="6">
        <v>1</v>
      </c>
      <c r="R37" s="6" t="s">
        <v>79</v>
      </c>
      <c r="T37" s="6">
        <v>790577</v>
      </c>
      <c r="U37" s="6" t="s">
        <v>80</v>
      </c>
      <c r="V37" s="6">
        <v>15</v>
      </c>
      <c r="W37" s="6" t="s">
        <v>80</v>
      </c>
      <c r="X37" s="6" t="s">
        <v>1089</v>
      </c>
      <c r="Y37" s="6" t="s">
        <v>1090</v>
      </c>
      <c r="Z37" s="6" t="s">
        <v>1091</v>
      </c>
      <c r="AA37" s="6" t="s">
        <v>1092</v>
      </c>
      <c r="AB37" s="6" t="s">
        <v>1093</v>
      </c>
      <c r="AC37" s="6">
        <v>541219</v>
      </c>
      <c r="AD37" s="10" t="str">
        <f>_xlfn.XLOOKUP(AC37,[1]Mapping!B:B,[1]Mapping!C:C,"")</f>
        <v xml:space="preserve">Other Accounting Services </v>
      </c>
      <c r="AG37" s="6" t="s">
        <v>1094</v>
      </c>
      <c r="AH37" s="6" t="s">
        <v>1095</v>
      </c>
      <c r="AI37" s="6" t="s">
        <v>119</v>
      </c>
      <c r="AJ37" s="6" t="s">
        <v>293</v>
      </c>
      <c r="AK37" s="6" t="s">
        <v>294</v>
      </c>
      <c r="AL37" s="6" t="s">
        <v>295</v>
      </c>
      <c r="AM37" s="6" t="s">
        <v>296</v>
      </c>
      <c r="AN37" s="6" t="s">
        <v>297</v>
      </c>
      <c r="AO37" s="6" t="s">
        <v>298</v>
      </c>
      <c r="AQ37" s="6">
        <v>8721</v>
      </c>
      <c r="AR37" s="6" t="s">
        <v>1096</v>
      </c>
      <c r="AS37" s="6" t="s">
        <v>1097</v>
      </c>
      <c r="AT37" s="6">
        <v>6920</v>
      </c>
      <c r="AU37" s="6" t="s">
        <v>1098</v>
      </c>
      <c r="AV37" s="6">
        <v>69.2</v>
      </c>
      <c r="AW37" s="6" t="s">
        <v>1098</v>
      </c>
      <c r="AX37" s="6" t="s">
        <v>1099</v>
      </c>
      <c r="AY37" s="6" t="s">
        <v>1100</v>
      </c>
      <c r="AZ37" s="6" t="s">
        <v>1101</v>
      </c>
      <c r="BA37" s="6" t="s">
        <v>1102</v>
      </c>
      <c r="BD37" s="6" t="s">
        <v>1103</v>
      </c>
      <c r="BE37" s="6" t="str">
        <f t="shared" si="0"/>
        <v>masonwilliamsaccountants.co.uk</v>
      </c>
      <c r="BF37" s="6" t="str">
        <f t="shared" si="1"/>
        <v>uk</v>
      </c>
      <c r="BG37" s="6" t="s">
        <v>101</v>
      </c>
      <c r="BH37" s="6" t="s">
        <v>1104</v>
      </c>
      <c r="BK37" s="6" t="s">
        <v>1105</v>
      </c>
      <c r="BP37" s="6" t="s">
        <v>1106</v>
      </c>
      <c r="BQ37" s="6" t="s">
        <v>1107</v>
      </c>
      <c r="BR37" s="6" t="s">
        <v>105</v>
      </c>
    </row>
    <row r="38" spans="1:70" ht="45" customHeight="1" x14ac:dyDescent="0.25">
      <c r="A38" s="6">
        <v>37</v>
      </c>
      <c r="B38" s="7" t="s">
        <v>1108</v>
      </c>
      <c r="C38" s="8" t="s">
        <v>1109</v>
      </c>
      <c r="D38" s="6" t="s">
        <v>1110</v>
      </c>
      <c r="E38" s="8" t="s">
        <v>1111</v>
      </c>
      <c r="F38" s="8" t="s">
        <v>1111</v>
      </c>
      <c r="G38" s="6" t="s">
        <v>73</v>
      </c>
      <c r="H38" s="6" t="s">
        <v>74</v>
      </c>
      <c r="I38" s="6"/>
      <c r="J38" s="6" t="s">
        <v>486</v>
      </c>
      <c r="K38" s="9">
        <v>1304</v>
      </c>
      <c r="L38" s="8" t="s">
        <v>1112</v>
      </c>
      <c r="M38" s="9">
        <v>12</v>
      </c>
      <c r="N38" s="6">
        <v>55.6831575</v>
      </c>
      <c r="O38" s="6">
        <v>12.5836421</v>
      </c>
      <c r="P38" s="6" t="s">
        <v>1113</v>
      </c>
      <c r="Q38" s="6">
        <v>1</v>
      </c>
      <c r="R38" s="6" t="s">
        <v>79</v>
      </c>
      <c r="T38" s="6">
        <v>16790228</v>
      </c>
      <c r="U38" s="6" t="s">
        <v>80</v>
      </c>
      <c r="V38" s="6">
        <v>75</v>
      </c>
      <c r="W38" s="6" t="s">
        <v>80</v>
      </c>
      <c r="X38" s="6" t="s">
        <v>1114</v>
      </c>
      <c r="Y38" s="6" t="s">
        <v>1115</v>
      </c>
      <c r="Z38" s="6" t="s">
        <v>1116</v>
      </c>
      <c r="AA38" s="6" t="s">
        <v>1117</v>
      </c>
      <c r="AB38" s="6" t="s">
        <v>1118</v>
      </c>
      <c r="AC38" s="6">
        <v>541810</v>
      </c>
      <c r="AD38" s="10" t="str">
        <f>_xlfn.XLOOKUP(AC38,[1]Mapping!B:B,[1]Mapping!C:C,"")</f>
        <v>Advertising Agencies</v>
      </c>
      <c r="AG38" s="6" t="s">
        <v>1119</v>
      </c>
      <c r="AH38" s="6" t="s">
        <v>1120</v>
      </c>
      <c r="AI38" s="6" t="s">
        <v>652</v>
      </c>
      <c r="AJ38" s="6" t="s">
        <v>500</v>
      </c>
      <c r="AK38" s="6" t="s">
        <v>501</v>
      </c>
      <c r="AL38" s="6" t="s">
        <v>502</v>
      </c>
      <c r="AM38" s="6" t="s">
        <v>503</v>
      </c>
      <c r="AN38" s="6" t="s">
        <v>297</v>
      </c>
      <c r="AO38" s="6" t="s">
        <v>298</v>
      </c>
      <c r="AQ38" s="6">
        <v>7311</v>
      </c>
      <c r="AR38" s="6" t="s">
        <v>1121</v>
      </c>
      <c r="AS38" s="6" t="s">
        <v>1122</v>
      </c>
      <c r="AT38" s="6">
        <v>7310</v>
      </c>
      <c r="AU38" s="6" t="s">
        <v>1123</v>
      </c>
      <c r="AV38" s="6">
        <v>73.11</v>
      </c>
      <c r="AW38" s="6" t="s">
        <v>1124</v>
      </c>
      <c r="AX38" s="6" t="s">
        <v>1125</v>
      </c>
      <c r="AY38" s="6" t="s">
        <v>1126</v>
      </c>
      <c r="AZ38" s="6">
        <v>4533463300</v>
      </c>
      <c r="BD38" s="6" t="s">
        <v>1127</v>
      </c>
      <c r="BE38" s="6" t="str">
        <f t="shared" si="0"/>
        <v>andco.dk</v>
      </c>
      <c r="BF38" s="6" t="str">
        <f t="shared" si="1"/>
        <v>dk</v>
      </c>
      <c r="BG38" s="6" t="s">
        <v>101</v>
      </c>
      <c r="BP38" s="6" t="s">
        <v>1128</v>
      </c>
      <c r="BQ38" s="6" t="s">
        <v>1129</v>
      </c>
      <c r="BR38" s="6" t="s">
        <v>105</v>
      </c>
    </row>
    <row r="39" spans="1:70" ht="45" customHeight="1" x14ac:dyDescent="0.25">
      <c r="A39" s="6">
        <v>38</v>
      </c>
      <c r="B39" s="7" t="s">
        <v>1130</v>
      </c>
      <c r="C39" s="8" t="s">
        <v>1131</v>
      </c>
      <c r="D39" s="6" t="s">
        <v>1130</v>
      </c>
      <c r="E39" s="8" t="s">
        <v>1130</v>
      </c>
      <c r="F39" s="8" t="s">
        <v>1132</v>
      </c>
      <c r="G39" s="6" t="s">
        <v>73</v>
      </c>
      <c r="H39" s="6" t="s">
        <v>74</v>
      </c>
      <c r="I39" s="8" t="s">
        <v>1133</v>
      </c>
      <c r="J39" s="6" t="s">
        <v>1134</v>
      </c>
      <c r="K39" s="9">
        <v>2100</v>
      </c>
      <c r="L39" s="8" t="s">
        <v>1135</v>
      </c>
      <c r="M39" s="9">
        <v>3</v>
      </c>
      <c r="P39" s="6" t="s">
        <v>1136</v>
      </c>
      <c r="Q39" s="6">
        <v>1</v>
      </c>
      <c r="R39" s="6" t="s">
        <v>79</v>
      </c>
      <c r="T39" s="6">
        <v>16790228</v>
      </c>
      <c r="U39" s="6" t="s">
        <v>80</v>
      </c>
      <c r="V39" s="6">
        <v>75</v>
      </c>
      <c r="W39" s="6" t="s">
        <v>80</v>
      </c>
      <c r="X39" s="6" t="s">
        <v>1137</v>
      </c>
      <c r="Y39" s="6" t="s">
        <v>1138</v>
      </c>
      <c r="Z39" s="6" t="s">
        <v>1139</v>
      </c>
      <c r="AA39" s="6" t="s">
        <v>1140</v>
      </c>
      <c r="AB39" s="6" t="s">
        <v>1141</v>
      </c>
      <c r="AC39" s="6">
        <v>541810</v>
      </c>
      <c r="AD39" s="10" t="str">
        <f>_xlfn.XLOOKUP(AC39,[1]Mapping!B:B,[1]Mapping!C:C,"")</f>
        <v>Advertising Agencies</v>
      </c>
      <c r="AG39" s="6" t="s">
        <v>1142</v>
      </c>
      <c r="AH39" s="6" t="s">
        <v>1143</v>
      </c>
      <c r="AI39" s="6" t="s">
        <v>500</v>
      </c>
      <c r="AJ39" s="6" t="s">
        <v>500</v>
      </c>
      <c r="AK39" s="6" t="s">
        <v>501</v>
      </c>
      <c r="AL39" s="6" t="s">
        <v>502</v>
      </c>
      <c r="AM39" s="6" t="s">
        <v>503</v>
      </c>
      <c r="AN39" s="6" t="s">
        <v>297</v>
      </c>
      <c r="AO39" s="6" t="s">
        <v>298</v>
      </c>
      <c r="AQ39" s="6">
        <v>7311</v>
      </c>
      <c r="AR39" s="6" t="s">
        <v>1121</v>
      </c>
      <c r="AT39" s="6">
        <v>7310</v>
      </c>
      <c r="AU39" s="6" t="s">
        <v>1123</v>
      </c>
      <c r="AV39" s="6" t="s">
        <v>1144</v>
      </c>
      <c r="AW39" s="6" t="s">
        <v>1145</v>
      </c>
      <c r="AY39" s="6">
        <v>4538145700</v>
      </c>
      <c r="AZ39" s="6">
        <v>4538145700</v>
      </c>
      <c r="BA39" s="6" t="s">
        <v>1146</v>
      </c>
      <c r="BD39" s="6" t="s">
        <v>1147</v>
      </c>
      <c r="BE39" s="6" t="str">
        <f t="shared" si="0"/>
        <v>annalect-data.info</v>
      </c>
      <c r="BF39" s="6" t="str">
        <f t="shared" si="1"/>
        <v>info</v>
      </c>
      <c r="BG39" s="6" t="s">
        <v>101</v>
      </c>
      <c r="BH39" s="6" t="s">
        <v>1148</v>
      </c>
      <c r="BP39" s="6" t="s">
        <v>1149</v>
      </c>
      <c r="BQ39" s="6" t="s">
        <v>1150</v>
      </c>
      <c r="BR39" s="6" t="s">
        <v>105</v>
      </c>
    </row>
    <row r="40" spans="1:70" ht="45" customHeight="1" x14ac:dyDescent="0.25">
      <c r="A40" s="6">
        <v>39</v>
      </c>
      <c r="B40" s="7" t="s">
        <v>1151</v>
      </c>
      <c r="C40" s="8" t="s">
        <v>1152</v>
      </c>
      <c r="D40" s="6" t="s">
        <v>1153</v>
      </c>
      <c r="E40" s="8" t="s">
        <v>1151</v>
      </c>
      <c r="F40" s="8" t="s">
        <v>1154</v>
      </c>
      <c r="G40" s="6" t="s">
        <v>73</v>
      </c>
      <c r="H40" s="6" t="s">
        <v>74</v>
      </c>
      <c r="I40" s="8" t="s">
        <v>1155</v>
      </c>
      <c r="J40" s="6" t="s">
        <v>1156</v>
      </c>
      <c r="K40" s="9">
        <v>6070</v>
      </c>
      <c r="L40" s="8" t="s">
        <v>1157</v>
      </c>
      <c r="M40" s="9">
        <v>20</v>
      </c>
      <c r="N40" s="6">
        <v>55.3512372</v>
      </c>
      <c r="O40" s="6">
        <v>9.4855</v>
      </c>
      <c r="P40" s="6" t="s">
        <v>1158</v>
      </c>
      <c r="Q40" s="6">
        <v>1</v>
      </c>
      <c r="R40" s="6" t="s">
        <v>79</v>
      </c>
      <c r="T40" s="6"/>
      <c r="X40" s="6" t="s">
        <v>1159</v>
      </c>
      <c r="Y40" s="6" t="s">
        <v>1160</v>
      </c>
      <c r="Z40" s="6" t="s">
        <v>1161</v>
      </c>
      <c r="AC40" s="6">
        <v>621330</v>
      </c>
      <c r="AD40" s="10" t="str">
        <f>_xlfn.XLOOKUP(AC40,[1]Mapping!B:B,[1]Mapping!C:C,"")</f>
        <v xml:space="preserve">Offices of Mental Health Practitioners (except Physicians) </v>
      </c>
      <c r="AG40" s="6" t="s">
        <v>1162</v>
      </c>
      <c r="AH40" s="6" t="s">
        <v>1163</v>
      </c>
      <c r="AI40" s="6" t="s">
        <v>1164</v>
      </c>
      <c r="AQ40" s="6">
        <v>8049</v>
      </c>
      <c r="AR40" s="6" t="s">
        <v>1165</v>
      </c>
      <c r="AT40" s="6">
        <v>8690</v>
      </c>
      <c r="AU40" s="6" t="s">
        <v>1166</v>
      </c>
      <c r="AV40" s="6">
        <v>86.9</v>
      </c>
      <c r="AW40" s="6" t="s">
        <v>1166</v>
      </c>
      <c r="AY40" s="6" t="s">
        <v>1167</v>
      </c>
      <c r="AZ40" s="6">
        <v>4520552998</v>
      </c>
      <c r="BD40" s="6" t="s">
        <v>1168</v>
      </c>
      <c r="BE40" s="6" t="str">
        <f t="shared" si="0"/>
        <v>sexologiogterapi.dk</v>
      </c>
      <c r="BF40" s="6" t="str">
        <f t="shared" si="1"/>
        <v>dk</v>
      </c>
      <c r="BG40" s="6" t="s">
        <v>123</v>
      </c>
      <c r="BH40" s="6" t="s">
        <v>1169</v>
      </c>
      <c r="BQ40" s="6" t="s">
        <v>1170</v>
      </c>
      <c r="BR40" s="6" t="s">
        <v>105</v>
      </c>
    </row>
    <row r="41" spans="1:70" ht="45" customHeight="1" x14ac:dyDescent="0.25">
      <c r="A41" s="6">
        <v>40</v>
      </c>
      <c r="B41" s="7" t="s">
        <v>1171</v>
      </c>
      <c r="C41" s="8" t="s">
        <v>1172</v>
      </c>
      <c r="D41" s="6" t="s">
        <v>1173</v>
      </c>
      <c r="E41" s="6" t="s">
        <v>1174</v>
      </c>
      <c r="F41" s="8" t="s">
        <v>1175</v>
      </c>
      <c r="G41" s="6" t="s">
        <v>73</v>
      </c>
      <c r="H41" s="6" t="s">
        <v>74</v>
      </c>
      <c r="I41" s="6"/>
      <c r="J41" s="6" t="s">
        <v>486</v>
      </c>
      <c r="K41" s="9">
        <v>2300</v>
      </c>
      <c r="L41" s="8" t="s">
        <v>1176</v>
      </c>
      <c r="M41" s="9">
        <v>73</v>
      </c>
      <c r="N41" s="6">
        <v>55.632183499999996</v>
      </c>
      <c r="O41" s="6">
        <v>12.581887099999999</v>
      </c>
      <c r="P41" s="6" t="s">
        <v>1177</v>
      </c>
      <c r="Q41" s="6">
        <v>65</v>
      </c>
      <c r="R41" s="6" t="s">
        <v>906</v>
      </c>
      <c r="S41" s="6">
        <v>1895</v>
      </c>
      <c r="T41" s="6">
        <v>809000000</v>
      </c>
      <c r="U41" s="6" t="s">
        <v>167</v>
      </c>
      <c r="V41" s="6">
        <v>3717</v>
      </c>
      <c r="W41" s="6" t="s">
        <v>167</v>
      </c>
      <c r="X41" s="6" t="s">
        <v>1178</v>
      </c>
      <c r="Y41" s="6" t="s">
        <v>1179</v>
      </c>
      <c r="Z41" s="6" t="s">
        <v>1180</v>
      </c>
      <c r="AA41" s="6" t="s">
        <v>1181</v>
      </c>
      <c r="AB41" s="6" t="s">
        <v>1182</v>
      </c>
      <c r="AC41" s="6">
        <v>334515</v>
      </c>
      <c r="AD41" s="10" t="str">
        <f>_xlfn.XLOOKUP(AC41,[1]Mapping!B:B,[1]Mapping!C:C,"")</f>
        <v xml:space="preserve">Instrument Manufacturing for Measuring and Testing Electricity and Electrical Signals </v>
      </c>
      <c r="AE41" s="6">
        <v>334513</v>
      </c>
      <c r="AF41" s="6" t="s">
        <v>1183</v>
      </c>
      <c r="AG41" s="6" t="s">
        <v>1184</v>
      </c>
      <c r="AH41" s="6" t="s">
        <v>432</v>
      </c>
      <c r="AI41" s="6" t="s">
        <v>733</v>
      </c>
      <c r="AJ41" s="6" t="s">
        <v>467</v>
      </c>
      <c r="AK41" s="6" t="s">
        <v>468</v>
      </c>
      <c r="AL41" s="6" t="s">
        <v>434</v>
      </c>
      <c r="AM41" s="6" t="s">
        <v>435</v>
      </c>
      <c r="AN41" s="6" t="s">
        <v>436</v>
      </c>
      <c r="AO41" s="6" t="s">
        <v>437</v>
      </c>
      <c r="AQ41" s="6" t="s">
        <v>1185</v>
      </c>
      <c r="AR41" s="6" t="s">
        <v>1186</v>
      </c>
      <c r="AS41" s="6" t="s">
        <v>1187</v>
      </c>
      <c r="AT41" s="6">
        <v>2651</v>
      </c>
      <c r="AU41" s="6" t="s">
        <v>1188</v>
      </c>
      <c r="AV41" s="6">
        <v>26.51</v>
      </c>
      <c r="AW41" s="6" t="s">
        <v>1189</v>
      </c>
      <c r="AX41" s="6" t="s">
        <v>1190</v>
      </c>
      <c r="AY41" s="6" t="s">
        <v>1191</v>
      </c>
      <c r="AZ41" s="6" t="s">
        <v>1192</v>
      </c>
      <c r="BA41" s="6" t="s">
        <v>1193</v>
      </c>
      <c r="BB41" s="6" t="s">
        <v>1193</v>
      </c>
      <c r="BC41" s="6" t="s">
        <v>1194</v>
      </c>
      <c r="BD41" s="6" t="s">
        <v>1195</v>
      </c>
      <c r="BE41" s="6" t="str">
        <f t="shared" si="0"/>
        <v>anritsu.com</v>
      </c>
      <c r="BF41" s="6" t="str">
        <f t="shared" si="1"/>
        <v>com</v>
      </c>
      <c r="BG41" s="6" t="s">
        <v>101</v>
      </c>
      <c r="BH41" s="6" t="s">
        <v>1196</v>
      </c>
      <c r="BI41" s="6" t="s">
        <v>1197</v>
      </c>
      <c r="BJ41" s="6" t="s">
        <v>1198</v>
      </c>
      <c r="BK41" s="6" t="s">
        <v>1199</v>
      </c>
      <c r="BN41" s="6" t="s">
        <v>1200</v>
      </c>
      <c r="BP41" s="6" t="s">
        <v>1201</v>
      </c>
      <c r="BQ41" s="6" t="s">
        <v>1202</v>
      </c>
      <c r="BR41" s="6" t="s">
        <v>105</v>
      </c>
    </row>
    <row r="42" spans="1:70" ht="45" customHeight="1" x14ac:dyDescent="0.25">
      <c r="A42" s="6">
        <v>41</v>
      </c>
      <c r="B42" s="7" t="s">
        <v>1203</v>
      </c>
      <c r="C42" s="8" t="s">
        <v>1204</v>
      </c>
      <c r="D42" s="6" t="s">
        <v>1205</v>
      </c>
      <c r="E42" s="6" t="s">
        <v>1206</v>
      </c>
      <c r="F42" s="8" t="s">
        <v>1207</v>
      </c>
      <c r="G42" s="6" t="s">
        <v>73</v>
      </c>
      <c r="H42" s="6" t="s">
        <v>74</v>
      </c>
      <c r="I42" s="6"/>
      <c r="J42" s="6" t="s">
        <v>486</v>
      </c>
      <c r="K42" s="9">
        <v>2150</v>
      </c>
      <c r="L42" s="8" t="s">
        <v>1208</v>
      </c>
      <c r="M42" s="9">
        <v>118</v>
      </c>
      <c r="N42" s="6">
        <v>55.707161499999998</v>
      </c>
      <c r="O42" s="6">
        <v>12.5914535</v>
      </c>
      <c r="P42" s="6" t="s">
        <v>1209</v>
      </c>
      <c r="Q42" s="6">
        <v>7</v>
      </c>
      <c r="R42" s="6" t="s">
        <v>79</v>
      </c>
      <c r="S42" s="6">
        <v>1994</v>
      </c>
      <c r="T42" s="6">
        <v>15850452</v>
      </c>
      <c r="U42" s="6" t="s">
        <v>80</v>
      </c>
      <c r="V42" s="6">
        <v>75</v>
      </c>
      <c r="W42" s="6" t="s">
        <v>80</v>
      </c>
      <c r="X42" s="6" t="s">
        <v>1210</v>
      </c>
      <c r="Y42" s="6" t="s">
        <v>1211</v>
      </c>
      <c r="Z42" s="6" t="s">
        <v>1212</v>
      </c>
      <c r="AA42" s="6" t="s">
        <v>1213</v>
      </c>
      <c r="AB42" s="6" t="s">
        <v>1214</v>
      </c>
      <c r="AC42" s="6">
        <v>541611</v>
      </c>
      <c r="AD42" s="10" t="str">
        <f>_xlfn.XLOOKUP(AC42,[1]Mapping!B:B,[1]Mapping!C:C,"")</f>
        <v xml:space="preserve">Administrative Management and General Management Consulting Services </v>
      </c>
      <c r="AG42" s="6" t="s">
        <v>376</v>
      </c>
      <c r="AH42" s="6" t="s">
        <v>376</v>
      </c>
      <c r="AI42" s="6" t="s">
        <v>141</v>
      </c>
      <c r="AJ42" s="6" t="s">
        <v>293</v>
      </c>
      <c r="AK42" s="6" t="s">
        <v>294</v>
      </c>
      <c r="AL42" s="6" t="s">
        <v>295</v>
      </c>
      <c r="AM42" s="6" t="s">
        <v>296</v>
      </c>
      <c r="AN42" s="6" t="s">
        <v>297</v>
      </c>
      <c r="AO42" s="6" t="s">
        <v>298</v>
      </c>
      <c r="AQ42" s="6">
        <v>8742</v>
      </c>
      <c r="AR42" s="6" t="s">
        <v>377</v>
      </c>
      <c r="AS42" s="6" t="s">
        <v>1067</v>
      </c>
      <c r="AT42" s="6">
        <v>7020</v>
      </c>
      <c r="AU42" s="6" t="s">
        <v>378</v>
      </c>
      <c r="AV42" s="6" t="s">
        <v>379</v>
      </c>
      <c r="AW42" s="6" t="s">
        <v>380</v>
      </c>
      <c r="AX42" s="6" t="s">
        <v>1068</v>
      </c>
      <c r="AY42" s="6" t="s">
        <v>1215</v>
      </c>
      <c r="AZ42" s="6" t="s">
        <v>1216</v>
      </c>
      <c r="BA42" s="6" t="s">
        <v>1217</v>
      </c>
      <c r="BB42" s="6" t="s">
        <v>1218</v>
      </c>
      <c r="BC42" s="6" t="s">
        <v>1219</v>
      </c>
      <c r="BD42" s="6" t="s">
        <v>1220</v>
      </c>
      <c r="BE42" s="6" t="str">
        <f t="shared" si="0"/>
        <v>aon.com</v>
      </c>
      <c r="BF42" s="6" t="str">
        <f t="shared" si="1"/>
        <v>com</v>
      </c>
      <c r="BG42" s="6" t="s">
        <v>101</v>
      </c>
      <c r="BH42" s="6" t="s">
        <v>1221</v>
      </c>
      <c r="BI42" s="6" t="s">
        <v>1222</v>
      </c>
      <c r="BK42" s="6" t="s">
        <v>1223</v>
      </c>
      <c r="BN42" s="6" t="s">
        <v>1224</v>
      </c>
      <c r="BP42" s="6" t="s">
        <v>1225</v>
      </c>
      <c r="BQ42" s="6" t="s">
        <v>1226</v>
      </c>
      <c r="BR42" s="6" t="s">
        <v>105</v>
      </c>
    </row>
    <row r="43" spans="1:70" ht="45" customHeight="1" x14ac:dyDescent="0.25">
      <c r="A43" s="6">
        <v>42</v>
      </c>
      <c r="B43" s="7" t="s">
        <v>1227</v>
      </c>
      <c r="C43" s="8" t="s">
        <v>1228</v>
      </c>
      <c r="D43" s="6" t="s">
        <v>1229</v>
      </c>
      <c r="E43" s="6" t="s">
        <v>1230</v>
      </c>
      <c r="F43" s="8" t="s">
        <v>1231</v>
      </c>
      <c r="G43" s="6" t="s">
        <v>130</v>
      </c>
      <c r="H43" s="6" t="s">
        <v>131</v>
      </c>
      <c r="I43" s="6" t="s">
        <v>132</v>
      </c>
      <c r="J43" s="6" t="s">
        <v>132</v>
      </c>
      <c r="K43" s="9">
        <v>161</v>
      </c>
      <c r="L43" s="8" t="s">
        <v>1232</v>
      </c>
      <c r="M43" s="9">
        <v>6</v>
      </c>
      <c r="N43" s="6">
        <v>59.912977099999999</v>
      </c>
      <c r="O43" s="6">
        <v>10.738247700000001</v>
      </c>
      <c r="P43" s="6" t="s">
        <v>1233</v>
      </c>
      <c r="Q43" s="6">
        <v>2</v>
      </c>
      <c r="R43" s="6" t="s">
        <v>79</v>
      </c>
      <c r="S43" s="6">
        <v>2018</v>
      </c>
      <c r="T43" s="6">
        <v>17000088</v>
      </c>
      <c r="U43" s="6" t="s">
        <v>80</v>
      </c>
      <c r="V43" s="6">
        <v>35</v>
      </c>
      <c r="W43" s="6" t="s">
        <v>167</v>
      </c>
      <c r="X43" s="6" t="s">
        <v>1234</v>
      </c>
      <c r="Y43" s="6" t="s">
        <v>1235</v>
      </c>
      <c r="Z43" s="6" t="s">
        <v>1236</v>
      </c>
      <c r="AA43" s="6" t="s">
        <v>1237</v>
      </c>
      <c r="AB43" s="6" t="s">
        <v>1238</v>
      </c>
      <c r="AC43" s="6">
        <v>335910</v>
      </c>
      <c r="AD43" s="10" t="str">
        <f>_xlfn.XLOOKUP(AC43,[1]Mapping!B:B,[1]Mapping!C:C,"")</f>
        <v xml:space="preserve">Battery Manufacturing </v>
      </c>
      <c r="AG43" s="6" t="s">
        <v>1239</v>
      </c>
      <c r="AH43" s="6" t="s">
        <v>1240</v>
      </c>
      <c r="AI43" s="6" t="s">
        <v>1240</v>
      </c>
      <c r="AJ43" s="6" t="s">
        <v>1241</v>
      </c>
      <c r="AK43" s="6" t="s">
        <v>1242</v>
      </c>
      <c r="AL43" s="6" t="s">
        <v>219</v>
      </c>
      <c r="AM43" s="6" t="s">
        <v>220</v>
      </c>
      <c r="AN43" s="6" t="s">
        <v>221</v>
      </c>
      <c r="AO43" s="6" t="s">
        <v>222</v>
      </c>
      <c r="AQ43" s="6" t="s">
        <v>1243</v>
      </c>
      <c r="AR43" s="6" t="s">
        <v>1244</v>
      </c>
      <c r="AS43" s="6" t="s">
        <v>1245</v>
      </c>
      <c r="AT43" s="6">
        <v>2720</v>
      </c>
      <c r="AU43" s="6" t="s">
        <v>1246</v>
      </c>
      <c r="AV43" s="6">
        <v>27.2</v>
      </c>
      <c r="AW43" s="6" t="s">
        <v>1246</v>
      </c>
      <c r="AX43" s="6" t="s">
        <v>1247</v>
      </c>
      <c r="AY43" s="6" t="s">
        <v>1248</v>
      </c>
      <c r="AZ43" s="6" t="s">
        <v>1249</v>
      </c>
      <c r="BA43" s="6" t="s">
        <v>1250</v>
      </c>
      <c r="BB43" s="6" t="s">
        <v>1251</v>
      </c>
      <c r="BC43" s="6" t="s">
        <v>1250</v>
      </c>
      <c r="BD43" s="6" t="s">
        <v>1252</v>
      </c>
      <c r="BE43" s="6" t="str">
        <f t="shared" si="0"/>
        <v>eco-stor.com</v>
      </c>
      <c r="BF43" s="6" t="str">
        <f t="shared" si="1"/>
        <v>com</v>
      </c>
      <c r="BG43" s="6" t="s">
        <v>101</v>
      </c>
      <c r="BK43" s="6" t="s">
        <v>1253</v>
      </c>
      <c r="BP43" s="6" t="s">
        <v>1254</v>
      </c>
      <c r="BQ43" s="6" t="s">
        <v>1255</v>
      </c>
      <c r="BR43" s="6" t="s">
        <v>105</v>
      </c>
    </row>
    <row r="44" spans="1:70" ht="45" customHeight="1" x14ac:dyDescent="0.25">
      <c r="A44" s="6">
        <v>43</v>
      </c>
      <c r="B44" s="7" t="s">
        <v>1256</v>
      </c>
      <c r="C44" s="8" t="s">
        <v>1257</v>
      </c>
      <c r="D44" s="6" t="s">
        <v>1258</v>
      </c>
      <c r="E44" s="6" t="s">
        <v>1259</v>
      </c>
      <c r="F44" s="8" t="s">
        <v>1260</v>
      </c>
      <c r="G44" s="6" t="s">
        <v>840</v>
      </c>
      <c r="H44" s="6" t="s">
        <v>841</v>
      </c>
      <c r="I44" s="6" t="s">
        <v>842</v>
      </c>
      <c r="J44" s="6" t="s">
        <v>843</v>
      </c>
      <c r="K44" s="9" t="s">
        <v>1261</v>
      </c>
      <c r="L44" s="8" t="s">
        <v>1262</v>
      </c>
      <c r="M44" s="9">
        <v>1</v>
      </c>
      <c r="N44" s="6">
        <v>51.519710000000003</v>
      </c>
      <c r="O44" s="6">
        <v>-8.5029199999999999E-2</v>
      </c>
      <c r="P44" s="6" t="s">
        <v>1263</v>
      </c>
      <c r="Q44" s="6">
        <v>6</v>
      </c>
      <c r="R44" s="6" t="s">
        <v>79</v>
      </c>
      <c r="T44" s="6"/>
      <c r="X44" s="6" t="s">
        <v>1264</v>
      </c>
      <c r="Y44" s="6" t="s">
        <v>1265</v>
      </c>
      <c r="Z44" s="6" t="s">
        <v>1266</v>
      </c>
      <c r="AA44" s="6" t="s">
        <v>1267</v>
      </c>
      <c r="AC44" s="6">
        <v>518210</v>
      </c>
      <c r="AD44" s="10" t="str">
        <f>_xlfn.XLOOKUP(AC44,[1]Mapping!B:B,[1]Mapping!C:C,"")</f>
        <v>Computing Infrastructure Providers, Data Processing, Web Hosting, and Related Services</v>
      </c>
      <c r="AG44" s="6" t="s">
        <v>173</v>
      </c>
      <c r="AH44" s="6" t="s">
        <v>86</v>
      </c>
      <c r="AI44" s="6" t="s">
        <v>87</v>
      </c>
      <c r="AJ44" s="6" t="s">
        <v>174</v>
      </c>
      <c r="AK44" s="6" t="s">
        <v>175</v>
      </c>
      <c r="AL44" s="6" t="s">
        <v>176</v>
      </c>
      <c r="AM44" s="6" t="s">
        <v>177</v>
      </c>
      <c r="AN44" s="6" t="s">
        <v>91</v>
      </c>
      <c r="AO44" s="6" t="s">
        <v>92</v>
      </c>
      <c r="AQ44" s="6" t="s">
        <v>178</v>
      </c>
      <c r="AR44" s="6" t="s">
        <v>179</v>
      </c>
      <c r="AT44" s="6" t="s">
        <v>181</v>
      </c>
      <c r="AU44" s="6" t="s">
        <v>182</v>
      </c>
      <c r="AV44" s="6" t="s">
        <v>183</v>
      </c>
      <c r="AW44" s="6" t="s">
        <v>184</v>
      </c>
      <c r="AY44" s="6">
        <v>33158045471</v>
      </c>
      <c r="AZ44" s="6" t="s">
        <v>1268</v>
      </c>
      <c r="BA44" s="6" t="s">
        <v>1269</v>
      </c>
      <c r="BD44" s="6" t="s">
        <v>1270</v>
      </c>
      <c r="BE44" s="6" t="str">
        <f t="shared" si="0"/>
        <v>appdynamics.com</v>
      </c>
      <c r="BF44" s="6" t="str">
        <f t="shared" si="1"/>
        <v>com</v>
      </c>
      <c r="BG44" s="6" t="s">
        <v>101</v>
      </c>
      <c r="BH44" s="6" t="s">
        <v>1271</v>
      </c>
      <c r="BI44" s="6" t="s">
        <v>1272</v>
      </c>
      <c r="BJ44" s="6" t="s">
        <v>1273</v>
      </c>
      <c r="BK44" s="6" t="s">
        <v>1274</v>
      </c>
      <c r="BN44" s="6" t="s">
        <v>1275</v>
      </c>
      <c r="BP44" s="6" t="s">
        <v>1276</v>
      </c>
      <c r="BQ44" s="6" t="s">
        <v>1277</v>
      </c>
      <c r="BR44" s="6" t="s">
        <v>105</v>
      </c>
    </row>
    <row r="45" spans="1:70" ht="60" customHeight="1" x14ac:dyDescent="0.25">
      <c r="A45" s="6">
        <v>44</v>
      </c>
      <c r="B45" s="7" t="s">
        <v>484</v>
      </c>
      <c r="C45" s="8" t="s">
        <v>1278</v>
      </c>
      <c r="D45" s="6" t="s">
        <v>1279</v>
      </c>
      <c r="E45" s="6" t="s">
        <v>484</v>
      </c>
      <c r="F45" s="8" t="s">
        <v>1279</v>
      </c>
      <c r="G45" s="6" t="s">
        <v>570</v>
      </c>
      <c r="H45" s="6" t="s">
        <v>571</v>
      </c>
      <c r="I45" s="6" t="s">
        <v>1280</v>
      </c>
      <c r="J45" s="6" t="s">
        <v>1281</v>
      </c>
      <c r="K45" s="9" t="s">
        <v>1282</v>
      </c>
      <c r="L45" s="8" t="s">
        <v>1283</v>
      </c>
      <c r="N45" s="6">
        <v>51.90446</v>
      </c>
      <c r="O45" s="6">
        <v>8.5044400000000007</v>
      </c>
      <c r="P45" s="6" t="s">
        <v>1284</v>
      </c>
      <c r="Q45" s="6">
        <v>1</v>
      </c>
      <c r="R45" s="6" t="s">
        <v>79</v>
      </c>
      <c r="S45" s="6">
        <v>2009</v>
      </c>
      <c r="V45" s="6">
        <v>7</v>
      </c>
      <c r="X45" s="6" t="s">
        <v>1285</v>
      </c>
      <c r="AA45" s="6" t="s">
        <v>1286</v>
      </c>
      <c r="AC45" s="10">
        <v>423690</v>
      </c>
      <c r="AD45" s="10" t="str">
        <f>_xlfn.XLOOKUP(AC45,[1]Mapping!B:B,[1]Mapping!C:C,"")</f>
        <v xml:space="preserve">Other Electronic Parts and Equipment Merchant Wholesalers </v>
      </c>
      <c r="AE45" s="6">
        <v>423430</v>
      </c>
      <c r="AF45" s="6" t="s">
        <v>1287</v>
      </c>
      <c r="AG45" s="6" t="s">
        <v>1288</v>
      </c>
      <c r="AH45" s="6" t="s">
        <v>1289</v>
      </c>
      <c r="AI45" s="6" t="s">
        <v>1290</v>
      </c>
      <c r="AJ45" s="6" t="s">
        <v>1291</v>
      </c>
      <c r="AK45" s="6">
        <v>7371</v>
      </c>
      <c r="AL45" s="6" t="s">
        <v>1292</v>
      </c>
      <c r="AM45" s="6">
        <v>737100</v>
      </c>
      <c r="AN45" s="6" t="s">
        <v>1293</v>
      </c>
      <c r="AO45" s="6">
        <v>45430</v>
      </c>
      <c r="AQ45" s="6">
        <v>5045</v>
      </c>
      <c r="AR45" s="6" t="s">
        <v>1294</v>
      </c>
      <c r="AT45" s="6">
        <v>4651</v>
      </c>
      <c r="AU45" s="6" t="s">
        <v>1295</v>
      </c>
      <c r="AV45" s="6">
        <v>46.51</v>
      </c>
      <c r="AW45" s="6" t="s">
        <v>1296</v>
      </c>
      <c r="AY45" s="6" t="s">
        <v>1297</v>
      </c>
      <c r="AZ45" s="6" t="s">
        <v>1298</v>
      </c>
      <c r="BA45" s="6" t="s">
        <v>1299</v>
      </c>
      <c r="BD45" s="6" t="s">
        <v>1300</v>
      </c>
      <c r="BE45" s="6" t="str">
        <f t="shared" si="0"/>
        <v>apple.com</v>
      </c>
      <c r="BF45" s="6" t="str">
        <f t="shared" si="1"/>
        <v>com</v>
      </c>
      <c r="BG45" s="6" t="s">
        <v>101</v>
      </c>
      <c r="BQ45" s="6" t="s">
        <v>1301</v>
      </c>
      <c r="BR45" s="6" t="s">
        <v>105</v>
      </c>
    </row>
    <row r="46" spans="1:70" ht="45" customHeight="1" x14ac:dyDescent="0.25">
      <c r="A46" s="6">
        <v>46</v>
      </c>
      <c r="B46" s="7" t="s">
        <v>1302</v>
      </c>
      <c r="C46" s="8" t="s">
        <v>1303</v>
      </c>
      <c r="D46" s="6" t="s">
        <v>1304</v>
      </c>
      <c r="E46" s="8" t="s">
        <v>484</v>
      </c>
      <c r="F46" s="8" t="s">
        <v>484</v>
      </c>
      <c r="G46" s="6" t="s">
        <v>612</v>
      </c>
      <c r="H46" s="6" t="s">
        <v>613</v>
      </c>
      <c r="I46" s="6" t="s">
        <v>1305</v>
      </c>
      <c r="J46" s="6" t="s">
        <v>752</v>
      </c>
      <c r="K46" s="9">
        <v>50470</v>
      </c>
      <c r="L46" s="8" t="s">
        <v>1306</v>
      </c>
      <c r="N46" s="6">
        <v>3.1363305000000001</v>
      </c>
      <c r="O46" s="6">
        <v>101.6865576</v>
      </c>
      <c r="P46" s="6" t="s">
        <v>1307</v>
      </c>
      <c r="Q46" s="6">
        <v>1</v>
      </c>
      <c r="T46" s="6"/>
      <c r="X46" s="6" t="s">
        <v>1308</v>
      </c>
      <c r="Y46" s="6" t="s">
        <v>1309</v>
      </c>
      <c r="Z46" s="6" t="s">
        <v>1310</v>
      </c>
      <c r="AA46" s="6" t="s">
        <v>1311</v>
      </c>
      <c r="AB46" s="6" t="s">
        <v>1312</v>
      </c>
      <c r="AC46" s="6">
        <v>423430</v>
      </c>
      <c r="AD46" s="10" t="str">
        <f>_xlfn.XLOOKUP(AC46,[1]Mapping!B:B,[1]Mapping!C:C,"")</f>
        <v xml:space="preserve">Computer and Computer Peripheral Equipment and Software Merchant Wholesalers </v>
      </c>
      <c r="AE46" s="6" t="s">
        <v>1313</v>
      </c>
      <c r="AF46" s="6" t="s">
        <v>964</v>
      </c>
      <c r="AG46" s="6" t="s">
        <v>1314</v>
      </c>
      <c r="AH46" s="6" t="s">
        <v>1315</v>
      </c>
      <c r="AI46" s="6" t="s">
        <v>1316</v>
      </c>
      <c r="AQ46" s="6">
        <v>5045</v>
      </c>
      <c r="AR46" s="6" t="s">
        <v>1294</v>
      </c>
      <c r="AT46" s="6">
        <v>4651</v>
      </c>
      <c r="AU46" s="6" t="s">
        <v>1296</v>
      </c>
      <c r="AV46" s="6">
        <v>46.51</v>
      </c>
      <c r="AW46" s="6" t="s">
        <v>1296</v>
      </c>
      <c r="AY46" s="6" t="s">
        <v>1317</v>
      </c>
      <c r="AZ46" s="6">
        <v>60322657000</v>
      </c>
      <c r="BD46" s="6" t="s">
        <v>1318</v>
      </c>
      <c r="BE46" s="6" t="str">
        <f t="shared" si="0"/>
        <v>apple.com</v>
      </c>
      <c r="BF46" s="6" t="str">
        <f t="shared" si="1"/>
        <v>com</v>
      </c>
      <c r="BG46" s="6" t="s">
        <v>101</v>
      </c>
      <c r="BQ46" s="6" t="s">
        <v>1319</v>
      </c>
      <c r="BR46" s="6" t="s">
        <v>105</v>
      </c>
    </row>
    <row r="47" spans="1:70" ht="45" customHeight="1" x14ac:dyDescent="0.25">
      <c r="A47" s="6">
        <v>47</v>
      </c>
      <c r="B47" s="7" t="s">
        <v>1320</v>
      </c>
      <c r="C47" s="8" t="s">
        <v>1321</v>
      </c>
      <c r="D47" s="6" t="s">
        <v>1322</v>
      </c>
      <c r="E47" s="6" t="s">
        <v>521</v>
      </c>
      <c r="F47" s="8" t="s">
        <v>1323</v>
      </c>
      <c r="G47" s="6" t="s">
        <v>1324</v>
      </c>
      <c r="H47" s="6" t="s">
        <v>1325</v>
      </c>
      <c r="I47" s="6" t="s">
        <v>1326</v>
      </c>
      <c r="J47" s="6" t="s">
        <v>1327</v>
      </c>
      <c r="K47" s="9">
        <v>10330</v>
      </c>
      <c r="L47" s="8" t="s">
        <v>1328</v>
      </c>
      <c r="M47" s="9" t="s">
        <v>1329</v>
      </c>
      <c r="N47" s="6">
        <v>13.7460778</v>
      </c>
      <c r="O47" s="6">
        <v>100.5382688</v>
      </c>
      <c r="P47" s="6" t="s">
        <v>1330</v>
      </c>
      <c r="Q47" s="6">
        <v>1</v>
      </c>
      <c r="R47" s="6" t="s">
        <v>79</v>
      </c>
      <c r="T47" s="6">
        <v>275703</v>
      </c>
      <c r="U47" s="6" t="s">
        <v>80</v>
      </c>
      <c r="V47" s="6">
        <v>15</v>
      </c>
      <c r="W47" s="6" t="s">
        <v>80</v>
      </c>
      <c r="X47" s="6" t="s">
        <v>1331</v>
      </c>
      <c r="Y47" s="6" t="s">
        <v>1332</v>
      </c>
      <c r="Z47" s="6" t="s">
        <v>1333</v>
      </c>
      <c r="AA47" s="6" t="s">
        <v>1334</v>
      </c>
      <c r="AC47" s="6">
        <v>541511</v>
      </c>
      <c r="AD47" s="10" t="str">
        <f>_xlfn.XLOOKUP(AC47,[1]Mapping!B:B,[1]Mapping!C:C,"")</f>
        <v xml:space="preserve">Custom Computer Programming Services </v>
      </c>
      <c r="AG47" s="6" t="s">
        <v>1335</v>
      </c>
      <c r="AH47" s="6" t="s">
        <v>1336</v>
      </c>
      <c r="AI47" s="6" t="s">
        <v>500</v>
      </c>
      <c r="AJ47" s="6" t="s">
        <v>174</v>
      </c>
      <c r="AK47" s="6" t="s">
        <v>175</v>
      </c>
      <c r="AL47" s="6" t="s">
        <v>176</v>
      </c>
      <c r="AM47" s="6" t="s">
        <v>177</v>
      </c>
      <c r="AN47" s="6" t="s">
        <v>91</v>
      </c>
      <c r="AO47" s="6" t="s">
        <v>92</v>
      </c>
      <c r="AQ47" s="6">
        <v>7371</v>
      </c>
      <c r="AR47" s="6" t="s">
        <v>504</v>
      </c>
      <c r="AS47" s="6" t="s">
        <v>1337</v>
      </c>
      <c r="AT47" s="6">
        <v>6201</v>
      </c>
      <c r="AU47" s="6" t="s">
        <v>505</v>
      </c>
      <c r="AV47" s="6">
        <v>62.01</v>
      </c>
      <c r="AW47" s="6" t="s">
        <v>505</v>
      </c>
      <c r="AX47" s="6" t="s">
        <v>1338</v>
      </c>
      <c r="AY47" s="6" t="s">
        <v>1339</v>
      </c>
      <c r="AZ47" s="6" t="s">
        <v>1340</v>
      </c>
      <c r="BA47" s="6" t="s">
        <v>1341</v>
      </c>
      <c r="BD47" s="6" t="s">
        <v>1342</v>
      </c>
      <c r="BE47" s="6" t="str">
        <f t="shared" si="0"/>
        <v>apple.co.th</v>
      </c>
      <c r="BF47" s="6" t="str">
        <f t="shared" si="1"/>
        <v>th</v>
      </c>
      <c r="BG47" s="6" t="s">
        <v>101</v>
      </c>
      <c r="BH47" s="6" t="s">
        <v>1343</v>
      </c>
      <c r="BP47" s="6" t="s">
        <v>1344</v>
      </c>
      <c r="BQ47" s="6" t="s">
        <v>1345</v>
      </c>
      <c r="BR47" s="6" t="s">
        <v>105</v>
      </c>
    </row>
    <row r="48" spans="1:70" ht="45" customHeight="1" x14ac:dyDescent="0.25">
      <c r="A48" s="6">
        <v>48</v>
      </c>
      <c r="B48" s="7" t="s">
        <v>1346</v>
      </c>
      <c r="C48" s="8" t="s">
        <v>1347</v>
      </c>
      <c r="D48" s="6" t="s">
        <v>1348</v>
      </c>
      <c r="E48" s="6" t="s">
        <v>548</v>
      </c>
      <c r="F48" s="8" t="s">
        <v>1349</v>
      </c>
      <c r="G48" s="6" t="s">
        <v>160</v>
      </c>
      <c r="H48" s="6" t="s">
        <v>161</v>
      </c>
      <c r="I48" s="6" t="s">
        <v>281</v>
      </c>
      <c r="J48" s="6" t="s">
        <v>1350</v>
      </c>
      <c r="K48" s="9" t="s">
        <v>1351</v>
      </c>
      <c r="L48" s="8" t="s">
        <v>1352</v>
      </c>
      <c r="M48" s="9">
        <v>134</v>
      </c>
      <c r="N48" s="6">
        <v>59.373489900000003</v>
      </c>
      <c r="O48" s="6">
        <v>18.007647599999999</v>
      </c>
      <c r="P48" s="6" t="s">
        <v>1353</v>
      </c>
      <c r="Q48" s="6">
        <v>1</v>
      </c>
      <c r="R48" s="6" t="s">
        <v>79</v>
      </c>
      <c r="S48" s="6">
        <v>2017</v>
      </c>
      <c r="T48" s="6">
        <v>1498524</v>
      </c>
      <c r="U48" s="6" t="s">
        <v>80</v>
      </c>
      <c r="V48" s="6">
        <v>3</v>
      </c>
      <c r="W48" s="6" t="s">
        <v>167</v>
      </c>
      <c r="X48" s="6" t="s">
        <v>1354</v>
      </c>
      <c r="Y48" s="6" t="s">
        <v>1355</v>
      </c>
      <c r="Z48" s="6" t="s">
        <v>1356</v>
      </c>
      <c r="AA48" s="6" t="s">
        <v>1357</v>
      </c>
      <c r="AB48" s="6" t="s">
        <v>1358</v>
      </c>
      <c r="AC48" s="6">
        <v>333241</v>
      </c>
      <c r="AD48" s="10" t="str">
        <f>_xlfn.XLOOKUP(AC48,[1]Mapping!B:B,[1]Mapping!C:C,"")</f>
        <v xml:space="preserve">Food Product Machinery Manufacturing </v>
      </c>
      <c r="AG48" s="6" t="s">
        <v>1359</v>
      </c>
      <c r="AH48" s="6" t="s">
        <v>1360</v>
      </c>
      <c r="AI48" s="6" t="s">
        <v>466</v>
      </c>
      <c r="AJ48" s="6" t="s">
        <v>467</v>
      </c>
      <c r="AK48" s="6" t="s">
        <v>468</v>
      </c>
      <c r="AL48" s="6" t="s">
        <v>434</v>
      </c>
      <c r="AM48" s="6" t="s">
        <v>435</v>
      </c>
      <c r="AN48" s="6" t="s">
        <v>436</v>
      </c>
      <c r="AO48" s="6" t="s">
        <v>437</v>
      </c>
      <c r="AQ48" s="6">
        <v>3556</v>
      </c>
      <c r="AR48" s="6" t="s">
        <v>1361</v>
      </c>
      <c r="AT48" s="6" t="s">
        <v>1362</v>
      </c>
      <c r="AU48" s="6" t="s">
        <v>1363</v>
      </c>
      <c r="AV48" s="6" t="s">
        <v>1364</v>
      </c>
      <c r="AW48" s="6" t="s">
        <v>1365</v>
      </c>
      <c r="AY48" s="6" t="s">
        <v>1366</v>
      </c>
      <c r="AZ48" s="6" t="s">
        <v>1367</v>
      </c>
      <c r="BA48" s="6" t="s">
        <v>1368</v>
      </c>
      <c r="BB48" s="6" t="s">
        <v>1369</v>
      </c>
      <c r="BC48" s="6" t="s">
        <v>1370</v>
      </c>
      <c r="BD48" s="6" t="s">
        <v>1371</v>
      </c>
      <c r="BE48" s="6" t="str">
        <f t="shared" si="0"/>
        <v>arelion.com</v>
      </c>
      <c r="BF48" s="6" t="str">
        <f t="shared" si="1"/>
        <v>com</v>
      </c>
      <c r="BG48" s="6" t="s">
        <v>150</v>
      </c>
      <c r="BH48" s="6" t="s">
        <v>1372</v>
      </c>
      <c r="BJ48" s="6" t="s">
        <v>1373</v>
      </c>
      <c r="BK48" s="6" t="s">
        <v>1374</v>
      </c>
      <c r="BQ48" s="6" t="s">
        <v>1375</v>
      </c>
      <c r="BR48" s="6" t="s">
        <v>105</v>
      </c>
    </row>
    <row r="49" spans="1:70" ht="45" customHeight="1" x14ac:dyDescent="0.25">
      <c r="A49" s="6">
        <v>49</v>
      </c>
      <c r="B49" s="7" t="s">
        <v>1376</v>
      </c>
      <c r="C49" s="8" t="s">
        <v>1377</v>
      </c>
      <c r="D49" s="6" t="s">
        <v>1348</v>
      </c>
      <c r="E49" s="6" t="s">
        <v>569</v>
      </c>
      <c r="F49" s="8" t="s">
        <v>1378</v>
      </c>
      <c r="G49" s="6" t="s">
        <v>160</v>
      </c>
      <c r="H49" s="6" t="s">
        <v>161</v>
      </c>
      <c r="I49" s="6" t="s">
        <v>281</v>
      </c>
      <c r="J49" s="6" t="s">
        <v>1350</v>
      </c>
      <c r="K49" s="9" t="s">
        <v>1351</v>
      </c>
      <c r="L49" s="8" t="s">
        <v>1352</v>
      </c>
      <c r="M49" s="9">
        <v>134</v>
      </c>
      <c r="N49" s="6">
        <v>59.373489900000003</v>
      </c>
      <c r="O49" s="6">
        <v>18.007647599999999</v>
      </c>
      <c r="P49" s="6" t="s">
        <v>1379</v>
      </c>
      <c r="Q49" s="6">
        <v>27</v>
      </c>
      <c r="R49" s="6" t="s">
        <v>79</v>
      </c>
      <c r="S49" s="6">
        <v>1993</v>
      </c>
      <c r="T49" s="6">
        <v>454000000</v>
      </c>
      <c r="U49" s="6" t="s">
        <v>167</v>
      </c>
      <c r="V49" s="6">
        <v>530</v>
      </c>
      <c r="W49" s="6" t="s">
        <v>167</v>
      </c>
      <c r="X49" s="6" t="s">
        <v>1354</v>
      </c>
      <c r="Y49" s="6" t="s">
        <v>1380</v>
      </c>
      <c r="Z49" s="6" t="s">
        <v>1381</v>
      </c>
      <c r="AA49" s="6" t="s">
        <v>1382</v>
      </c>
      <c r="AB49" s="6" t="s">
        <v>1383</v>
      </c>
      <c r="AC49" s="6">
        <v>517810</v>
      </c>
      <c r="AD49" s="10" t="str">
        <f>_xlfn.XLOOKUP(AC49,[1]Mapping!B:B,[1]Mapping!C:C,"")</f>
        <v xml:space="preserve">All Other Telecommunications </v>
      </c>
      <c r="AG49" s="6" t="s">
        <v>89</v>
      </c>
      <c r="AH49" s="6" t="s">
        <v>86</v>
      </c>
      <c r="AI49" s="6" t="s">
        <v>87</v>
      </c>
      <c r="AJ49" s="6" t="s">
        <v>86</v>
      </c>
      <c r="AK49" s="6" t="s">
        <v>88</v>
      </c>
      <c r="AL49" s="6" t="s">
        <v>89</v>
      </c>
      <c r="AM49" s="6" t="s">
        <v>90</v>
      </c>
      <c r="AN49" s="6" t="s">
        <v>91</v>
      </c>
      <c r="AO49" s="6" t="s">
        <v>92</v>
      </c>
      <c r="AQ49" s="6" t="s">
        <v>1384</v>
      </c>
      <c r="AR49" s="6" t="s">
        <v>1385</v>
      </c>
      <c r="AT49" s="6">
        <v>6190</v>
      </c>
      <c r="AU49" s="6" t="s">
        <v>96</v>
      </c>
      <c r="AV49" s="6">
        <v>61.9</v>
      </c>
      <c r="AW49" s="6" t="s">
        <v>96</v>
      </c>
      <c r="AY49" s="6" t="s">
        <v>1366</v>
      </c>
      <c r="AZ49" s="6" t="s">
        <v>1386</v>
      </c>
      <c r="BA49" s="6" t="s">
        <v>1387</v>
      </c>
      <c r="BB49" s="6" t="s">
        <v>1388</v>
      </c>
      <c r="BC49" s="6" t="s">
        <v>1389</v>
      </c>
      <c r="BD49" s="6" t="s">
        <v>1371</v>
      </c>
      <c r="BE49" s="6" t="str">
        <f t="shared" si="0"/>
        <v>arelion.com</v>
      </c>
      <c r="BF49" s="6" t="str">
        <f t="shared" si="1"/>
        <v>com</v>
      </c>
      <c r="BG49" s="6" t="s">
        <v>101</v>
      </c>
      <c r="BH49" s="6" t="s">
        <v>1390</v>
      </c>
      <c r="BI49" s="6" t="s">
        <v>1391</v>
      </c>
      <c r="BK49" s="6" t="s">
        <v>1392</v>
      </c>
      <c r="BN49" s="6" t="s">
        <v>1393</v>
      </c>
      <c r="BP49" s="6" t="s">
        <v>1394</v>
      </c>
      <c r="BQ49" s="6" t="s">
        <v>1395</v>
      </c>
      <c r="BR49" s="6" t="s">
        <v>105</v>
      </c>
    </row>
    <row r="50" spans="1:70" ht="45" customHeight="1" x14ac:dyDescent="0.25">
      <c r="A50" s="6">
        <v>50</v>
      </c>
      <c r="B50" s="7" t="s">
        <v>1396</v>
      </c>
      <c r="C50" s="8" t="s">
        <v>1397</v>
      </c>
      <c r="D50" s="6" t="s">
        <v>1398</v>
      </c>
      <c r="E50" s="6" t="s">
        <v>593</v>
      </c>
      <c r="F50" s="8" t="s">
        <v>1399</v>
      </c>
      <c r="G50" s="6" t="s">
        <v>1400</v>
      </c>
      <c r="H50" s="6" t="s">
        <v>1401</v>
      </c>
      <c r="I50" s="6" t="s">
        <v>1402</v>
      </c>
      <c r="J50" s="6" t="s">
        <v>1403</v>
      </c>
      <c r="K50" s="9">
        <v>74400</v>
      </c>
      <c r="L50" s="8" t="s">
        <v>1404</v>
      </c>
      <c r="N50" s="6">
        <v>24.854625599999999</v>
      </c>
      <c r="O50" s="6">
        <v>67.028753299999991</v>
      </c>
      <c r="P50" s="6" t="s">
        <v>1405</v>
      </c>
      <c r="Q50" s="6">
        <v>7</v>
      </c>
      <c r="R50" s="6" t="s">
        <v>79</v>
      </c>
      <c r="S50" s="6">
        <v>2004</v>
      </c>
      <c r="T50" s="6">
        <v>2116657</v>
      </c>
      <c r="U50" s="6" t="s">
        <v>80</v>
      </c>
      <c r="V50" s="6">
        <v>420</v>
      </c>
      <c r="W50" s="6" t="s">
        <v>167</v>
      </c>
      <c r="X50" s="6" t="s">
        <v>1406</v>
      </c>
      <c r="Y50" s="6" t="s">
        <v>1407</v>
      </c>
      <c r="Z50" s="6" t="s">
        <v>1408</v>
      </c>
      <c r="AA50" s="6" t="s">
        <v>1409</v>
      </c>
      <c r="AB50" s="6" t="s">
        <v>1410</v>
      </c>
      <c r="AC50" s="6">
        <v>516120</v>
      </c>
      <c r="AD50" s="10" t="str">
        <f>_xlfn.XLOOKUP(AC50,[1]Mapping!B:B,[1]Mapping!C:C,"")</f>
        <v>Television Broadcasting Stations</v>
      </c>
      <c r="AG50" s="6" t="s">
        <v>1411</v>
      </c>
      <c r="AH50" s="6" t="s">
        <v>1411</v>
      </c>
      <c r="AI50" s="6" t="s">
        <v>1412</v>
      </c>
      <c r="AJ50" s="6" t="s">
        <v>1413</v>
      </c>
      <c r="AK50" s="6" t="s">
        <v>1414</v>
      </c>
      <c r="AL50" s="6" t="s">
        <v>502</v>
      </c>
      <c r="AM50" s="6" t="s">
        <v>503</v>
      </c>
      <c r="AN50" s="6" t="s">
        <v>297</v>
      </c>
      <c r="AO50" s="6" t="s">
        <v>298</v>
      </c>
      <c r="AQ50" s="6">
        <v>4833</v>
      </c>
      <c r="AR50" s="6" t="s">
        <v>1415</v>
      </c>
      <c r="AS50" s="6" t="s">
        <v>1416</v>
      </c>
      <c r="AT50" s="6" t="s">
        <v>1417</v>
      </c>
      <c r="AU50" s="6" t="s">
        <v>1418</v>
      </c>
      <c r="AV50" s="6" t="s">
        <v>1419</v>
      </c>
      <c r="AW50" s="6" t="s">
        <v>1418</v>
      </c>
      <c r="AX50" s="6" t="s">
        <v>1420</v>
      </c>
      <c r="AY50" s="6" t="s">
        <v>1421</v>
      </c>
      <c r="AZ50" s="6" t="s">
        <v>1422</v>
      </c>
      <c r="BA50" s="6" t="s">
        <v>1423</v>
      </c>
      <c r="BD50" s="6" t="s">
        <v>1424</v>
      </c>
      <c r="BE50" s="6" t="str">
        <f t="shared" si="0"/>
        <v>arynews.tv</v>
      </c>
      <c r="BF50" s="6" t="str">
        <f t="shared" si="1"/>
        <v>tv</v>
      </c>
      <c r="BG50" s="6" t="s">
        <v>101</v>
      </c>
      <c r="BH50" s="6" t="s">
        <v>1425</v>
      </c>
      <c r="BI50" s="6" t="s">
        <v>1426</v>
      </c>
      <c r="BJ50" s="6" t="s">
        <v>1427</v>
      </c>
      <c r="BK50" s="6" t="s">
        <v>1428</v>
      </c>
      <c r="BL50" s="6" t="s">
        <v>1429</v>
      </c>
      <c r="BM50" s="6" t="s">
        <v>1430</v>
      </c>
      <c r="BN50" s="6" t="s">
        <v>1431</v>
      </c>
      <c r="BP50" s="6" t="s">
        <v>1432</v>
      </c>
      <c r="BQ50" s="6" t="s">
        <v>1433</v>
      </c>
      <c r="BR50" s="6" t="s">
        <v>105</v>
      </c>
    </row>
    <row r="51" spans="1:70" ht="45" customHeight="1" x14ac:dyDescent="0.25">
      <c r="A51" s="6">
        <v>51</v>
      </c>
      <c r="B51" s="7" t="s">
        <v>1434</v>
      </c>
      <c r="C51" s="8" t="s">
        <v>1435</v>
      </c>
      <c r="D51" s="6" t="s">
        <v>1436</v>
      </c>
      <c r="E51" s="6" t="s">
        <v>611</v>
      </c>
      <c r="F51" s="8" t="s">
        <v>1437</v>
      </c>
      <c r="G51" s="6" t="s">
        <v>73</v>
      </c>
      <c r="H51" s="6" t="s">
        <v>74</v>
      </c>
      <c r="I51" s="6"/>
      <c r="J51" s="6" t="s">
        <v>486</v>
      </c>
      <c r="K51" s="9">
        <v>2300</v>
      </c>
      <c r="L51" s="8" t="s">
        <v>1176</v>
      </c>
      <c r="M51" s="9">
        <v>108</v>
      </c>
      <c r="N51" s="6">
        <v>55.627132699999997</v>
      </c>
      <c r="O51" s="6">
        <v>12.577595199999999</v>
      </c>
      <c r="P51" s="6" t="s">
        <v>1438</v>
      </c>
      <c r="Q51" s="6">
        <v>4</v>
      </c>
      <c r="R51" s="6" t="s">
        <v>79</v>
      </c>
      <c r="S51" s="6">
        <v>1999</v>
      </c>
      <c r="T51" s="6">
        <v>5400000</v>
      </c>
      <c r="U51" s="6" t="s">
        <v>167</v>
      </c>
      <c r="V51" s="6">
        <v>71</v>
      </c>
      <c r="W51" s="6" t="s">
        <v>167</v>
      </c>
      <c r="X51" s="6" t="s">
        <v>1439</v>
      </c>
      <c r="Y51" s="6" t="s">
        <v>1440</v>
      </c>
      <c r="Z51" s="6" t="s">
        <v>1441</v>
      </c>
      <c r="AA51" s="6" t="s">
        <v>1442</v>
      </c>
      <c r="AB51" s="6" t="s">
        <v>1443</v>
      </c>
      <c r="AC51" s="6">
        <v>518210</v>
      </c>
      <c r="AD51" s="10" t="str">
        <f>_xlfn.XLOOKUP(AC51,[1]Mapping!B:B,[1]Mapping!C:C,"")</f>
        <v>Computing Infrastructure Providers, Data Processing, Web Hosting, and Related Services</v>
      </c>
      <c r="AG51" s="6" t="s">
        <v>173</v>
      </c>
      <c r="AH51" s="6" t="s">
        <v>86</v>
      </c>
      <c r="AI51" s="6" t="s">
        <v>87</v>
      </c>
      <c r="AJ51" s="6" t="s">
        <v>174</v>
      </c>
      <c r="AK51" s="6" t="s">
        <v>175</v>
      </c>
      <c r="AL51" s="6" t="s">
        <v>176</v>
      </c>
      <c r="AM51" s="6" t="s">
        <v>177</v>
      </c>
      <c r="AN51" s="6" t="s">
        <v>91</v>
      </c>
      <c r="AO51" s="6" t="s">
        <v>92</v>
      </c>
      <c r="AQ51" s="6" t="s">
        <v>178</v>
      </c>
      <c r="AR51" s="6" t="s">
        <v>179</v>
      </c>
      <c r="AT51" s="6" t="s">
        <v>181</v>
      </c>
      <c r="AU51" s="6" t="s">
        <v>182</v>
      </c>
      <c r="AV51" s="6" t="s">
        <v>183</v>
      </c>
      <c r="AW51" s="6" t="s">
        <v>184</v>
      </c>
      <c r="AY51" s="6" t="s">
        <v>1444</v>
      </c>
      <c r="AZ51" s="6" t="s">
        <v>1445</v>
      </c>
      <c r="BA51" s="6" t="s">
        <v>1446</v>
      </c>
      <c r="BB51" s="6" t="s">
        <v>1447</v>
      </c>
      <c r="BD51" s="6" t="s">
        <v>1448</v>
      </c>
      <c r="BE51" s="6" t="str">
        <f t="shared" si="0"/>
        <v>ascio.com</v>
      </c>
      <c r="BF51" s="6" t="str">
        <f t="shared" si="1"/>
        <v>com</v>
      </c>
      <c r="BG51" s="6" t="s">
        <v>101</v>
      </c>
      <c r="BH51" s="6" t="s">
        <v>1449</v>
      </c>
      <c r="BI51" s="6" t="s">
        <v>1450</v>
      </c>
      <c r="BK51" s="6" t="s">
        <v>1451</v>
      </c>
      <c r="BP51" s="6" t="s">
        <v>1452</v>
      </c>
      <c r="BQ51" s="6" t="s">
        <v>1453</v>
      </c>
      <c r="BR51" s="6" t="s">
        <v>105</v>
      </c>
    </row>
    <row r="52" spans="1:70" ht="45" customHeight="1" x14ac:dyDescent="0.25">
      <c r="A52" s="6">
        <v>52</v>
      </c>
      <c r="B52" s="7" t="s">
        <v>1454</v>
      </c>
      <c r="C52" s="8" t="s">
        <v>1455</v>
      </c>
      <c r="D52" s="6" t="s">
        <v>1456</v>
      </c>
      <c r="E52" s="6" t="s">
        <v>639</v>
      </c>
      <c r="F52" s="8" t="s">
        <v>1457</v>
      </c>
      <c r="G52" s="6" t="s">
        <v>73</v>
      </c>
      <c r="H52" s="6" t="s">
        <v>74</v>
      </c>
      <c r="I52" s="6"/>
      <c r="J52" s="6" t="s">
        <v>486</v>
      </c>
      <c r="K52" s="9">
        <v>1353</v>
      </c>
      <c r="L52" s="8" t="s">
        <v>1458</v>
      </c>
      <c r="M52" s="9">
        <v>5</v>
      </c>
      <c r="N52" s="6">
        <v>55.687847599999998</v>
      </c>
      <c r="O52" s="6">
        <v>12.570013599999999</v>
      </c>
      <c r="P52" s="6" t="s">
        <v>1459</v>
      </c>
      <c r="Q52" s="6">
        <v>1</v>
      </c>
      <c r="R52" s="6" t="s">
        <v>79</v>
      </c>
      <c r="T52" s="6">
        <v>1750343</v>
      </c>
      <c r="U52" s="6" t="s">
        <v>80</v>
      </c>
      <c r="V52" s="6">
        <v>15</v>
      </c>
      <c r="W52" s="6" t="s">
        <v>80</v>
      </c>
      <c r="X52" s="6" t="s">
        <v>1460</v>
      </c>
      <c r="Y52" s="6" t="s">
        <v>1461</v>
      </c>
      <c r="Z52" s="6" t="s">
        <v>1462</v>
      </c>
      <c r="AA52" s="6" t="s">
        <v>1463</v>
      </c>
      <c r="AB52" s="6" t="s">
        <v>1464</v>
      </c>
      <c r="AC52" s="6">
        <v>458110</v>
      </c>
      <c r="AD52" s="10" t="str">
        <f>_xlfn.XLOOKUP(AC52,[1]Mapping!B:B,[1]Mapping!C:C,"")</f>
        <v xml:space="preserve">Clothing and Clothing Accessories Retailers </v>
      </c>
      <c r="AG52" s="6" t="s">
        <v>1465</v>
      </c>
      <c r="AH52" s="6" t="s">
        <v>1466</v>
      </c>
      <c r="AI52" s="6" t="s">
        <v>1467</v>
      </c>
      <c r="AJ52" s="6" t="s">
        <v>1467</v>
      </c>
      <c r="AK52" s="6" t="s">
        <v>1468</v>
      </c>
      <c r="AL52" s="6" t="s">
        <v>1469</v>
      </c>
      <c r="AM52" s="6" t="s">
        <v>1470</v>
      </c>
      <c r="AN52" s="6" t="s">
        <v>259</v>
      </c>
      <c r="AO52" s="6" t="s">
        <v>260</v>
      </c>
      <c r="AQ52" s="6" t="s">
        <v>1471</v>
      </c>
      <c r="AR52" s="6" t="s">
        <v>1472</v>
      </c>
      <c r="AS52" s="6" t="s">
        <v>1473</v>
      </c>
      <c r="AT52" s="6" t="s">
        <v>1474</v>
      </c>
      <c r="AU52" s="6" t="s">
        <v>1475</v>
      </c>
      <c r="AV52" s="6" t="s">
        <v>1476</v>
      </c>
      <c r="AW52" s="6" t="s">
        <v>1477</v>
      </c>
      <c r="AX52" s="6" t="s">
        <v>1478</v>
      </c>
      <c r="AY52" s="6" t="s">
        <v>1479</v>
      </c>
      <c r="AZ52" s="6" t="s">
        <v>1480</v>
      </c>
      <c r="BA52" s="6" t="s">
        <v>1481</v>
      </c>
      <c r="BB52" s="6" t="s">
        <v>1482</v>
      </c>
      <c r="BD52" s="6" t="s">
        <v>1483</v>
      </c>
      <c r="BE52" s="6" t="str">
        <f t="shared" si="0"/>
        <v>nias.ku.dk</v>
      </c>
      <c r="BF52" s="6" t="str">
        <f t="shared" si="1"/>
        <v>dk</v>
      </c>
      <c r="BG52" s="6" t="s">
        <v>123</v>
      </c>
      <c r="BH52" s="6" t="s">
        <v>1484</v>
      </c>
      <c r="BI52" s="6" t="s">
        <v>1485</v>
      </c>
      <c r="BJ52" s="6" t="s">
        <v>1486</v>
      </c>
      <c r="BK52" s="6" t="s">
        <v>1487</v>
      </c>
      <c r="BN52" s="6" t="s">
        <v>1488</v>
      </c>
      <c r="BP52" s="6" t="s">
        <v>1489</v>
      </c>
      <c r="BQ52" s="6" t="s">
        <v>1490</v>
      </c>
      <c r="BR52" s="6" t="s">
        <v>105</v>
      </c>
    </row>
    <row r="53" spans="1:70" ht="45" customHeight="1" x14ac:dyDescent="0.25">
      <c r="A53" s="6">
        <v>53</v>
      </c>
      <c r="B53" s="7" t="s">
        <v>1491</v>
      </c>
      <c r="C53" s="8" t="s">
        <v>1492</v>
      </c>
      <c r="D53" s="6" t="s">
        <v>1491</v>
      </c>
      <c r="E53" s="6" t="s">
        <v>672</v>
      </c>
      <c r="F53" s="8" t="s">
        <v>1493</v>
      </c>
      <c r="G53" s="6" t="s">
        <v>73</v>
      </c>
      <c r="H53" s="6" t="s">
        <v>74</v>
      </c>
      <c r="I53" s="6"/>
      <c r="J53" s="6" t="s">
        <v>1494</v>
      </c>
      <c r="K53" s="9">
        <v>2750</v>
      </c>
      <c r="L53" s="8" t="s">
        <v>1495</v>
      </c>
      <c r="M53" s="9">
        <v>6</v>
      </c>
      <c r="N53" s="6">
        <v>55.729537899999997</v>
      </c>
      <c r="O53" s="6">
        <v>12.3882517</v>
      </c>
      <c r="P53" s="6" t="s">
        <v>1496</v>
      </c>
      <c r="Q53" s="6">
        <v>10</v>
      </c>
      <c r="R53" s="6" t="s">
        <v>79</v>
      </c>
      <c r="S53" s="6">
        <v>1968</v>
      </c>
      <c r="T53" s="6">
        <v>14100000</v>
      </c>
      <c r="U53" s="6" t="s">
        <v>167</v>
      </c>
      <c r="V53" s="6">
        <v>1400</v>
      </c>
      <c r="W53" s="6" t="s">
        <v>167</v>
      </c>
      <c r="X53" s="6" t="s">
        <v>1497</v>
      </c>
      <c r="Y53" s="6" t="s">
        <v>1498</v>
      </c>
      <c r="Z53" s="6" t="s">
        <v>1499</v>
      </c>
      <c r="AA53" s="6" t="s">
        <v>1500</v>
      </c>
      <c r="AB53" s="6" t="s">
        <v>1501</v>
      </c>
      <c r="AC53" s="6">
        <v>518210</v>
      </c>
      <c r="AD53" s="10" t="str">
        <f>_xlfn.XLOOKUP(AC53,[1]Mapping!B:B,[1]Mapping!C:C,"")</f>
        <v>Computing Infrastructure Providers, Data Processing, Web Hosting, and Related Services</v>
      </c>
      <c r="AG53" s="6" t="s">
        <v>173</v>
      </c>
      <c r="AH53" s="6" t="s">
        <v>86</v>
      </c>
      <c r="AI53" s="6" t="s">
        <v>87</v>
      </c>
      <c r="AJ53" s="6" t="s">
        <v>1502</v>
      </c>
      <c r="AK53" s="6" t="s">
        <v>1503</v>
      </c>
      <c r="AL53" s="6" t="s">
        <v>176</v>
      </c>
      <c r="AM53" s="6" t="s">
        <v>177</v>
      </c>
      <c r="AN53" s="6" t="s">
        <v>91</v>
      </c>
      <c r="AO53" s="6" t="s">
        <v>92</v>
      </c>
      <c r="AQ53" s="6" t="s">
        <v>178</v>
      </c>
      <c r="AR53" s="6" t="s">
        <v>179</v>
      </c>
      <c r="AS53" s="6" t="s">
        <v>1504</v>
      </c>
      <c r="AT53" s="6" t="s">
        <v>181</v>
      </c>
      <c r="AU53" s="6" t="s">
        <v>182</v>
      </c>
      <c r="AV53" s="6" t="s">
        <v>183</v>
      </c>
      <c r="AW53" s="6" t="s">
        <v>184</v>
      </c>
      <c r="AX53" s="6" t="s">
        <v>1505</v>
      </c>
      <c r="AY53" s="6" t="s">
        <v>1506</v>
      </c>
      <c r="AZ53" s="6" t="s">
        <v>1507</v>
      </c>
      <c r="BA53" s="6" t="s">
        <v>1508</v>
      </c>
      <c r="BB53" s="6" t="s">
        <v>1509</v>
      </c>
      <c r="BC53" s="6" t="s">
        <v>1510</v>
      </c>
      <c r="BD53" s="6" t="s">
        <v>1511</v>
      </c>
      <c r="BE53" s="6" t="str">
        <f t="shared" si="0"/>
        <v>atea.dk</v>
      </c>
      <c r="BF53" s="6" t="str">
        <f t="shared" si="1"/>
        <v>dk</v>
      </c>
      <c r="BG53" s="6" t="s">
        <v>123</v>
      </c>
      <c r="BH53" s="6" t="s">
        <v>1512</v>
      </c>
      <c r="BI53" s="6" t="s">
        <v>1513</v>
      </c>
      <c r="BJ53" s="6" t="s">
        <v>1514</v>
      </c>
      <c r="BK53" s="6" t="s">
        <v>1515</v>
      </c>
      <c r="BN53" s="6" t="s">
        <v>1516</v>
      </c>
      <c r="BP53" s="6" t="s">
        <v>1517</v>
      </c>
      <c r="BQ53" s="6" t="s">
        <v>1518</v>
      </c>
      <c r="BR53" s="6" t="s">
        <v>105</v>
      </c>
    </row>
    <row r="54" spans="1:70" ht="45" customHeight="1" x14ac:dyDescent="0.25">
      <c r="A54" s="6">
        <v>54</v>
      </c>
      <c r="B54" s="7" t="s">
        <v>1519</v>
      </c>
      <c r="C54" s="8" t="s">
        <v>1520</v>
      </c>
      <c r="D54" s="6" t="s">
        <v>1521</v>
      </c>
      <c r="E54" s="6" t="s">
        <v>700</v>
      </c>
      <c r="F54" s="8" t="s">
        <v>1522</v>
      </c>
      <c r="G54" s="6" t="s">
        <v>130</v>
      </c>
      <c r="H54" s="6" t="s">
        <v>131</v>
      </c>
      <c r="I54" s="6" t="s">
        <v>132</v>
      </c>
      <c r="J54" s="6" t="s">
        <v>132</v>
      </c>
      <c r="K54" s="9">
        <v>579</v>
      </c>
      <c r="L54" s="8" t="s">
        <v>1523</v>
      </c>
      <c r="M54" s="9">
        <v>5</v>
      </c>
      <c r="N54" s="6">
        <v>59.927823199999999</v>
      </c>
      <c r="O54" s="6">
        <v>10.798448</v>
      </c>
      <c r="P54" s="6" t="s">
        <v>1524</v>
      </c>
      <c r="Q54" s="6">
        <v>2</v>
      </c>
      <c r="R54" s="6" t="s">
        <v>906</v>
      </c>
      <c r="S54" s="6">
        <v>1968</v>
      </c>
      <c r="T54" s="6">
        <v>3700000000</v>
      </c>
      <c r="U54" s="6" t="s">
        <v>167</v>
      </c>
      <c r="V54" s="6">
        <v>160</v>
      </c>
      <c r="W54" s="6" t="s">
        <v>167</v>
      </c>
      <c r="X54" s="6" t="s">
        <v>1525</v>
      </c>
      <c r="Y54" s="6" t="s">
        <v>1526</v>
      </c>
      <c r="Z54" s="6" t="s">
        <v>1527</v>
      </c>
      <c r="AA54" s="6" t="s">
        <v>1528</v>
      </c>
      <c r="AB54" s="6" t="s">
        <v>1529</v>
      </c>
      <c r="AC54" s="6">
        <v>518210</v>
      </c>
      <c r="AD54" s="10" t="str">
        <f>_xlfn.XLOOKUP(AC54,[1]Mapping!B:B,[1]Mapping!C:C,"")</f>
        <v>Computing Infrastructure Providers, Data Processing, Web Hosting, and Related Services</v>
      </c>
      <c r="AG54" s="6" t="s">
        <v>173</v>
      </c>
      <c r="AH54" s="6" t="s">
        <v>86</v>
      </c>
      <c r="AI54" s="6" t="s">
        <v>87</v>
      </c>
      <c r="AQ54" s="6" t="s">
        <v>178</v>
      </c>
      <c r="AR54" s="6" t="s">
        <v>179</v>
      </c>
      <c r="AT54" s="6" t="s">
        <v>181</v>
      </c>
      <c r="AU54" s="6" t="s">
        <v>182</v>
      </c>
      <c r="AV54" s="6" t="s">
        <v>183</v>
      </c>
      <c r="AW54" s="6" t="s">
        <v>184</v>
      </c>
      <c r="AY54" s="6" t="s">
        <v>1530</v>
      </c>
      <c r="AZ54" s="6" t="s">
        <v>1531</v>
      </c>
      <c r="BD54" s="6" t="s">
        <v>1532</v>
      </c>
      <c r="BE54" s="6" t="str">
        <f t="shared" si="0"/>
        <v>atea.no</v>
      </c>
      <c r="BF54" s="6" t="str">
        <f t="shared" si="1"/>
        <v>no</v>
      </c>
      <c r="BG54" s="6" t="s">
        <v>101</v>
      </c>
      <c r="BH54" s="6" t="s">
        <v>1533</v>
      </c>
      <c r="BI54" s="6" t="s">
        <v>1513</v>
      </c>
      <c r="BJ54" s="6" t="s">
        <v>1534</v>
      </c>
      <c r="BK54" s="6" t="s">
        <v>1535</v>
      </c>
      <c r="BN54" s="6" t="s">
        <v>1536</v>
      </c>
      <c r="BP54" s="6" t="s">
        <v>1537</v>
      </c>
      <c r="BQ54" s="6" t="s">
        <v>1538</v>
      </c>
      <c r="BR54" s="6" t="s">
        <v>105</v>
      </c>
    </row>
    <row r="55" spans="1:70" ht="45" customHeight="1" x14ac:dyDescent="0.25">
      <c r="A55" s="6">
        <v>55</v>
      </c>
      <c r="B55" s="7" t="s">
        <v>1539</v>
      </c>
      <c r="C55" s="8" t="s">
        <v>1540</v>
      </c>
      <c r="D55" s="6" t="s">
        <v>1539</v>
      </c>
      <c r="E55" s="6" t="s">
        <v>1541</v>
      </c>
      <c r="F55" s="8" t="s">
        <v>1542</v>
      </c>
      <c r="G55" s="6" t="s">
        <v>160</v>
      </c>
      <c r="H55" s="6" t="s">
        <v>161</v>
      </c>
      <c r="I55" s="6" t="s">
        <v>281</v>
      </c>
      <c r="J55" s="6" t="s">
        <v>1543</v>
      </c>
      <c r="K55" s="9" t="s">
        <v>1544</v>
      </c>
      <c r="L55" s="8" t="s">
        <v>1545</v>
      </c>
      <c r="M55" s="9">
        <v>1</v>
      </c>
      <c r="N55" s="6">
        <v>59.398108699999987</v>
      </c>
      <c r="O55" s="6">
        <v>17.948001300000001</v>
      </c>
      <c r="P55" s="6" t="s">
        <v>1546</v>
      </c>
      <c r="Q55" s="6">
        <v>17</v>
      </c>
      <c r="R55" s="6" t="s">
        <v>79</v>
      </c>
      <c r="S55" s="6">
        <v>1981</v>
      </c>
      <c r="T55" s="6">
        <v>395000</v>
      </c>
      <c r="U55" s="6" t="s">
        <v>167</v>
      </c>
      <c r="V55" s="6">
        <v>2700</v>
      </c>
      <c r="W55" s="6" t="s">
        <v>167</v>
      </c>
      <c r="X55" s="6" t="s">
        <v>1547</v>
      </c>
      <c r="Y55" s="6" t="s">
        <v>1548</v>
      </c>
      <c r="Z55" s="6" t="s">
        <v>1549</v>
      </c>
      <c r="AA55" s="6" t="s">
        <v>1550</v>
      </c>
      <c r="AB55" s="6" t="s">
        <v>1551</v>
      </c>
      <c r="AC55" s="6">
        <v>541512</v>
      </c>
      <c r="AD55" s="10" t="str">
        <f>_xlfn.XLOOKUP(AC55,[1]Mapping!B:B,[1]Mapping!C:C,"")</f>
        <v xml:space="preserve">Computer Systems Design Services </v>
      </c>
      <c r="AG55" s="6" t="s">
        <v>581</v>
      </c>
      <c r="AH55" s="6" t="s">
        <v>174</v>
      </c>
      <c r="AI55" s="6" t="s">
        <v>87</v>
      </c>
      <c r="AJ55" s="6" t="s">
        <v>174</v>
      </c>
      <c r="AK55" s="6" t="s">
        <v>175</v>
      </c>
      <c r="AL55" s="6" t="s">
        <v>176</v>
      </c>
      <c r="AM55" s="6" t="s">
        <v>177</v>
      </c>
      <c r="AN55" s="6" t="s">
        <v>91</v>
      </c>
      <c r="AO55" s="6" t="s">
        <v>92</v>
      </c>
      <c r="AQ55" s="6" t="s">
        <v>582</v>
      </c>
      <c r="AR55" s="6" t="s">
        <v>583</v>
      </c>
      <c r="AT55" s="6">
        <v>6202</v>
      </c>
      <c r="AU55" s="6" t="s">
        <v>584</v>
      </c>
      <c r="AV55" s="6" t="s">
        <v>585</v>
      </c>
      <c r="AW55" s="6" t="s">
        <v>586</v>
      </c>
      <c r="AY55" s="6" t="s">
        <v>1552</v>
      </c>
      <c r="AZ55" s="6" t="s">
        <v>1553</v>
      </c>
      <c r="BA55" s="6" t="s">
        <v>1554</v>
      </c>
      <c r="BB55" s="6" t="s">
        <v>1555</v>
      </c>
      <c r="BC55" s="6" t="s">
        <v>1556</v>
      </c>
      <c r="BD55" s="6" t="s">
        <v>1557</v>
      </c>
      <c r="BE55" s="6" t="str">
        <f t="shared" si="0"/>
        <v>atea.se</v>
      </c>
      <c r="BF55" s="6" t="str">
        <f t="shared" si="1"/>
        <v>se</v>
      </c>
      <c r="BG55" s="6" t="s">
        <v>308</v>
      </c>
      <c r="BH55" s="6" t="s">
        <v>1558</v>
      </c>
      <c r="BI55" s="6" t="s">
        <v>1559</v>
      </c>
      <c r="BJ55" s="6" t="s">
        <v>1560</v>
      </c>
      <c r="BK55" s="6" t="s">
        <v>1561</v>
      </c>
      <c r="BN55" s="6" t="s">
        <v>1562</v>
      </c>
      <c r="BP55" s="6" t="s">
        <v>1563</v>
      </c>
      <c r="BQ55" s="6" t="s">
        <v>1564</v>
      </c>
      <c r="BR55" s="6" t="s">
        <v>105</v>
      </c>
    </row>
    <row r="56" spans="1:70" ht="45" customHeight="1" x14ac:dyDescent="0.25">
      <c r="A56" s="6">
        <v>56</v>
      </c>
      <c r="B56" s="7" t="s">
        <v>1565</v>
      </c>
      <c r="C56" s="8" t="s">
        <v>1566</v>
      </c>
      <c r="D56" s="6" t="s">
        <v>1567</v>
      </c>
      <c r="E56" s="6" t="s">
        <v>639</v>
      </c>
      <c r="F56" s="8" t="s">
        <v>1568</v>
      </c>
      <c r="G56" s="6" t="s">
        <v>73</v>
      </c>
      <c r="H56" s="6" t="s">
        <v>74</v>
      </c>
      <c r="I56" s="6"/>
      <c r="J56" s="6" t="s">
        <v>1569</v>
      </c>
      <c r="K56" s="9">
        <v>2920</v>
      </c>
      <c r="L56" s="8" t="s">
        <v>1570</v>
      </c>
      <c r="M56" s="9" t="s">
        <v>248</v>
      </c>
      <c r="N56" s="6">
        <v>55.748843099999988</v>
      </c>
      <c r="O56" s="6">
        <v>12.585830700000001</v>
      </c>
      <c r="P56" s="6" t="s">
        <v>1571</v>
      </c>
      <c r="Q56" s="6">
        <v>8</v>
      </c>
      <c r="R56" s="6" t="s">
        <v>79</v>
      </c>
      <c r="S56" s="6">
        <v>1967</v>
      </c>
      <c r="T56" s="6">
        <v>35000000</v>
      </c>
      <c r="U56" s="6" t="s">
        <v>167</v>
      </c>
      <c r="V56" s="6">
        <v>220</v>
      </c>
      <c r="W56" s="6" t="s">
        <v>167</v>
      </c>
      <c r="X56" s="6" t="s">
        <v>1572</v>
      </c>
      <c r="Y56" s="6" t="s">
        <v>1573</v>
      </c>
      <c r="Z56" s="6" t="s">
        <v>1574</v>
      </c>
      <c r="AA56" s="6" t="s">
        <v>1575</v>
      </c>
      <c r="AB56" s="6" t="s">
        <v>1576</v>
      </c>
      <c r="AC56" s="6">
        <v>525990</v>
      </c>
      <c r="AD56" s="10" t="str">
        <f>_xlfn.XLOOKUP(AC56,[1]Mapping!B:B,[1]Mapping!C:C,"")</f>
        <v xml:space="preserve">Other Financial Vehicles </v>
      </c>
      <c r="AE56" s="6">
        <v>525910</v>
      </c>
      <c r="AF56" s="6" t="s">
        <v>1577</v>
      </c>
      <c r="AG56" s="6" t="s">
        <v>1578</v>
      </c>
      <c r="AH56" s="6" t="s">
        <v>1579</v>
      </c>
      <c r="AI56" s="6" t="s">
        <v>119</v>
      </c>
      <c r="AJ56" s="6" t="s">
        <v>1580</v>
      </c>
      <c r="AK56" s="6" t="s">
        <v>1581</v>
      </c>
      <c r="AL56" s="6" t="s">
        <v>1582</v>
      </c>
      <c r="AM56" s="6" t="s">
        <v>1583</v>
      </c>
      <c r="AN56" s="6" t="s">
        <v>764</v>
      </c>
      <c r="AO56" s="6" t="s">
        <v>765</v>
      </c>
      <c r="AQ56" s="6" t="s">
        <v>1584</v>
      </c>
      <c r="AR56" s="6" t="s">
        <v>1585</v>
      </c>
      <c r="AS56" s="6" t="s">
        <v>1586</v>
      </c>
      <c r="AT56" s="6">
        <v>6430</v>
      </c>
      <c r="AU56" s="6" t="s">
        <v>1587</v>
      </c>
      <c r="AV56" s="6">
        <v>64.3</v>
      </c>
      <c r="AW56" s="6" t="s">
        <v>1587</v>
      </c>
      <c r="AX56" s="6" t="s">
        <v>1588</v>
      </c>
      <c r="AY56" s="6" t="s">
        <v>1589</v>
      </c>
      <c r="AZ56" s="6" t="s">
        <v>1590</v>
      </c>
      <c r="BA56" s="6" t="s">
        <v>1591</v>
      </c>
      <c r="BB56" s="6" t="s">
        <v>1592</v>
      </c>
      <c r="BD56" s="6" t="s">
        <v>1593</v>
      </c>
      <c r="BE56" s="6" t="str">
        <f t="shared" si="0"/>
        <v>npv.as</v>
      </c>
      <c r="BF56" s="6" t="str">
        <f t="shared" si="1"/>
        <v>as</v>
      </c>
      <c r="BG56" s="6" t="s">
        <v>101</v>
      </c>
      <c r="BH56" s="6" t="s">
        <v>1594</v>
      </c>
      <c r="BK56" s="6" t="s">
        <v>1595</v>
      </c>
      <c r="BP56" s="6" t="s">
        <v>1596</v>
      </c>
      <c r="BQ56" s="6" t="s">
        <v>1597</v>
      </c>
      <c r="BR56" s="6" t="s">
        <v>105</v>
      </c>
    </row>
    <row r="57" spans="1:70" ht="45" customHeight="1" x14ac:dyDescent="0.25">
      <c r="A57" s="6">
        <v>57</v>
      </c>
      <c r="B57" s="7" t="s">
        <v>1598</v>
      </c>
      <c r="C57" s="8" t="s">
        <v>1599</v>
      </c>
      <c r="D57" s="6" t="s">
        <v>1600</v>
      </c>
      <c r="E57" s="6" t="s">
        <v>786</v>
      </c>
      <c r="F57" s="8" t="s">
        <v>1601</v>
      </c>
      <c r="G57" s="6" t="s">
        <v>1602</v>
      </c>
      <c r="H57" s="6" t="s">
        <v>1603</v>
      </c>
      <c r="I57" s="6" t="s">
        <v>1604</v>
      </c>
      <c r="J57" s="6" t="s">
        <v>1605</v>
      </c>
      <c r="K57" s="9">
        <v>41011</v>
      </c>
      <c r="L57" s="8" t="s">
        <v>1606</v>
      </c>
      <c r="M57" s="9" t="s">
        <v>1607</v>
      </c>
      <c r="N57" s="6">
        <v>37.374823200000009</v>
      </c>
      <c r="O57" s="6">
        <v>-6.0001724999999997</v>
      </c>
      <c r="P57" s="6" t="s">
        <v>1608</v>
      </c>
      <c r="Q57" s="6">
        <v>1</v>
      </c>
      <c r="R57" s="6" t="s">
        <v>79</v>
      </c>
      <c r="T57" s="6"/>
      <c r="X57" s="6" t="s">
        <v>1609</v>
      </c>
      <c r="Y57" s="6" t="s">
        <v>1610</v>
      </c>
      <c r="Z57" s="6" t="s">
        <v>1611</v>
      </c>
      <c r="AA57" s="6" t="s">
        <v>1612</v>
      </c>
      <c r="AB57" s="6" t="s">
        <v>1613</v>
      </c>
      <c r="AC57" s="6">
        <v>721110</v>
      </c>
      <c r="AD57" s="10" t="str">
        <f>_xlfn.XLOOKUP(AC57,[1]Mapping!B:B,[1]Mapping!C:C,"")</f>
        <v xml:space="preserve">Hotels (except Casino Hotels) and Motels </v>
      </c>
      <c r="AG57" s="6" t="s">
        <v>1614</v>
      </c>
      <c r="AH57" s="6" t="s">
        <v>324</v>
      </c>
      <c r="AI57" s="6" t="s">
        <v>325</v>
      </c>
      <c r="AJ57" s="6" t="s">
        <v>326</v>
      </c>
      <c r="AK57" s="6" t="s">
        <v>327</v>
      </c>
      <c r="AL57" s="6" t="s">
        <v>328</v>
      </c>
      <c r="AM57" s="6" t="s">
        <v>329</v>
      </c>
      <c r="AN57" s="6" t="s">
        <v>297</v>
      </c>
      <c r="AO57" s="6" t="s">
        <v>298</v>
      </c>
      <c r="AQ57" s="6" t="s">
        <v>1615</v>
      </c>
      <c r="AR57" s="6" t="s">
        <v>1616</v>
      </c>
      <c r="AT57" s="6" t="s">
        <v>1617</v>
      </c>
      <c r="AU57" s="6" t="s">
        <v>1618</v>
      </c>
      <c r="AV57" s="6" t="s">
        <v>1619</v>
      </c>
      <c r="AW57" s="6" t="s">
        <v>1620</v>
      </c>
      <c r="AY57" s="6">
        <v>34955480489</v>
      </c>
      <c r="AZ57" s="6" t="s">
        <v>1621</v>
      </c>
      <c r="BA57" s="6" t="s">
        <v>1622</v>
      </c>
      <c r="BB57" s="6" t="s">
        <v>1623</v>
      </c>
      <c r="BD57" s="6" t="s">
        <v>1624</v>
      </c>
      <c r="BE57" s="6" t="str">
        <f t="shared" si="0"/>
        <v>atrebo.com</v>
      </c>
      <c r="BF57" s="6" t="str">
        <f t="shared" si="1"/>
        <v>com</v>
      </c>
      <c r="BG57" s="6" t="s">
        <v>1625</v>
      </c>
      <c r="BI57" s="6" t="s">
        <v>1626</v>
      </c>
      <c r="BJ57" s="6" t="s">
        <v>1627</v>
      </c>
      <c r="BK57" s="6" t="s">
        <v>1628</v>
      </c>
      <c r="BN57" s="6" t="s">
        <v>1629</v>
      </c>
      <c r="BP57" s="6" t="s">
        <v>1630</v>
      </c>
      <c r="BQ57" s="6" t="s">
        <v>1631</v>
      </c>
      <c r="BR57" s="6" t="s">
        <v>105</v>
      </c>
    </row>
    <row r="58" spans="1:70" ht="45" customHeight="1" x14ac:dyDescent="0.25">
      <c r="A58" s="6">
        <v>58</v>
      </c>
      <c r="B58" s="7" t="s">
        <v>1632</v>
      </c>
      <c r="C58" s="8" t="s">
        <v>1633</v>
      </c>
      <c r="D58" s="6" t="s">
        <v>1634</v>
      </c>
      <c r="E58" s="6" t="s">
        <v>811</v>
      </c>
      <c r="F58" s="8" t="s">
        <v>1635</v>
      </c>
      <c r="G58" s="6" t="s">
        <v>73</v>
      </c>
      <c r="H58" s="6" t="s">
        <v>74</v>
      </c>
      <c r="I58" s="6"/>
      <c r="J58" s="6" t="s">
        <v>1636</v>
      </c>
      <c r="K58" s="9">
        <v>9400</v>
      </c>
      <c r="L58" s="8" t="s">
        <v>1637</v>
      </c>
      <c r="M58" s="9">
        <v>1</v>
      </c>
      <c r="N58" s="6">
        <v>57.074683999999998</v>
      </c>
      <c r="O58" s="6">
        <v>9.8874203999999999</v>
      </c>
      <c r="P58" s="6" t="s">
        <v>1638</v>
      </c>
      <c r="Q58" s="6">
        <v>8</v>
      </c>
      <c r="R58" s="6" t="s">
        <v>79</v>
      </c>
      <c r="S58" s="6">
        <v>1997</v>
      </c>
      <c r="T58" s="6">
        <v>10000000</v>
      </c>
      <c r="U58" s="6" t="s">
        <v>167</v>
      </c>
      <c r="V58" s="6">
        <v>190</v>
      </c>
      <c r="W58" s="6" t="s">
        <v>80</v>
      </c>
      <c r="X58" s="6" t="s">
        <v>1639</v>
      </c>
      <c r="Y58" s="6" t="s">
        <v>1640</v>
      </c>
      <c r="Z58" s="6" t="s">
        <v>1641</v>
      </c>
      <c r="AA58" s="6" t="s">
        <v>1642</v>
      </c>
      <c r="AB58" s="6" t="s">
        <v>1643</v>
      </c>
      <c r="AC58" s="10">
        <f>_xlfn.XLOOKUP(AH58,[1]Mapping!C:C,[1]Mapping!B:B,"",1)</f>
        <v>811</v>
      </c>
      <c r="AD58" s="10" t="str">
        <f>_xlfn.XLOOKUP(AC58,[1]Mapping!B:B,[1]Mapping!C:C,"")</f>
        <v xml:space="preserve">Repair and MaintenanceT </v>
      </c>
      <c r="AG58" s="6" t="s">
        <v>1644</v>
      </c>
      <c r="AH58" s="6" t="s">
        <v>1645</v>
      </c>
      <c r="AI58" s="6" t="s">
        <v>141</v>
      </c>
      <c r="AJ58" s="6" t="s">
        <v>255</v>
      </c>
      <c r="AK58" s="6" t="s">
        <v>256</v>
      </c>
      <c r="AL58" s="6" t="s">
        <v>257</v>
      </c>
      <c r="AM58" s="6" t="s">
        <v>258</v>
      </c>
      <c r="AN58" s="6" t="s">
        <v>259</v>
      </c>
      <c r="AO58" s="6" t="s">
        <v>260</v>
      </c>
      <c r="AY58" s="6" t="s">
        <v>1646</v>
      </c>
      <c r="AZ58" s="6" t="s">
        <v>1647</v>
      </c>
      <c r="BA58" s="6" t="s">
        <v>1648</v>
      </c>
      <c r="BB58" s="6" t="s">
        <v>1649</v>
      </c>
      <c r="BC58" s="6" t="s">
        <v>1650</v>
      </c>
      <c r="BD58" s="6" t="s">
        <v>1651</v>
      </c>
      <c r="BE58" s="6" t="str">
        <f t="shared" si="0"/>
        <v>avcenter.dk</v>
      </c>
      <c r="BF58" s="6" t="str">
        <f t="shared" si="1"/>
        <v>dk</v>
      </c>
      <c r="BG58" s="6" t="s">
        <v>123</v>
      </c>
      <c r="BH58" s="6" t="s">
        <v>1652</v>
      </c>
      <c r="BK58" s="6" t="s">
        <v>1653</v>
      </c>
      <c r="BP58" s="6" t="s">
        <v>1654</v>
      </c>
      <c r="BQ58" s="6" t="s">
        <v>1655</v>
      </c>
      <c r="BR58" s="6" t="s">
        <v>105</v>
      </c>
    </row>
    <row r="59" spans="1:70" ht="45" customHeight="1" x14ac:dyDescent="0.25">
      <c r="A59" s="6">
        <v>59</v>
      </c>
      <c r="B59" s="7" t="s">
        <v>1656</v>
      </c>
      <c r="C59" s="8" t="s">
        <v>1657</v>
      </c>
      <c r="D59" s="6" t="s">
        <v>1658</v>
      </c>
      <c r="E59" s="8" t="s">
        <v>838</v>
      </c>
      <c r="F59" s="8" t="s">
        <v>838</v>
      </c>
      <c r="G59" s="6" t="s">
        <v>1659</v>
      </c>
      <c r="H59" s="6" t="s">
        <v>1660</v>
      </c>
      <c r="I59" s="6" t="s">
        <v>1661</v>
      </c>
      <c r="J59" s="6" t="s">
        <v>1662</v>
      </c>
      <c r="K59" s="9">
        <v>1212</v>
      </c>
      <c r="L59" s="8" t="s">
        <v>1663</v>
      </c>
      <c r="N59" s="6">
        <v>23.780478200000001</v>
      </c>
      <c r="O59" s="6">
        <v>90.423729999999992</v>
      </c>
      <c r="P59" s="6" t="s">
        <v>1664</v>
      </c>
      <c r="Q59" s="6">
        <v>1</v>
      </c>
      <c r="R59" s="6" t="s">
        <v>79</v>
      </c>
      <c r="T59" s="6">
        <v>5031554</v>
      </c>
      <c r="U59" s="6" t="s">
        <v>80</v>
      </c>
      <c r="V59" s="6">
        <v>30</v>
      </c>
      <c r="W59" s="6" t="s">
        <v>80</v>
      </c>
      <c r="X59" s="6" t="s">
        <v>1665</v>
      </c>
      <c r="Y59" s="6" t="s">
        <v>1666</v>
      </c>
      <c r="Z59" s="6" t="s">
        <v>1667</v>
      </c>
      <c r="AC59" s="6">
        <v>611512</v>
      </c>
      <c r="AD59" s="10" t="str">
        <f>_xlfn.XLOOKUP(AC59,[1]Mapping!B:B,[1]Mapping!C:C,"")</f>
        <v xml:space="preserve">Flight Training </v>
      </c>
      <c r="AG59" s="6" t="s">
        <v>1668</v>
      </c>
      <c r="AH59" s="6" t="s">
        <v>1669</v>
      </c>
      <c r="AI59" s="6" t="s">
        <v>942</v>
      </c>
      <c r="AJ59" s="6" t="s">
        <v>293</v>
      </c>
      <c r="AK59" s="6" t="s">
        <v>294</v>
      </c>
      <c r="AL59" s="6" t="s">
        <v>295</v>
      </c>
      <c r="AM59" s="6" t="s">
        <v>296</v>
      </c>
      <c r="AN59" s="6" t="s">
        <v>297</v>
      </c>
      <c r="AO59" s="6" t="s">
        <v>298</v>
      </c>
      <c r="AQ59" s="6" t="s">
        <v>1670</v>
      </c>
      <c r="AR59" s="6" t="s">
        <v>1671</v>
      </c>
      <c r="AS59" s="6" t="s">
        <v>1672</v>
      </c>
      <c r="AT59" s="6" t="s">
        <v>1673</v>
      </c>
      <c r="AU59" s="6" t="s">
        <v>1674</v>
      </c>
      <c r="AV59" s="6" t="s">
        <v>1675</v>
      </c>
      <c r="AW59" s="6" t="s">
        <v>1676</v>
      </c>
      <c r="AX59" s="6" t="s">
        <v>1677</v>
      </c>
      <c r="AY59" s="6">
        <v>12396339283</v>
      </c>
      <c r="AZ59" s="6">
        <v>12396339283</v>
      </c>
      <c r="BA59" s="6" t="s">
        <v>1678</v>
      </c>
      <c r="BB59" s="6" t="s">
        <v>1678</v>
      </c>
      <c r="BD59" s="6" t="s">
        <v>1679</v>
      </c>
      <c r="BE59" s="6" t="str">
        <f t="shared" si="0"/>
        <v>aviatinc.com</v>
      </c>
      <c r="BF59" s="6" t="str">
        <f t="shared" si="1"/>
        <v>com</v>
      </c>
      <c r="BG59" s="6" t="s">
        <v>101</v>
      </c>
      <c r="BP59" s="6" t="s">
        <v>1680</v>
      </c>
      <c r="BQ59" s="6" t="s">
        <v>1681</v>
      </c>
      <c r="BR59" s="6" t="s">
        <v>105</v>
      </c>
    </row>
    <row r="60" spans="1:70" ht="45" customHeight="1" x14ac:dyDescent="0.25">
      <c r="A60" s="6">
        <v>60</v>
      </c>
      <c r="B60" s="7" t="s">
        <v>1682</v>
      </c>
      <c r="C60" s="8" t="s">
        <v>1683</v>
      </c>
      <c r="D60" s="6" t="s">
        <v>1684</v>
      </c>
      <c r="E60" s="6" t="s">
        <v>871</v>
      </c>
      <c r="F60" s="8" t="s">
        <v>1685</v>
      </c>
      <c r="G60" s="6" t="s">
        <v>1686</v>
      </c>
      <c r="H60" s="6" t="s">
        <v>1687</v>
      </c>
      <c r="I60" s="6" t="s">
        <v>1688</v>
      </c>
      <c r="J60" s="6" t="s">
        <v>1689</v>
      </c>
      <c r="K60" s="9" t="s">
        <v>1690</v>
      </c>
      <c r="L60" s="8" t="s">
        <v>1691</v>
      </c>
      <c r="M60" s="9">
        <v>181</v>
      </c>
      <c r="N60" s="6">
        <v>35.678999099999999</v>
      </c>
      <c r="O60" s="6">
        <v>139.76303799999999</v>
      </c>
      <c r="R60" s="6" t="s">
        <v>79</v>
      </c>
      <c r="T60" s="6"/>
      <c r="X60" s="6" t="s">
        <v>1692</v>
      </c>
      <c r="Y60" s="6" t="s">
        <v>1693</v>
      </c>
      <c r="Z60" s="6" t="s">
        <v>1694</v>
      </c>
      <c r="AA60" s="6" t="s">
        <v>1695</v>
      </c>
      <c r="AB60" s="6" t="s">
        <v>1696</v>
      </c>
      <c r="AC60" s="6">
        <v>517112</v>
      </c>
      <c r="AD60" s="10" t="str">
        <f>_xlfn.XLOOKUP(AC60,[1]Mapping!B:B,[1]Mapping!C:C,"")</f>
        <v>Wireless Telecommunications Carriers (except Satellite)</v>
      </c>
      <c r="AG60" s="6" t="s">
        <v>85</v>
      </c>
      <c r="AH60" s="6" t="s">
        <v>86</v>
      </c>
      <c r="AI60" s="6" t="s">
        <v>87</v>
      </c>
      <c r="AJ60" s="6" t="s">
        <v>86</v>
      </c>
      <c r="AK60" s="6" t="s">
        <v>88</v>
      </c>
      <c r="AL60" s="6" t="s">
        <v>89</v>
      </c>
      <c r="AM60" s="6" t="s">
        <v>90</v>
      </c>
      <c r="AN60" s="6" t="s">
        <v>91</v>
      </c>
      <c r="AO60" s="6" t="s">
        <v>92</v>
      </c>
      <c r="AQ60" s="6" t="s">
        <v>1697</v>
      </c>
      <c r="AR60" s="6" t="s">
        <v>1698</v>
      </c>
      <c r="AT60" s="6">
        <v>6120</v>
      </c>
      <c r="AU60" s="6" t="s">
        <v>1699</v>
      </c>
      <c r="AV60" s="6">
        <v>61.2</v>
      </c>
      <c r="AW60" s="6" t="s">
        <v>1699</v>
      </c>
      <c r="AY60" s="6" t="s">
        <v>1700</v>
      </c>
      <c r="BD60" s="6" t="s">
        <v>1701</v>
      </c>
      <c r="BE60" s="6" t="str">
        <f t="shared" si="0"/>
        <v>corp.att.com</v>
      </c>
      <c r="BF60" s="6" t="str">
        <f t="shared" si="1"/>
        <v>com</v>
      </c>
      <c r="BG60" s="6" t="s">
        <v>101</v>
      </c>
      <c r="BH60" s="6" t="s">
        <v>1702</v>
      </c>
      <c r="BI60" s="6" t="s">
        <v>1703</v>
      </c>
      <c r="BJ60" s="6" t="s">
        <v>1704</v>
      </c>
      <c r="BK60" s="6" t="s">
        <v>1705</v>
      </c>
      <c r="BN60" s="6" t="s">
        <v>1706</v>
      </c>
      <c r="BP60" s="6" t="s">
        <v>1707</v>
      </c>
      <c r="BQ60" s="6" t="s">
        <v>1708</v>
      </c>
      <c r="BR60" s="6" t="s">
        <v>105</v>
      </c>
    </row>
    <row r="61" spans="1:70" ht="45" customHeight="1" x14ac:dyDescent="0.25">
      <c r="A61" s="6">
        <v>61</v>
      </c>
      <c r="B61" s="7" t="s">
        <v>1709</v>
      </c>
      <c r="C61" s="8" t="s">
        <v>1710</v>
      </c>
      <c r="D61" s="6" t="s">
        <v>1711</v>
      </c>
      <c r="E61" s="6" t="s">
        <v>900</v>
      </c>
      <c r="F61" s="8" t="s">
        <v>1712</v>
      </c>
      <c r="G61" s="6" t="s">
        <v>1400</v>
      </c>
      <c r="H61" s="6" t="s">
        <v>1401</v>
      </c>
      <c r="I61" s="6" t="s">
        <v>1402</v>
      </c>
      <c r="J61" s="6" t="s">
        <v>1403</v>
      </c>
      <c r="N61" s="6">
        <v>24.857638600000001</v>
      </c>
      <c r="O61" s="6">
        <v>67.045855399999994</v>
      </c>
      <c r="P61" s="6" t="s">
        <v>1713</v>
      </c>
      <c r="Q61" s="6">
        <v>1</v>
      </c>
      <c r="R61" s="6" t="s">
        <v>79</v>
      </c>
      <c r="S61" s="6">
        <v>2012</v>
      </c>
      <c r="T61" s="6">
        <v>24793384</v>
      </c>
      <c r="U61" s="6" t="s">
        <v>80</v>
      </c>
      <c r="V61" s="6">
        <v>75</v>
      </c>
      <c r="W61" s="6" t="s">
        <v>80</v>
      </c>
      <c r="X61" s="6" t="s">
        <v>1714</v>
      </c>
      <c r="Y61" s="6" t="s">
        <v>1715</v>
      </c>
      <c r="Z61" s="6" t="s">
        <v>1716</v>
      </c>
      <c r="AA61" s="6" t="s">
        <v>1717</v>
      </c>
      <c r="AB61" s="6" t="s">
        <v>1718</v>
      </c>
      <c r="AC61" s="6">
        <v>334220</v>
      </c>
      <c r="AD61" s="10" t="str">
        <f>_xlfn.XLOOKUP(AC61,[1]Mapping!B:B,[1]Mapping!C:C,"")</f>
        <v>Radio and Television Broadcasting and Wireless Communications Equipment Manufacturing</v>
      </c>
      <c r="AG61" s="6" t="s">
        <v>1719</v>
      </c>
      <c r="AH61" s="6" t="s">
        <v>965</v>
      </c>
      <c r="AI61" s="6" t="s">
        <v>733</v>
      </c>
      <c r="AJ61" s="6" t="s">
        <v>255</v>
      </c>
      <c r="AK61" s="6" t="s">
        <v>256</v>
      </c>
      <c r="AL61" s="6" t="s">
        <v>257</v>
      </c>
      <c r="AM61" s="6" t="s">
        <v>258</v>
      </c>
      <c r="AN61" s="6" t="s">
        <v>259</v>
      </c>
      <c r="AO61" s="6" t="s">
        <v>260</v>
      </c>
      <c r="AQ61" s="6" t="s">
        <v>1720</v>
      </c>
      <c r="AR61" s="6" t="s">
        <v>1721</v>
      </c>
      <c r="AT61" s="6" t="s">
        <v>1722</v>
      </c>
      <c r="AU61" s="6" t="s">
        <v>1723</v>
      </c>
      <c r="AV61" s="6" t="s">
        <v>1724</v>
      </c>
      <c r="AW61" s="6" t="s">
        <v>1725</v>
      </c>
      <c r="AY61" s="6" t="s">
        <v>1726</v>
      </c>
      <c r="AZ61" s="6">
        <v>97165586985</v>
      </c>
      <c r="BA61" s="6" t="s">
        <v>1727</v>
      </c>
      <c r="BB61" s="6" t="s">
        <v>1728</v>
      </c>
      <c r="BD61" s="6" t="s">
        <v>1729</v>
      </c>
      <c r="BE61" s="6" t="str">
        <f t="shared" si="0"/>
        <v>awandistribution.com</v>
      </c>
      <c r="BF61" s="6" t="str">
        <f t="shared" si="1"/>
        <v>com</v>
      </c>
      <c r="BG61" s="6" t="s">
        <v>101</v>
      </c>
      <c r="BH61" s="6" t="s">
        <v>1730</v>
      </c>
      <c r="BI61" s="6" t="s">
        <v>1731</v>
      </c>
      <c r="BK61" s="6" t="s">
        <v>1732</v>
      </c>
      <c r="BP61" s="6" t="s">
        <v>1733</v>
      </c>
      <c r="BQ61" s="6" t="s">
        <v>1734</v>
      </c>
      <c r="BR61" s="6" t="s">
        <v>105</v>
      </c>
    </row>
    <row r="62" spans="1:70" ht="45" customHeight="1" x14ac:dyDescent="0.25">
      <c r="A62" s="6">
        <v>62</v>
      </c>
      <c r="B62" s="7" t="s">
        <v>1735</v>
      </c>
      <c r="C62" s="8" t="s">
        <v>1736</v>
      </c>
      <c r="D62" s="6" t="s">
        <v>1735</v>
      </c>
      <c r="E62" s="6" t="s">
        <v>934</v>
      </c>
      <c r="F62" s="8" t="s">
        <v>1737</v>
      </c>
      <c r="G62" s="6" t="s">
        <v>73</v>
      </c>
      <c r="H62" s="6" t="s">
        <v>74</v>
      </c>
      <c r="I62" s="6"/>
      <c r="J62" s="6" t="s">
        <v>1738</v>
      </c>
      <c r="K62" s="9">
        <v>2670</v>
      </c>
      <c r="L62" s="8" t="s">
        <v>1739</v>
      </c>
      <c r="M62" s="9" t="s">
        <v>1740</v>
      </c>
      <c r="N62" s="6">
        <v>55.6083316</v>
      </c>
      <c r="O62" s="6">
        <v>12.300701999999999</v>
      </c>
      <c r="P62" s="6" t="s">
        <v>1741</v>
      </c>
      <c r="Q62" s="6">
        <v>1</v>
      </c>
      <c r="R62" s="6" t="s">
        <v>79</v>
      </c>
      <c r="S62" s="6">
        <v>2007</v>
      </c>
      <c r="T62" s="6">
        <v>2726236</v>
      </c>
      <c r="U62" s="6" t="s">
        <v>80</v>
      </c>
      <c r="V62" s="6">
        <v>6</v>
      </c>
      <c r="W62" s="6" t="s">
        <v>167</v>
      </c>
      <c r="X62" s="6" t="s">
        <v>1742</v>
      </c>
      <c r="Y62" s="6" t="s">
        <v>1743</v>
      </c>
      <c r="Z62" s="6" t="s">
        <v>1744</v>
      </c>
      <c r="AA62" s="6" t="s">
        <v>1745</v>
      </c>
      <c r="AB62" s="6" t="s">
        <v>1746</v>
      </c>
      <c r="AC62" s="6">
        <v>517111</v>
      </c>
      <c r="AD62" s="10" t="str">
        <f>_xlfn.XLOOKUP(AC62,[1]Mapping!B:B,[1]Mapping!C:C,"")</f>
        <v xml:space="preserve">Wired Telecommunications Carriers </v>
      </c>
      <c r="AG62" s="6" t="s">
        <v>89</v>
      </c>
      <c r="AH62" s="6" t="s">
        <v>86</v>
      </c>
      <c r="AI62" s="6" t="s">
        <v>87</v>
      </c>
      <c r="AJ62" s="6" t="s">
        <v>86</v>
      </c>
      <c r="AK62" s="6" t="s">
        <v>88</v>
      </c>
      <c r="AL62" s="6" t="s">
        <v>89</v>
      </c>
      <c r="AM62" s="6" t="s">
        <v>90</v>
      </c>
      <c r="AN62" s="6" t="s">
        <v>91</v>
      </c>
      <c r="AO62" s="6" t="s">
        <v>92</v>
      </c>
      <c r="AQ62" s="6" t="s">
        <v>1747</v>
      </c>
      <c r="AR62" s="6" t="s">
        <v>1748</v>
      </c>
      <c r="AT62" s="6" t="s">
        <v>1749</v>
      </c>
      <c r="AU62" s="6" t="s">
        <v>1750</v>
      </c>
      <c r="AV62" s="6" t="s">
        <v>1751</v>
      </c>
      <c r="AW62" s="6" t="s">
        <v>1750</v>
      </c>
      <c r="AY62" s="6" t="s">
        <v>1752</v>
      </c>
      <c r="AZ62" s="6">
        <v>4531101626</v>
      </c>
      <c r="BA62" s="6" t="s">
        <v>1753</v>
      </c>
      <c r="BB62" s="6" t="s">
        <v>1753</v>
      </c>
      <c r="BD62" s="6" t="s">
        <v>1754</v>
      </c>
      <c r="BE62" s="6" t="str">
        <f t="shared" si="0"/>
        <v>axteq.dk</v>
      </c>
      <c r="BF62" s="6" t="str">
        <f t="shared" si="1"/>
        <v>dk</v>
      </c>
      <c r="BG62" s="6" t="s">
        <v>123</v>
      </c>
      <c r="BH62" s="6" t="s">
        <v>1755</v>
      </c>
      <c r="BK62" s="6" t="s">
        <v>1756</v>
      </c>
      <c r="BP62" s="6" t="s">
        <v>1757</v>
      </c>
      <c r="BQ62" s="6" t="s">
        <v>1758</v>
      </c>
      <c r="BR62" s="6" t="s">
        <v>105</v>
      </c>
    </row>
    <row r="63" spans="1:70" ht="45" customHeight="1" x14ac:dyDescent="0.25">
      <c r="A63" s="6">
        <v>63</v>
      </c>
      <c r="B63" s="7" t="s">
        <v>1759</v>
      </c>
      <c r="C63" s="8" t="s">
        <v>1760</v>
      </c>
      <c r="D63" s="6" t="s">
        <v>1761</v>
      </c>
      <c r="E63" s="6" t="s">
        <v>956</v>
      </c>
      <c r="F63" s="8" t="s">
        <v>1762</v>
      </c>
      <c r="G63" s="6" t="s">
        <v>612</v>
      </c>
      <c r="H63" s="6" t="s">
        <v>613</v>
      </c>
      <c r="I63" s="6" t="s">
        <v>614</v>
      </c>
      <c r="J63" s="6" t="s">
        <v>1763</v>
      </c>
      <c r="K63" s="9">
        <v>47301</v>
      </c>
      <c r="L63" s="8" t="s">
        <v>1764</v>
      </c>
      <c r="M63" s="9">
        <v>97</v>
      </c>
      <c r="N63" s="6">
        <v>3.0951973000000002</v>
      </c>
      <c r="O63" s="6">
        <v>101.5920271</v>
      </c>
      <c r="P63" s="6" t="s">
        <v>1765</v>
      </c>
      <c r="Q63" s="6">
        <v>1</v>
      </c>
      <c r="R63" s="6" t="s">
        <v>79</v>
      </c>
      <c r="T63" s="6">
        <v>11588822</v>
      </c>
      <c r="U63" s="6" t="s">
        <v>80</v>
      </c>
      <c r="V63" s="6">
        <v>75</v>
      </c>
      <c r="W63" s="6" t="s">
        <v>80</v>
      </c>
      <c r="X63" s="6" t="s">
        <v>1766</v>
      </c>
      <c r="Y63" s="6" t="s">
        <v>1767</v>
      </c>
      <c r="Z63" s="6" t="s">
        <v>1766</v>
      </c>
      <c r="AA63" s="6" t="s">
        <v>1766</v>
      </c>
      <c r="AB63" s="6" t="s">
        <v>1768</v>
      </c>
      <c r="AC63" s="6">
        <v>423690</v>
      </c>
      <c r="AD63" s="10" t="str">
        <f>_xlfn.XLOOKUP(AC63,[1]Mapping!B:B,[1]Mapping!C:C,"")</f>
        <v xml:space="preserve">Other Electronic Parts and Equipment Merchant Wholesalers </v>
      </c>
      <c r="AG63" s="6" t="s">
        <v>1184</v>
      </c>
      <c r="AH63" s="6" t="s">
        <v>432</v>
      </c>
      <c r="AI63" s="6" t="s">
        <v>733</v>
      </c>
      <c r="AJ63" s="6" t="s">
        <v>86</v>
      </c>
      <c r="AK63" s="6" t="s">
        <v>88</v>
      </c>
      <c r="AL63" s="6" t="s">
        <v>89</v>
      </c>
      <c r="AM63" s="6" t="s">
        <v>90</v>
      </c>
      <c r="AN63" s="6" t="s">
        <v>91</v>
      </c>
      <c r="AO63" s="6" t="s">
        <v>92</v>
      </c>
      <c r="AQ63" s="6">
        <v>5065</v>
      </c>
      <c r="AR63" s="6" t="s">
        <v>1769</v>
      </c>
      <c r="AT63" s="6" t="s">
        <v>1770</v>
      </c>
      <c r="AU63" s="6" t="s">
        <v>1771</v>
      </c>
      <c r="AV63" s="6" t="s">
        <v>1772</v>
      </c>
      <c r="AW63" s="6" t="s">
        <v>1773</v>
      </c>
      <c r="AY63" s="6" t="s">
        <v>1774</v>
      </c>
      <c r="AZ63" s="6">
        <v>60378048450</v>
      </c>
      <c r="BA63" s="6" t="s">
        <v>1775</v>
      </c>
      <c r="BB63" s="6" t="s">
        <v>1776</v>
      </c>
      <c r="BD63" s="6" t="s">
        <v>1777</v>
      </c>
      <c r="BE63" s="6" t="str">
        <f t="shared" si="0"/>
        <v>az-tech.my</v>
      </c>
      <c r="BF63" s="6" t="str">
        <f t="shared" si="1"/>
        <v>my</v>
      </c>
      <c r="BG63" s="6" t="s">
        <v>101</v>
      </c>
      <c r="BJ63" s="6" t="s">
        <v>1778</v>
      </c>
      <c r="BP63" s="6" t="s">
        <v>1779</v>
      </c>
      <c r="BQ63" s="6" t="s">
        <v>1780</v>
      </c>
      <c r="BR63" s="6" t="s">
        <v>105</v>
      </c>
    </row>
    <row r="64" spans="1:70" ht="45" customHeight="1" x14ac:dyDescent="0.25">
      <c r="A64" s="6">
        <v>64</v>
      </c>
      <c r="B64" s="7" t="s">
        <v>1781</v>
      </c>
      <c r="C64" s="8" t="s">
        <v>1782</v>
      </c>
      <c r="D64" s="6" t="s">
        <v>1783</v>
      </c>
      <c r="E64" s="6" t="s">
        <v>978</v>
      </c>
      <c r="F64" s="8" t="s">
        <v>1784</v>
      </c>
      <c r="G64" s="6" t="s">
        <v>840</v>
      </c>
      <c r="H64" s="6" t="s">
        <v>841</v>
      </c>
      <c r="I64" s="6" t="s">
        <v>842</v>
      </c>
      <c r="J64" s="6" t="s">
        <v>1785</v>
      </c>
      <c r="K64" s="9" t="s">
        <v>1786</v>
      </c>
      <c r="L64" s="8" t="s">
        <v>1787</v>
      </c>
      <c r="M64" s="9">
        <v>170</v>
      </c>
      <c r="N64" s="6">
        <v>51.242763199999999</v>
      </c>
      <c r="O64" s="6">
        <v>-0.6152609</v>
      </c>
      <c r="P64" s="6" t="s">
        <v>1788</v>
      </c>
      <c r="Q64" s="6">
        <v>1</v>
      </c>
      <c r="R64" s="6" t="s">
        <v>79</v>
      </c>
      <c r="S64" s="6">
        <v>1971</v>
      </c>
      <c r="T64" s="6">
        <v>728200000</v>
      </c>
      <c r="U64" s="6" t="s">
        <v>167</v>
      </c>
      <c r="X64" s="6" t="s">
        <v>1789</v>
      </c>
      <c r="Y64" s="6" t="s">
        <v>1790</v>
      </c>
      <c r="Z64" s="6" t="s">
        <v>1791</v>
      </c>
      <c r="AA64" s="6" t="s">
        <v>1792</v>
      </c>
      <c r="AB64" s="6" t="s">
        <v>1793</v>
      </c>
      <c r="AC64" s="6">
        <v>541511</v>
      </c>
      <c r="AD64" s="10" t="str">
        <f>_xlfn.XLOOKUP(AC64,[1]Mapping!B:B,[1]Mapping!C:C,"")</f>
        <v xml:space="preserve">Custom Computer Programming Services </v>
      </c>
      <c r="AG64" s="6" t="s">
        <v>1794</v>
      </c>
      <c r="AH64" s="6" t="s">
        <v>174</v>
      </c>
      <c r="AI64" s="6" t="s">
        <v>87</v>
      </c>
      <c r="AQ64" s="6">
        <v>7371</v>
      </c>
      <c r="AR64" s="6" t="s">
        <v>504</v>
      </c>
      <c r="AT64" s="6">
        <v>6201</v>
      </c>
      <c r="AU64" s="6" t="s">
        <v>505</v>
      </c>
      <c r="AV64" s="6">
        <v>62.01</v>
      </c>
      <c r="AW64" s="6" t="s">
        <v>505</v>
      </c>
      <c r="AY64" s="6" t="s">
        <v>1795</v>
      </c>
      <c r="AZ64" s="6">
        <v>441252000000</v>
      </c>
      <c r="BD64" s="6" t="s">
        <v>1796</v>
      </c>
      <c r="BE64" s="6" t="str">
        <f t="shared" si="0"/>
        <v>baesystems.com</v>
      </c>
      <c r="BF64" s="6" t="str">
        <f t="shared" si="1"/>
        <v>com</v>
      </c>
      <c r="BG64" s="6" t="s">
        <v>101</v>
      </c>
      <c r="BQ64" s="6" t="s">
        <v>1797</v>
      </c>
      <c r="BR64" s="6" t="s">
        <v>105</v>
      </c>
    </row>
    <row r="65" spans="1:70" ht="45" customHeight="1" x14ac:dyDescent="0.25">
      <c r="A65" s="6">
        <v>65</v>
      </c>
      <c r="B65" s="7" t="s">
        <v>1798</v>
      </c>
      <c r="C65" s="8" t="s">
        <v>1799</v>
      </c>
      <c r="D65" s="6" t="s">
        <v>1800</v>
      </c>
      <c r="E65" s="6" t="s">
        <v>1013</v>
      </c>
      <c r="F65" s="8" t="s">
        <v>1801</v>
      </c>
      <c r="G65" s="6" t="s">
        <v>73</v>
      </c>
      <c r="H65" s="6" t="s">
        <v>74</v>
      </c>
      <c r="I65" s="6"/>
      <c r="J65" s="6" t="s">
        <v>1802</v>
      </c>
      <c r="K65" s="9">
        <v>2900</v>
      </c>
      <c r="L65" s="8" t="s">
        <v>1803</v>
      </c>
      <c r="M65" s="9">
        <v>3</v>
      </c>
      <c r="N65" s="6">
        <v>55.724041799999988</v>
      </c>
      <c r="O65" s="6">
        <v>12.5802479</v>
      </c>
      <c r="P65" s="6" t="s">
        <v>1804</v>
      </c>
      <c r="Q65" s="6">
        <v>1</v>
      </c>
      <c r="R65" s="6" t="s">
        <v>79</v>
      </c>
      <c r="S65" s="6">
        <v>2003</v>
      </c>
      <c r="T65" s="6">
        <v>61288416</v>
      </c>
      <c r="U65" s="6" t="s">
        <v>80</v>
      </c>
      <c r="V65" s="6">
        <v>290</v>
      </c>
      <c r="W65" s="6" t="s">
        <v>167</v>
      </c>
      <c r="X65" s="6" t="s">
        <v>1805</v>
      </c>
      <c r="Y65" s="6" t="s">
        <v>1806</v>
      </c>
      <c r="Z65" s="6" t="s">
        <v>1807</v>
      </c>
      <c r="AA65" s="6" t="s">
        <v>1808</v>
      </c>
      <c r="AB65" s="6" t="s">
        <v>1809</v>
      </c>
      <c r="AC65" s="6">
        <v>541611</v>
      </c>
      <c r="AD65" s="10" t="str">
        <f>_xlfn.XLOOKUP(AC65,[1]Mapping!B:B,[1]Mapping!C:C,"")</f>
        <v xml:space="preserve">Administrative Management and General Management Consulting Services </v>
      </c>
      <c r="AG65" s="6" t="s">
        <v>376</v>
      </c>
      <c r="AH65" s="6" t="s">
        <v>376</v>
      </c>
      <c r="AI65" s="6" t="s">
        <v>141</v>
      </c>
      <c r="AJ65" s="6" t="s">
        <v>293</v>
      </c>
      <c r="AK65" s="6" t="s">
        <v>294</v>
      </c>
      <c r="AL65" s="6" t="s">
        <v>295</v>
      </c>
      <c r="AM65" s="6" t="s">
        <v>296</v>
      </c>
      <c r="AN65" s="6" t="s">
        <v>297</v>
      </c>
      <c r="AO65" s="6" t="s">
        <v>298</v>
      </c>
      <c r="AQ65" s="6">
        <v>8742</v>
      </c>
      <c r="AR65" s="6" t="s">
        <v>377</v>
      </c>
      <c r="AT65" s="6">
        <v>7020</v>
      </c>
      <c r="AU65" s="6" t="s">
        <v>378</v>
      </c>
      <c r="AV65" s="6" t="s">
        <v>379</v>
      </c>
      <c r="AW65" s="6" t="s">
        <v>380</v>
      </c>
      <c r="AY65" s="6" t="s">
        <v>1810</v>
      </c>
      <c r="AZ65" s="6" t="s">
        <v>1811</v>
      </c>
      <c r="BA65" s="6" t="s">
        <v>1812</v>
      </c>
      <c r="BB65" s="6" t="s">
        <v>1812</v>
      </c>
      <c r="BC65" s="6" t="s">
        <v>1813</v>
      </c>
      <c r="BD65" s="6" t="s">
        <v>1814</v>
      </c>
      <c r="BE65" s="6" t="str">
        <f t="shared" si="0"/>
        <v>basico.dk</v>
      </c>
      <c r="BF65" s="6" t="str">
        <f t="shared" si="1"/>
        <v>dk</v>
      </c>
      <c r="BG65" s="6" t="s">
        <v>123</v>
      </c>
      <c r="BH65" s="6" t="s">
        <v>1815</v>
      </c>
      <c r="BI65" s="6" t="s">
        <v>1816</v>
      </c>
      <c r="BJ65" s="6" t="s">
        <v>1817</v>
      </c>
      <c r="BK65" s="6" t="s">
        <v>1818</v>
      </c>
      <c r="BP65" s="6" t="s">
        <v>1819</v>
      </c>
      <c r="BQ65" s="6" t="s">
        <v>1820</v>
      </c>
      <c r="BR65" s="6" t="s">
        <v>105</v>
      </c>
    </row>
    <row r="66" spans="1:70" ht="45" customHeight="1" x14ac:dyDescent="0.25">
      <c r="A66" s="6">
        <v>66</v>
      </c>
      <c r="B66" s="7" t="s">
        <v>1821</v>
      </c>
      <c r="C66" s="8" t="s">
        <v>1822</v>
      </c>
      <c r="D66" s="6" t="s">
        <v>1823</v>
      </c>
      <c r="E66" s="6" t="s">
        <v>1040</v>
      </c>
      <c r="F66" s="8" t="s">
        <v>1824</v>
      </c>
      <c r="G66" s="6" t="s">
        <v>1324</v>
      </c>
      <c r="H66" s="6" t="s">
        <v>1325</v>
      </c>
      <c r="I66" s="6" t="s">
        <v>1326</v>
      </c>
      <c r="J66" s="6" t="s">
        <v>1327</v>
      </c>
      <c r="K66" s="9">
        <v>10510</v>
      </c>
      <c r="L66" s="8" t="s">
        <v>1825</v>
      </c>
      <c r="M66" s="9">
        <v>1130</v>
      </c>
      <c r="N66" s="6">
        <v>13.8406372</v>
      </c>
      <c r="O66" s="6">
        <v>100.7774733</v>
      </c>
      <c r="P66" s="6" t="s">
        <v>1826</v>
      </c>
      <c r="Q66" s="6">
        <v>1</v>
      </c>
      <c r="R66" s="6" t="s">
        <v>79</v>
      </c>
      <c r="T66" s="6"/>
      <c r="X66" s="6" t="s">
        <v>1827</v>
      </c>
      <c r="Z66" s="6" t="s">
        <v>1828</v>
      </c>
      <c r="AA66" s="6" t="s">
        <v>1829</v>
      </c>
      <c r="AC66" s="6">
        <v>541810</v>
      </c>
      <c r="AD66" s="10" t="str">
        <f>_xlfn.XLOOKUP(AC66,[1]Mapping!B:B,[1]Mapping!C:C,"")</f>
        <v>Advertising Agencies</v>
      </c>
      <c r="AG66" s="6" t="s">
        <v>1142</v>
      </c>
      <c r="AH66" s="6" t="s">
        <v>1143</v>
      </c>
      <c r="AI66" s="6" t="s">
        <v>500</v>
      </c>
      <c r="AJ66" s="6" t="s">
        <v>500</v>
      </c>
      <c r="AK66" s="6" t="s">
        <v>501</v>
      </c>
      <c r="AL66" s="6" t="s">
        <v>502</v>
      </c>
      <c r="AM66" s="6" t="s">
        <v>503</v>
      </c>
      <c r="AN66" s="6" t="s">
        <v>297</v>
      </c>
      <c r="AO66" s="6" t="s">
        <v>298</v>
      </c>
      <c r="AQ66" s="6">
        <v>7311</v>
      </c>
      <c r="AR66" s="6" t="s">
        <v>1121</v>
      </c>
      <c r="AT66" s="6">
        <v>7310</v>
      </c>
      <c r="AU66" s="6" t="s">
        <v>1123</v>
      </c>
      <c r="AV66" s="6" t="s">
        <v>1144</v>
      </c>
      <c r="AW66" s="6" t="s">
        <v>1145</v>
      </c>
      <c r="AY66" s="6" t="s">
        <v>1830</v>
      </c>
      <c r="AZ66" s="6">
        <v>27814397980</v>
      </c>
      <c r="BA66" s="6" t="s">
        <v>1831</v>
      </c>
      <c r="BB66" s="6" t="s">
        <v>1832</v>
      </c>
      <c r="BD66" s="6" t="s">
        <v>1833</v>
      </c>
      <c r="BE66" s="6" t="str">
        <f t="shared" si="0"/>
        <v>btconnect.co.th</v>
      </c>
      <c r="BF66" s="6" t="str">
        <f t="shared" si="1"/>
        <v>th</v>
      </c>
      <c r="BG66" s="6" t="s">
        <v>101</v>
      </c>
      <c r="BH66" s="6" t="s">
        <v>1834</v>
      </c>
      <c r="BQ66" s="6" t="s">
        <v>1835</v>
      </c>
      <c r="BR66" s="6" t="s">
        <v>105</v>
      </c>
    </row>
    <row r="67" spans="1:70" ht="45" customHeight="1" x14ac:dyDescent="0.25">
      <c r="A67" s="6">
        <v>67</v>
      </c>
      <c r="B67" s="7" t="s">
        <v>1836</v>
      </c>
      <c r="C67" s="8" t="s">
        <v>1837</v>
      </c>
      <c r="D67" s="6" t="s">
        <v>1838</v>
      </c>
      <c r="E67" s="6" t="s">
        <v>1059</v>
      </c>
      <c r="F67" s="8" t="s">
        <v>1839</v>
      </c>
      <c r="G67" s="6" t="s">
        <v>1324</v>
      </c>
      <c r="H67" s="6" t="s">
        <v>1325</v>
      </c>
      <c r="I67" s="6" t="s">
        <v>1326</v>
      </c>
      <c r="J67" s="6" t="s">
        <v>1327</v>
      </c>
      <c r="K67" s="9">
        <v>10900</v>
      </c>
      <c r="L67" s="8" t="s">
        <v>1840</v>
      </c>
      <c r="M67" s="9">
        <v>499</v>
      </c>
      <c r="N67" s="6">
        <v>13.8511434</v>
      </c>
      <c r="O67" s="6">
        <v>100.5617706</v>
      </c>
      <c r="P67" s="6" t="s">
        <v>1841</v>
      </c>
      <c r="Q67" s="6">
        <v>8</v>
      </c>
      <c r="R67" s="6" t="s">
        <v>79</v>
      </c>
      <c r="T67" s="6">
        <v>7319145</v>
      </c>
      <c r="U67" s="6" t="s">
        <v>80</v>
      </c>
      <c r="V67" s="6">
        <v>150</v>
      </c>
      <c r="W67" s="6" t="s">
        <v>80</v>
      </c>
      <c r="X67" s="6" t="s">
        <v>1842</v>
      </c>
      <c r="Y67" s="6" t="s">
        <v>1843</v>
      </c>
      <c r="Z67" s="6" t="s">
        <v>1844</v>
      </c>
      <c r="AA67" s="6" t="s">
        <v>1844</v>
      </c>
      <c r="AB67" s="6" t="s">
        <v>1845</v>
      </c>
      <c r="AC67" s="6">
        <v>517111</v>
      </c>
      <c r="AD67" s="10" t="str">
        <f>_xlfn.XLOOKUP(AC67,[1]Mapping!B:B,[1]Mapping!C:C,"")</f>
        <v xml:space="preserve">Wired Telecommunications Carriers </v>
      </c>
      <c r="AE67" s="6">
        <v>237130</v>
      </c>
      <c r="AF67" s="6" t="s">
        <v>1846</v>
      </c>
      <c r="AG67" s="6" t="s">
        <v>89</v>
      </c>
      <c r="AH67" s="6" t="s">
        <v>86</v>
      </c>
      <c r="AI67" s="6" t="s">
        <v>87</v>
      </c>
      <c r="AJ67" s="6" t="s">
        <v>86</v>
      </c>
      <c r="AK67" s="6" t="s">
        <v>88</v>
      </c>
      <c r="AL67" s="6" t="s">
        <v>89</v>
      </c>
      <c r="AM67" s="6" t="s">
        <v>90</v>
      </c>
      <c r="AN67" s="6" t="s">
        <v>91</v>
      </c>
      <c r="AO67" s="6" t="s">
        <v>92</v>
      </c>
      <c r="AQ67" s="6" t="s">
        <v>1747</v>
      </c>
      <c r="AR67" s="6" t="s">
        <v>1748</v>
      </c>
      <c r="AT67" s="6" t="s">
        <v>1749</v>
      </c>
      <c r="AU67" s="6" t="s">
        <v>1750</v>
      </c>
      <c r="AV67" s="6" t="s">
        <v>1751</v>
      </c>
      <c r="AW67" s="6" t="s">
        <v>1750</v>
      </c>
      <c r="AY67" s="6" t="s">
        <v>1847</v>
      </c>
      <c r="AZ67" s="6" t="s">
        <v>1848</v>
      </c>
      <c r="BA67" s="6" t="s">
        <v>1849</v>
      </c>
      <c r="BD67" s="6" t="s">
        <v>1850</v>
      </c>
      <c r="BE67" s="6" t="str">
        <f t="shared" ref="BE67:BE130" si="2">LEFT(
  SUBSTITUTE(SUBSTITUTE(SUBSTITUTE(BD67,"https://",""),"http://",""),"www.",""),
  IFERROR(
    FIND("/",SUBSTITUTE(SUBSTITUTE(SUBSTITUTE(BD67,"https://",""),"http://",""),"www.","")&amp;"/")-1,
    LEN(SUBSTITUTE(SUBSTITUTE(SUBSTITUTE(BD67,"https://",""),"http://",""),"www.",""))
  )
)</f>
        <v>bbtec.co.th</v>
      </c>
      <c r="BF67" s="6" t="str">
        <f t="shared" ref="BF67:BF130" si="3">_xlfn.TEXTAFTER(BE67,".",-1)</f>
        <v>th</v>
      </c>
      <c r="BG67" s="6" t="s">
        <v>1851</v>
      </c>
      <c r="BH67" s="6" t="s">
        <v>1852</v>
      </c>
      <c r="BP67" s="6" t="s">
        <v>1853</v>
      </c>
      <c r="BQ67" s="6" t="s">
        <v>1854</v>
      </c>
      <c r="BR67" s="6" t="s">
        <v>105</v>
      </c>
    </row>
    <row r="68" spans="1:70" ht="45" customHeight="1" x14ac:dyDescent="0.25">
      <c r="A68" s="6">
        <v>68</v>
      </c>
      <c r="B68" s="7" t="s">
        <v>1855</v>
      </c>
      <c r="C68" s="8" t="s">
        <v>1856</v>
      </c>
      <c r="D68" s="6" t="s">
        <v>1857</v>
      </c>
      <c r="E68" s="6" t="s">
        <v>1858</v>
      </c>
      <c r="F68" s="8" t="s">
        <v>1859</v>
      </c>
      <c r="G68" s="6" t="s">
        <v>315</v>
      </c>
      <c r="H68" s="6" t="s">
        <v>316</v>
      </c>
      <c r="I68" s="6"/>
      <c r="J68" s="6" t="s">
        <v>316</v>
      </c>
      <c r="K68" s="9">
        <v>69046</v>
      </c>
      <c r="L68" s="8" t="s">
        <v>1860</v>
      </c>
      <c r="M68" s="9">
        <v>20</v>
      </c>
      <c r="N68" s="6">
        <v>1.2795293999999999</v>
      </c>
      <c r="O68" s="6">
        <v>103.847934</v>
      </c>
      <c r="P68" s="6" t="s">
        <v>1861</v>
      </c>
      <c r="Q68" s="6">
        <v>1</v>
      </c>
      <c r="R68" s="6" t="s">
        <v>79</v>
      </c>
      <c r="T68" s="6">
        <v>18452336</v>
      </c>
      <c r="U68" s="6" t="s">
        <v>80</v>
      </c>
      <c r="V68" s="6">
        <v>75</v>
      </c>
      <c r="W68" s="6" t="s">
        <v>80</v>
      </c>
      <c r="X68" s="6" t="s">
        <v>1862</v>
      </c>
      <c r="Y68" s="6" t="s">
        <v>1863</v>
      </c>
      <c r="Z68" s="6" t="s">
        <v>1864</v>
      </c>
      <c r="AA68" s="6" t="s">
        <v>1865</v>
      </c>
      <c r="AB68" s="6" t="s">
        <v>1866</v>
      </c>
      <c r="AC68" s="6">
        <v>238220</v>
      </c>
      <c r="AD68" s="10" t="str">
        <f>_xlfn.XLOOKUP(AC68,[1]Mapping!B:B,[1]Mapping!C:C,"")</f>
        <v xml:space="preserve">Plumbing, Heating, and Air-Conditioning Contractors </v>
      </c>
      <c r="AG68" s="6" t="s">
        <v>1867</v>
      </c>
      <c r="AH68" s="6" t="s">
        <v>291</v>
      </c>
      <c r="AI68" s="6" t="s">
        <v>292</v>
      </c>
      <c r="AJ68" s="6" t="s">
        <v>432</v>
      </c>
      <c r="AK68" s="6" t="s">
        <v>433</v>
      </c>
      <c r="AL68" s="6" t="s">
        <v>434</v>
      </c>
      <c r="AM68" s="6" t="s">
        <v>435</v>
      </c>
      <c r="AN68" s="6" t="s">
        <v>436</v>
      </c>
      <c r="AO68" s="6" t="s">
        <v>437</v>
      </c>
      <c r="AQ68" s="6" t="s">
        <v>299</v>
      </c>
      <c r="AR68" s="6" t="s">
        <v>300</v>
      </c>
      <c r="AS68" s="6" t="s">
        <v>1868</v>
      </c>
      <c r="AT68" s="6" t="s">
        <v>301</v>
      </c>
      <c r="AU68" s="6" t="s">
        <v>302</v>
      </c>
      <c r="AV68" s="6" t="s">
        <v>303</v>
      </c>
      <c r="AW68" s="6" t="s">
        <v>304</v>
      </c>
      <c r="AX68" s="6" t="s">
        <v>1869</v>
      </c>
      <c r="AY68" s="6" t="s">
        <v>1870</v>
      </c>
      <c r="AZ68" s="6" t="s">
        <v>1871</v>
      </c>
      <c r="BA68" s="6" t="s">
        <v>1872</v>
      </c>
      <c r="BD68" s="6" t="s">
        <v>1873</v>
      </c>
      <c r="BE68" s="6" t="str">
        <f t="shared" si="2"/>
        <v>bcdtravel.com</v>
      </c>
      <c r="BF68" s="6" t="str">
        <f t="shared" si="3"/>
        <v>com</v>
      </c>
      <c r="BG68" s="6" t="s">
        <v>101</v>
      </c>
      <c r="BH68" s="6" t="s">
        <v>1874</v>
      </c>
      <c r="BP68" s="6" t="s">
        <v>1875</v>
      </c>
      <c r="BQ68" s="6" t="s">
        <v>1876</v>
      </c>
      <c r="BR68" s="6" t="s">
        <v>105</v>
      </c>
    </row>
    <row r="69" spans="1:70" ht="45" customHeight="1" x14ac:dyDescent="0.25">
      <c r="A69" s="6">
        <v>69</v>
      </c>
      <c r="B69" s="7" t="s">
        <v>1877</v>
      </c>
      <c r="C69" s="8" t="s">
        <v>1878</v>
      </c>
      <c r="D69" s="6" t="s">
        <v>1857</v>
      </c>
      <c r="E69" s="6" t="s">
        <v>1879</v>
      </c>
      <c r="F69" s="8" t="s">
        <v>1880</v>
      </c>
      <c r="G69" s="6" t="s">
        <v>1881</v>
      </c>
      <c r="H69" s="6" t="s">
        <v>1882</v>
      </c>
      <c r="I69" s="6" t="s">
        <v>1883</v>
      </c>
      <c r="J69" s="6" t="s">
        <v>1883</v>
      </c>
      <c r="K69" s="9" t="s">
        <v>1884</v>
      </c>
      <c r="L69" s="8" t="s">
        <v>1885</v>
      </c>
      <c r="M69" s="9">
        <v>300</v>
      </c>
      <c r="N69" s="6">
        <v>52.063699499999998</v>
      </c>
      <c r="O69" s="6">
        <v>5.1080268000000002</v>
      </c>
      <c r="P69" s="6" t="s">
        <v>1886</v>
      </c>
      <c r="Q69" s="6">
        <v>151</v>
      </c>
      <c r="R69" s="6" t="s">
        <v>79</v>
      </c>
      <c r="S69" s="6">
        <v>1983</v>
      </c>
      <c r="T69" s="6">
        <v>24999999488</v>
      </c>
      <c r="U69" s="6" t="s">
        <v>167</v>
      </c>
      <c r="V69" s="6">
        <v>13000</v>
      </c>
      <c r="W69" s="6" t="s">
        <v>80</v>
      </c>
      <c r="X69" s="6" t="s">
        <v>1887</v>
      </c>
      <c r="Y69" s="6" t="s">
        <v>1888</v>
      </c>
      <c r="Z69" s="6" t="s">
        <v>1889</v>
      </c>
      <c r="AA69" s="6" t="s">
        <v>1890</v>
      </c>
      <c r="AB69" s="6" t="s">
        <v>1891</v>
      </c>
      <c r="AC69" s="6">
        <v>561510</v>
      </c>
      <c r="AD69" s="10" t="str">
        <f>_xlfn.XLOOKUP(AC69,[1]Mapping!B:B,[1]Mapping!C:C,"")</f>
        <v>Travel Agencies</v>
      </c>
      <c r="AG69" s="6" t="s">
        <v>1892</v>
      </c>
      <c r="AH69" s="6" t="s">
        <v>1892</v>
      </c>
      <c r="AI69" s="6" t="s">
        <v>1893</v>
      </c>
      <c r="AJ69" s="6" t="s">
        <v>293</v>
      </c>
      <c r="AK69" s="6" t="s">
        <v>294</v>
      </c>
      <c r="AL69" s="6" t="s">
        <v>295</v>
      </c>
      <c r="AM69" s="6" t="s">
        <v>296</v>
      </c>
      <c r="AN69" s="6" t="s">
        <v>297</v>
      </c>
      <c r="AO69" s="6" t="s">
        <v>298</v>
      </c>
      <c r="AQ69" s="6">
        <v>4724</v>
      </c>
      <c r="AR69" s="6" t="s">
        <v>1892</v>
      </c>
      <c r="AS69" s="6" t="s">
        <v>1894</v>
      </c>
      <c r="AT69" s="6">
        <v>7911</v>
      </c>
      <c r="AU69" s="6" t="s">
        <v>1895</v>
      </c>
      <c r="AV69" s="6">
        <v>79.11</v>
      </c>
      <c r="AW69" s="6" t="s">
        <v>1895</v>
      </c>
      <c r="AX69" s="6" t="s">
        <v>1896</v>
      </c>
      <c r="AY69" s="6" t="s">
        <v>1897</v>
      </c>
      <c r="AZ69" s="6" t="s">
        <v>1898</v>
      </c>
      <c r="BA69" s="6" t="s">
        <v>1899</v>
      </c>
      <c r="BB69" s="6" t="s">
        <v>1900</v>
      </c>
      <c r="BD69" s="6" t="s">
        <v>1901</v>
      </c>
      <c r="BE69" s="6" t="str">
        <f t="shared" si="2"/>
        <v>bcdtravel.com</v>
      </c>
      <c r="BF69" s="6" t="str">
        <f t="shared" si="3"/>
        <v>com</v>
      </c>
      <c r="BG69" s="6" t="s">
        <v>101</v>
      </c>
      <c r="BH69" s="6" t="s">
        <v>1902</v>
      </c>
      <c r="BI69" s="6" t="s">
        <v>1903</v>
      </c>
      <c r="BJ69" s="6" t="s">
        <v>1904</v>
      </c>
      <c r="BK69" s="6" t="s">
        <v>1905</v>
      </c>
      <c r="BN69" s="6" t="s">
        <v>1906</v>
      </c>
      <c r="BP69" s="6" t="s">
        <v>1907</v>
      </c>
      <c r="BQ69" s="6" t="s">
        <v>1908</v>
      </c>
      <c r="BR69" s="6" t="s">
        <v>105</v>
      </c>
    </row>
    <row r="70" spans="1:70" ht="45" customHeight="1" x14ac:dyDescent="0.25">
      <c r="A70" s="6">
        <v>70</v>
      </c>
      <c r="B70" s="7" t="s">
        <v>1909</v>
      </c>
      <c r="C70" s="8" t="s">
        <v>1910</v>
      </c>
      <c r="D70" s="6" t="s">
        <v>1911</v>
      </c>
      <c r="E70" s="6" t="s">
        <v>1912</v>
      </c>
      <c r="F70" s="8" t="s">
        <v>1913</v>
      </c>
      <c r="G70" s="6" t="s">
        <v>73</v>
      </c>
      <c r="H70" s="6" t="s">
        <v>74</v>
      </c>
      <c r="I70" s="6"/>
      <c r="J70" s="6" t="s">
        <v>486</v>
      </c>
      <c r="K70" s="9">
        <v>2720</v>
      </c>
      <c r="L70" s="8" t="s">
        <v>1914</v>
      </c>
      <c r="M70" s="9" t="s">
        <v>1915</v>
      </c>
      <c r="N70" s="6">
        <v>55.6873583</v>
      </c>
      <c r="O70" s="6">
        <v>12.4876618</v>
      </c>
      <c r="P70" s="6" t="s">
        <v>1916</v>
      </c>
      <c r="Q70" s="6">
        <v>1</v>
      </c>
      <c r="R70" s="6" t="s">
        <v>79</v>
      </c>
      <c r="S70" s="6">
        <v>2003</v>
      </c>
      <c r="T70" s="6"/>
      <c r="X70" s="6" t="s">
        <v>1917</v>
      </c>
      <c r="Y70" s="6" t="s">
        <v>1918</v>
      </c>
      <c r="Z70" s="6" t="s">
        <v>1919</v>
      </c>
      <c r="AA70" s="6" t="s">
        <v>1920</v>
      </c>
      <c r="AB70" s="6" t="s">
        <v>1921</v>
      </c>
      <c r="AC70" s="6">
        <v>512240</v>
      </c>
      <c r="AD70" s="10" t="str">
        <f>_xlfn.XLOOKUP(AC70,[1]Mapping!B:B,[1]Mapping!C:C,"")</f>
        <v>Sound Recording Studios</v>
      </c>
      <c r="AG70" s="6" t="s">
        <v>1922</v>
      </c>
      <c r="AH70" s="6" t="s">
        <v>1922</v>
      </c>
      <c r="AI70" s="6" t="s">
        <v>1412</v>
      </c>
      <c r="AJ70" s="6" t="s">
        <v>500</v>
      </c>
      <c r="AK70" s="6" t="s">
        <v>501</v>
      </c>
      <c r="AL70" s="6" t="s">
        <v>502</v>
      </c>
      <c r="AM70" s="6" t="s">
        <v>503</v>
      </c>
      <c r="AN70" s="6" t="s">
        <v>297</v>
      </c>
      <c r="AO70" s="6" t="s">
        <v>298</v>
      </c>
      <c r="AQ70" s="6">
        <v>7389</v>
      </c>
      <c r="AR70" s="6" t="s">
        <v>1923</v>
      </c>
      <c r="AT70" s="6">
        <v>5920</v>
      </c>
      <c r="AU70" s="6" t="s">
        <v>1924</v>
      </c>
      <c r="AV70" s="6">
        <v>59.2</v>
      </c>
      <c r="AW70" s="6" t="s">
        <v>1924</v>
      </c>
      <c r="AY70" s="6" t="s">
        <v>1925</v>
      </c>
      <c r="AZ70" s="6" t="s">
        <v>1926</v>
      </c>
      <c r="BA70" s="6" t="s">
        <v>1927</v>
      </c>
      <c r="BB70" s="6" t="s">
        <v>1928</v>
      </c>
      <c r="BC70" s="6" t="s">
        <v>1929</v>
      </c>
      <c r="BD70" s="6" t="s">
        <v>1930</v>
      </c>
      <c r="BE70" s="6" t="str">
        <f t="shared" si="2"/>
        <v>beat.dk</v>
      </c>
      <c r="BF70" s="6" t="str">
        <f t="shared" si="3"/>
        <v>dk</v>
      </c>
      <c r="BG70" s="6" t="s">
        <v>123</v>
      </c>
      <c r="BP70" s="6" t="s">
        <v>1931</v>
      </c>
      <c r="BQ70" s="6" t="s">
        <v>1932</v>
      </c>
      <c r="BR70" s="6" t="s">
        <v>105</v>
      </c>
    </row>
    <row r="71" spans="1:70" ht="45" customHeight="1" x14ac:dyDescent="0.25">
      <c r="A71" s="6">
        <v>71</v>
      </c>
      <c r="B71" s="7" t="s">
        <v>1933</v>
      </c>
      <c r="C71" s="8" t="s">
        <v>1934</v>
      </c>
      <c r="D71" s="6" t="s">
        <v>1935</v>
      </c>
      <c r="E71" s="6" t="s">
        <v>1936</v>
      </c>
      <c r="F71" s="8" t="s">
        <v>1937</v>
      </c>
      <c r="G71" s="6" t="s">
        <v>452</v>
      </c>
      <c r="H71" s="6" t="s">
        <v>453</v>
      </c>
      <c r="I71" s="6" t="s">
        <v>1938</v>
      </c>
      <c r="J71" s="6" t="s">
        <v>1939</v>
      </c>
      <c r="K71" s="9">
        <v>102401</v>
      </c>
      <c r="L71" s="8" t="s">
        <v>1940</v>
      </c>
      <c r="N71" s="6">
        <v>39.741753600000003</v>
      </c>
      <c r="O71" s="6">
        <v>116.1511671</v>
      </c>
      <c r="P71" s="6" t="s">
        <v>1941</v>
      </c>
      <c r="Q71" s="6">
        <v>7</v>
      </c>
      <c r="R71" s="6" t="s">
        <v>79</v>
      </c>
      <c r="S71" s="6">
        <v>1995</v>
      </c>
      <c r="T71" s="6">
        <v>169800000</v>
      </c>
      <c r="U71" s="6" t="s">
        <v>167</v>
      </c>
      <c r="V71" s="6">
        <v>150</v>
      </c>
      <c r="W71" s="6" t="s">
        <v>80</v>
      </c>
      <c r="X71" s="6" t="s">
        <v>1942</v>
      </c>
      <c r="Y71" s="6" t="s">
        <v>1943</v>
      </c>
      <c r="Z71" s="6" t="s">
        <v>1944</v>
      </c>
      <c r="AA71" s="6" t="s">
        <v>1945</v>
      </c>
      <c r="AB71" s="6" t="s">
        <v>1946</v>
      </c>
      <c r="AC71" s="6">
        <v>335999</v>
      </c>
      <c r="AD71" s="10" t="str">
        <f>_xlfn.XLOOKUP(AC71,[1]Mapping!B:B,[1]Mapping!C:C,"")</f>
        <v xml:space="preserve">All Other Miscellaneous Electrical Equipment and Component Manufacturing </v>
      </c>
      <c r="AG71" s="6" t="s">
        <v>732</v>
      </c>
      <c r="AH71" s="6" t="s">
        <v>432</v>
      </c>
      <c r="AI71" s="6" t="s">
        <v>733</v>
      </c>
      <c r="AJ71" s="6" t="s">
        <v>432</v>
      </c>
      <c r="AK71" s="6" t="s">
        <v>433</v>
      </c>
      <c r="AL71" s="6" t="s">
        <v>434</v>
      </c>
      <c r="AM71" s="6" t="s">
        <v>435</v>
      </c>
      <c r="AN71" s="6" t="s">
        <v>436</v>
      </c>
      <c r="AO71" s="6" t="s">
        <v>437</v>
      </c>
      <c r="AQ71" s="6" t="s">
        <v>1947</v>
      </c>
      <c r="AR71" s="6" t="s">
        <v>1948</v>
      </c>
      <c r="AT71" s="6">
        <v>2790</v>
      </c>
      <c r="AU71" s="6" t="s">
        <v>1949</v>
      </c>
      <c r="AV71" s="6">
        <v>27.9</v>
      </c>
      <c r="AW71" s="6" t="s">
        <v>1949</v>
      </c>
      <c r="AY71" s="6">
        <v>959791000000</v>
      </c>
      <c r="AZ71" s="6" t="s">
        <v>1950</v>
      </c>
      <c r="BA71" s="6" t="s">
        <v>1951</v>
      </c>
      <c r="BB71" s="6" t="s">
        <v>1951</v>
      </c>
      <c r="BC71" s="6" t="s">
        <v>1952</v>
      </c>
      <c r="BD71" s="6" t="s">
        <v>1953</v>
      </c>
      <c r="BE71" s="6" t="str">
        <f t="shared" si="2"/>
        <v>dpc.com.cn</v>
      </c>
      <c r="BF71" s="6" t="str">
        <f t="shared" si="3"/>
        <v>cn</v>
      </c>
      <c r="BG71" s="6" t="s">
        <v>101</v>
      </c>
      <c r="BH71" s="6" t="s">
        <v>1954</v>
      </c>
      <c r="BK71" s="6" t="s">
        <v>1955</v>
      </c>
      <c r="BP71" s="6" t="s">
        <v>1956</v>
      </c>
      <c r="BQ71" s="6" t="s">
        <v>1957</v>
      </c>
      <c r="BR71" s="6" t="s">
        <v>105</v>
      </c>
    </row>
    <row r="72" spans="1:70" ht="45" customHeight="1" x14ac:dyDescent="0.25">
      <c r="A72" s="6">
        <v>72</v>
      </c>
      <c r="B72" s="7" t="s">
        <v>1958</v>
      </c>
      <c r="C72" s="8" t="s">
        <v>1959</v>
      </c>
      <c r="D72" s="6" t="s">
        <v>1960</v>
      </c>
      <c r="E72" s="6" t="s">
        <v>1961</v>
      </c>
      <c r="F72" s="8" t="s">
        <v>1962</v>
      </c>
      <c r="G72" s="6" t="s">
        <v>201</v>
      </c>
      <c r="H72" s="6" t="s">
        <v>202</v>
      </c>
      <c r="I72" s="6" t="s">
        <v>1963</v>
      </c>
      <c r="J72" s="6" t="s">
        <v>1963</v>
      </c>
      <c r="K72" s="9">
        <v>10011</v>
      </c>
      <c r="L72" s="8" t="s">
        <v>1964</v>
      </c>
      <c r="M72" s="9">
        <v>641</v>
      </c>
      <c r="N72" s="6">
        <v>40.7409313</v>
      </c>
      <c r="O72" s="6">
        <v>-73.994700100000017</v>
      </c>
      <c r="P72" s="6" t="s">
        <v>1965</v>
      </c>
      <c r="Q72" s="6">
        <v>3</v>
      </c>
      <c r="R72" s="6" t="s">
        <v>79</v>
      </c>
      <c r="S72" s="6">
        <v>2016</v>
      </c>
      <c r="T72" s="6">
        <v>100000000</v>
      </c>
      <c r="U72" s="6" t="s">
        <v>167</v>
      </c>
      <c r="V72" s="6">
        <v>400</v>
      </c>
      <c r="W72" s="6" t="s">
        <v>167</v>
      </c>
      <c r="X72" s="6" t="s">
        <v>1966</v>
      </c>
      <c r="Y72" s="6" t="s">
        <v>1967</v>
      </c>
      <c r="Z72" s="6" t="s">
        <v>1968</v>
      </c>
      <c r="AA72" s="6" t="s">
        <v>1969</v>
      </c>
      <c r="AB72" s="6" t="s">
        <v>1970</v>
      </c>
      <c r="AC72" s="6">
        <v>518210</v>
      </c>
      <c r="AD72" s="10" t="str">
        <f>_xlfn.XLOOKUP(AC72,[1]Mapping!B:B,[1]Mapping!C:C,"")</f>
        <v>Computing Infrastructure Providers, Data Processing, Web Hosting, and Related Services</v>
      </c>
      <c r="AE72" s="6">
        <v>541511</v>
      </c>
      <c r="AF72" s="6" t="s">
        <v>1971</v>
      </c>
      <c r="AG72" s="6" t="s">
        <v>1972</v>
      </c>
      <c r="AH72" s="6" t="s">
        <v>174</v>
      </c>
      <c r="AI72" s="6" t="s">
        <v>87</v>
      </c>
      <c r="AJ72" s="6" t="s">
        <v>174</v>
      </c>
      <c r="AK72" s="6" t="s">
        <v>175</v>
      </c>
      <c r="AL72" s="6" t="s">
        <v>176</v>
      </c>
      <c r="AM72" s="6" t="s">
        <v>177</v>
      </c>
      <c r="AN72" s="6" t="s">
        <v>91</v>
      </c>
      <c r="AO72" s="6" t="s">
        <v>92</v>
      </c>
      <c r="AQ72" s="6" t="s">
        <v>178</v>
      </c>
      <c r="AR72" s="6" t="s">
        <v>179</v>
      </c>
      <c r="AS72" s="6" t="s">
        <v>1973</v>
      </c>
      <c r="AT72" s="6" t="s">
        <v>181</v>
      </c>
      <c r="AU72" s="6" t="s">
        <v>182</v>
      </c>
      <c r="AV72" s="6" t="s">
        <v>183</v>
      </c>
      <c r="AW72" s="6" t="s">
        <v>184</v>
      </c>
      <c r="AX72" s="6" t="s">
        <v>1974</v>
      </c>
      <c r="AY72" s="6" t="s">
        <v>1975</v>
      </c>
      <c r="AZ72" s="6" t="s">
        <v>1976</v>
      </c>
      <c r="BA72" s="6" t="s">
        <v>1977</v>
      </c>
      <c r="BB72" s="6" t="s">
        <v>1978</v>
      </c>
      <c r="BD72" s="6" t="s">
        <v>1979</v>
      </c>
      <c r="BE72" s="6" t="str">
        <f t="shared" si="2"/>
        <v>bigid.com</v>
      </c>
      <c r="BF72" s="6" t="str">
        <f t="shared" si="3"/>
        <v>com</v>
      </c>
      <c r="BG72" s="6" t="s">
        <v>101</v>
      </c>
      <c r="BH72" s="6" t="s">
        <v>1980</v>
      </c>
      <c r="BI72" s="6" t="s">
        <v>1981</v>
      </c>
      <c r="BK72" s="6" t="s">
        <v>1982</v>
      </c>
      <c r="BN72" s="6" t="s">
        <v>1983</v>
      </c>
      <c r="BP72" s="6" t="s">
        <v>1984</v>
      </c>
      <c r="BQ72" s="6" t="s">
        <v>1985</v>
      </c>
      <c r="BR72" s="6" t="s">
        <v>105</v>
      </c>
    </row>
    <row r="73" spans="1:70" ht="45" customHeight="1" x14ac:dyDescent="0.25">
      <c r="A73" s="6">
        <v>73</v>
      </c>
      <c r="B73" s="7" t="s">
        <v>1986</v>
      </c>
      <c r="C73" s="8" t="s">
        <v>1987</v>
      </c>
      <c r="D73" s="6" t="s">
        <v>1988</v>
      </c>
      <c r="E73" s="8" t="s">
        <v>1986</v>
      </c>
      <c r="F73" s="8" t="s">
        <v>1989</v>
      </c>
      <c r="G73" s="6" t="s">
        <v>1881</v>
      </c>
      <c r="H73" s="6" t="s">
        <v>1882</v>
      </c>
      <c r="I73" s="8" t="s">
        <v>1990</v>
      </c>
      <c r="J73" s="6" t="s">
        <v>1991</v>
      </c>
      <c r="K73" s="9" t="s">
        <v>1992</v>
      </c>
      <c r="L73" s="8" t="s">
        <v>1993</v>
      </c>
      <c r="M73" s="9">
        <v>142</v>
      </c>
      <c r="N73" s="6">
        <v>52.089601100000003</v>
      </c>
      <c r="O73" s="6">
        <v>4.3111809000000001</v>
      </c>
      <c r="P73" s="6" t="s">
        <v>1994</v>
      </c>
      <c r="Q73" s="6">
        <v>1</v>
      </c>
      <c r="R73" s="6" t="s">
        <v>79</v>
      </c>
      <c r="T73" s="6">
        <v>604754</v>
      </c>
      <c r="U73" s="6" t="s">
        <v>80</v>
      </c>
      <c r="V73" s="6">
        <v>13</v>
      </c>
      <c r="W73" s="6" t="s">
        <v>80</v>
      </c>
      <c r="X73" s="6" t="s">
        <v>1995</v>
      </c>
      <c r="Y73" s="6" t="s">
        <v>1996</v>
      </c>
      <c r="Z73" s="6" t="s">
        <v>1997</v>
      </c>
      <c r="AA73" s="6" t="s">
        <v>1998</v>
      </c>
      <c r="AB73" s="6" t="s">
        <v>1999</v>
      </c>
      <c r="AC73" s="6">
        <v>722515</v>
      </c>
      <c r="AD73" s="10" t="str">
        <f>_xlfn.XLOOKUP(AC73,[1]Mapping!B:B,[1]Mapping!C:C,"")</f>
        <v xml:space="preserve">Snack and Nonalcoholic Beverage Bars </v>
      </c>
      <c r="AG73" s="6" t="s">
        <v>2000</v>
      </c>
      <c r="AH73" s="6" t="s">
        <v>2000</v>
      </c>
      <c r="AI73" s="6" t="s">
        <v>325</v>
      </c>
      <c r="AJ73" s="6" t="s">
        <v>2001</v>
      </c>
      <c r="AK73" s="6" t="s">
        <v>2002</v>
      </c>
      <c r="AL73" s="6" t="s">
        <v>328</v>
      </c>
      <c r="AM73" s="6" t="s">
        <v>329</v>
      </c>
      <c r="AN73" s="6" t="s">
        <v>297</v>
      </c>
      <c r="AO73" s="6" t="s">
        <v>298</v>
      </c>
      <c r="AQ73" s="6" t="s">
        <v>2003</v>
      </c>
      <c r="AR73" s="6" t="s">
        <v>2004</v>
      </c>
      <c r="AT73" s="6" t="s">
        <v>2005</v>
      </c>
      <c r="AU73" s="6" t="s">
        <v>2006</v>
      </c>
      <c r="AV73" s="6" t="s">
        <v>2007</v>
      </c>
      <c r="AW73" s="6" t="s">
        <v>2008</v>
      </c>
      <c r="AY73" s="6" t="s">
        <v>2009</v>
      </c>
      <c r="AZ73" s="6">
        <v>31702124000</v>
      </c>
      <c r="BD73" s="6" t="s">
        <v>2010</v>
      </c>
      <c r="BE73" s="6" t="str">
        <f t="shared" si="2"/>
        <v>binkiesdenhaag.nl</v>
      </c>
      <c r="BF73" s="6" t="str">
        <f t="shared" si="3"/>
        <v>nl</v>
      </c>
      <c r="BG73" s="6" t="s">
        <v>2011</v>
      </c>
      <c r="BJ73" s="6" t="s">
        <v>2012</v>
      </c>
      <c r="BQ73" s="6" t="s">
        <v>2013</v>
      </c>
      <c r="BR73" s="6" t="s">
        <v>105</v>
      </c>
    </row>
    <row r="74" spans="1:70" ht="45" customHeight="1" x14ac:dyDescent="0.25">
      <c r="A74" s="6">
        <v>74</v>
      </c>
      <c r="B74" s="7" t="s">
        <v>2014</v>
      </c>
      <c r="C74" s="8" t="s">
        <v>2015</v>
      </c>
      <c r="D74" s="6" t="s">
        <v>2016</v>
      </c>
      <c r="E74" s="6" t="s">
        <v>1986</v>
      </c>
      <c r="F74" s="8" t="s">
        <v>2017</v>
      </c>
      <c r="G74" s="6" t="s">
        <v>73</v>
      </c>
      <c r="H74" s="6" t="s">
        <v>74</v>
      </c>
      <c r="I74" s="6"/>
      <c r="J74" s="6" t="s">
        <v>486</v>
      </c>
      <c r="K74" s="9">
        <v>2100</v>
      </c>
      <c r="L74" s="8" t="s">
        <v>2018</v>
      </c>
      <c r="M74" s="9" t="s">
        <v>2019</v>
      </c>
      <c r="N74" s="6">
        <v>55.697017899999999</v>
      </c>
      <c r="O74" s="6">
        <v>12.5876824</v>
      </c>
      <c r="P74" s="6" t="s">
        <v>2020</v>
      </c>
      <c r="Q74" s="6">
        <v>2</v>
      </c>
      <c r="R74" s="6" t="s">
        <v>79</v>
      </c>
      <c r="S74" s="6">
        <v>2013</v>
      </c>
      <c r="T74" s="6">
        <v>2000000</v>
      </c>
      <c r="U74" s="6" t="s">
        <v>167</v>
      </c>
      <c r="V74" s="6">
        <v>38</v>
      </c>
      <c r="W74" s="6" t="s">
        <v>167</v>
      </c>
      <c r="X74" s="6" t="s">
        <v>2021</v>
      </c>
      <c r="Y74" s="6" t="s">
        <v>2022</v>
      </c>
      <c r="Z74" s="6" t="s">
        <v>2023</v>
      </c>
      <c r="AA74" s="6" t="s">
        <v>2024</v>
      </c>
      <c r="AB74" s="6" t="s">
        <v>2025</v>
      </c>
      <c r="AC74" s="6">
        <v>513210</v>
      </c>
      <c r="AD74" s="10" t="str">
        <f>_xlfn.XLOOKUP(AC74,[1]Mapping!B:B,[1]Mapping!C:C,"")</f>
        <v>Software Publishers</v>
      </c>
      <c r="AG74" s="6" t="s">
        <v>990</v>
      </c>
      <c r="AH74" s="6" t="s">
        <v>174</v>
      </c>
      <c r="AI74" s="6" t="s">
        <v>87</v>
      </c>
      <c r="AJ74" s="6" t="s">
        <v>500</v>
      </c>
      <c r="AK74" s="6" t="s">
        <v>501</v>
      </c>
      <c r="AL74" s="6" t="s">
        <v>502</v>
      </c>
      <c r="AM74" s="6" t="s">
        <v>503</v>
      </c>
      <c r="AN74" s="6" t="s">
        <v>297</v>
      </c>
      <c r="AO74" s="6" t="s">
        <v>298</v>
      </c>
      <c r="AQ74" s="6">
        <v>7372</v>
      </c>
      <c r="AR74" s="6" t="s">
        <v>2026</v>
      </c>
      <c r="AS74" s="6" t="s">
        <v>2027</v>
      </c>
      <c r="AT74" s="6">
        <v>5820</v>
      </c>
      <c r="AU74" s="6" t="s">
        <v>2028</v>
      </c>
      <c r="AV74" s="6" t="s">
        <v>2029</v>
      </c>
      <c r="AW74" s="6" t="s">
        <v>2030</v>
      </c>
      <c r="AX74" s="6" t="s">
        <v>2031</v>
      </c>
      <c r="AY74" s="6" t="s">
        <v>2032</v>
      </c>
      <c r="AZ74" s="6">
        <v>4553660777</v>
      </c>
      <c r="BA74" s="6" t="s">
        <v>2033</v>
      </c>
      <c r="BB74" s="6" t="s">
        <v>2033</v>
      </c>
      <c r="BC74" s="6" t="s">
        <v>2034</v>
      </c>
      <c r="BD74" s="6" t="s">
        <v>2035</v>
      </c>
      <c r="BE74" s="6" t="str">
        <f t="shared" si="2"/>
        <v>blackwoodseven.com</v>
      </c>
      <c r="BF74" s="6" t="str">
        <f t="shared" si="3"/>
        <v>com</v>
      </c>
      <c r="BG74" s="6" t="s">
        <v>101</v>
      </c>
      <c r="BH74" s="6" t="s">
        <v>2036</v>
      </c>
      <c r="BI74" s="6" t="s">
        <v>2037</v>
      </c>
      <c r="BK74" s="6" t="s">
        <v>2038</v>
      </c>
      <c r="BP74" s="6" t="s">
        <v>2039</v>
      </c>
      <c r="BQ74" s="6" t="s">
        <v>2040</v>
      </c>
      <c r="BR74" s="6" t="s">
        <v>105</v>
      </c>
    </row>
    <row r="75" spans="1:70" ht="45" customHeight="1" x14ac:dyDescent="0.25">
      <c r="A75" s="6">
        <v>75</v>
      </c>
      <c r="B75" s="7" t="s">
        <v>2041</v>
      </c>
      <c r="C75" s="8" t="s">
        <v>2042</v>
      </c>
      <c r="D75" s="6" t="s">
        <v>2043</v>
      </c>
      <c r="E75" s="8" t="s">
        <v>2044</v>
      </c>
      <c r="F75" s="8" t="s">
        <v>2045</v>
      </c>
      <c r="G75" s="6" t="s">
        <v>73</v>
      </c>
      <c r="H75" s="6" t="s">
        <v>74</v>
      </c>
      <c r="I75" s="8" t="s">
        <v>1133</v>
      </c>
      <c r="J75" s="6" t="s">
        <v>486</v>
      </c>
      <c r="K75" s="9">
        <v>1055</v>
      </c>
      <c r="L75" s="8" t="s">
        <v>2046</v>
      </c>
      <c r="M75" s="9">
        <v>1</v>
      </c>
      <c r="N75" s="6">
        <v>55.6795434</v>
      </c>
      <c r="O75" s="6">
        <v>12.586800800000001</v>
      </c>
      <c r="P75" s="6" t="s">
        <v>2047</v>
      </c>
      <c r="Q75" s="6">
        <v>1</v>
      </c>
      <c r="R75" s="6" t="s">
        <v>79</v>
      </c>
      <c r="T75" s="6">
        <v>2699188</v>
      </c>
      <c r="U75" s="6" t="s">
        <v>80</v>
      </c>
      <c r="V75" s="6">
        <v>30</v>
      </c>
      <c r="W75" s="6" t="s">
        <v>80</v>
      </c>
      <c r="X75" s="6" t="s">
        <v>2048</v>
      </c>
      <c r="Y75" s="6" t="s">
        <v>2049</v>
      </c>
      <c r="Z75" s="6" t="s">
        <v>2050</v>
      </c>
      <c r="AA75" s="6" t="s">
        <v>2051</v>
      </c>
      <c r="AC75" s="6">
        <v>621330</v>
      </c>
      <c r="AD75" s="10" t="str">
        <f>_xlfn.XLOOKUP(AC75,[1]Mapping!B:B,[1]Mapping!C:C,"")</f>
        <v xml:space="preserve">Offices of Mental Health Practitioners (except Physicians) </v>
      </c>
      <c r="AG75" s="6" t="s">
        <v>1162</v>
      </c>
      <c r="AH75" s="6" t="s">
        <v>1163</v>
      </c>
      <c r="AI75" s="6" t="s">
        <v>1164</v>
      </c>
      <c r="AQ75" s="6">
        <v>8049</v>
      </c>
      <c r="AR75" s="6" t="s">
        <v>1165</v>
      </c>
      <c r="AS75" s="6" t="s">
        <v>2052</v>
      </c>
      <c r="AT75" s="6">
        <v>8690</v>
      </c>
      <c r="AU75" s="6" t="s">
        <v>1166</v>
      </c>
      <c r="AV75" s="6">
        <v>86.9</v>
      </c>
      <c r="AW75" s="6" t="s">
        <v>1166</v>
      </c>
      <c r="AX75" s="6" t="s">
        <v>2053</v>
      </c>
      <c r="AY75" s="6" t="s">
        <v>2054</v>
      </c>
      <c r="AZ75" s="6" t="s">
        <v>2055</v>
      </c>
      <c r="BA75" s="6" t="s">
        <v>2056</v>
      </c>
      <c r="BB75" s="6" t="s">
        <v>2057</v>
      </c>
      <c r="BD75" s="6" t="s">
        <v>2058</v>
      </c>
      <c r="BE75" s="6" t="str">
        <f t="shared" si="2"/>
        <v>blomsoefeldt.dk</v>
      </c>
      <c r="BF75" s="6" t="str">
        <f t="shared" si="3"/>
        <v>dk</v>
      </c>
      <c r="BG75" s="6" t="s">
        <v>123</v>
      </c>
      <c r="BK75" s="6" t="s">
        <v>2059</v>
      </c>
      <c r="BP75" s="6" t="s">
        <v>2060</v>
      </c>
      <c r="BQ75" s="6" t="s">
        <v>2061</v>
      </c>
      <c r="BR75" s="6" t="s">
        <v>105</v>
      </c>
    </row>
    <row r="76" spans="1:70" ht="45" customHeight="1" x14ac:dyDescent="0.25">
      <c r="A76" s="6">
        <v>76</v>
      </c>
      <c r="B76" s="7" t="s">
        <v>2062</v>
      </c>
      <c r="C76" s="8" t="s">
        <v>2063</v>
      </c>
      <c r="D76" s="6" t="s">
        <v>2064</v>
      </c>
      <c r="E76" s="8" t="s">
        <v>2062</v>
      </c>
      <c r="F76" s="8" t="s">
        <v>2065</v>
      </c>
      <c r="G76" s="6" t="s">
        <v>130</v>
      </c>
      <c r="H76" s="6" t="s">
        <v>131</v>
      </c>
      <c r="I76" s="8" t="s">
        <v>2066</v>
      </c>
      <c r="J76" s="6" t="s">
        <v>2067</v>
      </c>
      <c r="K76" s="9">
        <v>4313</v>
      </c>
      <c r="L76" s="8" t="s">
        <v>2068</v>
      </c>
      <c r="M76" s="9">
        <v>21</v>
      </c>
      <c r="N76" s="6">
        <v>58.889459100000003</v>
      </c>
      <c r="O76" s="6">
        <v>5.7176404000000014</v>
      </c>
      <c r="P76" s="6" t="s">
        <v>2069</v>
      </c>
      <c r="Q76" s="6">
        <v>4</v>
      </c>
      <c r="R76" s="6" t="s">
        <v>79</v>
      </c>
      <c r="S76" s="6">
        <v>2016</v>
      </c>
      <c r="T76" s="6">
        <v>8000000</v>
      </c>
      <c r="U76" s="6" t="s">
        <v>167</v>
      </c>
      <c r="V76" s="6">
        <v>180</v>
      </c>
      <c r="W76" s="6" t="s">
        <v>167</v>
      </c>
      <c r="X76" s="6" t="s">
        <v>2070</v>
      </c>
      <c r="Y76" s="6" t="s">
        <v>2071</v>
      </c>
      <c r="Z76" s="6" t="s">
        <v>2072</v>
      </c>
      <c r="AA76" s="6" t="s">
        <v>2073</v>
      </c>
      <c r="AB76" s="6" t="s">
        <v>2074</v>
      </c>
      <c r="AC76" s="6">
        <v>513210</v>
      </c>
      <c r="AD76" s="10" t="str">
        <f>_xlfn.XLOOKUP(AC76,[1]Mapping!B:B,[1]Mapping!C:C,"")</f>
        <v>Software Publishers</v>
      </c>
      <c r="AG76" s="6" t="s">
        <v>2075</v>
      </c>
      <c r="AH76" s="6" t="s">
        <v>2076</v>
      </c>
      <c r="AI76" s="6" t="s">
        <v>499</v>
      </c>
      <c r="AJ76" s="6" t="s">
        <v>293</v>
      </c>
      <c r="AK76" s="6" t="s">
        <v>294</v>
      </c>
      <c r="AL76" s="6" t="s">
        <v>295</v>
      </c>
      <c r="AM76" s="6" t="s">
        <v>296</v>
      </c>
      <c r="AN76" s="6" t="s">
        <v>297</v>
      </c>
      <c r="AO76" s="6" t="s">
        <v>298</v>
      </c>
      <c r="AQ76" s="6">
        <v>7372</v>
      </c>
      <c r="AR76" s="6" t="s">
        <v>2077</v>
      </c>
      <c r="AT76" s="6">
        <v>5820</v>
      </c>
      <c r="AU76" s="6" t="s">
        <v>2028</v>
      </c>
      <c r="AV76" s="6">
        <v>58.29</v>
      </c>
      <c r="AW76" s="6" t="s">
        <v>2078</v>
      </c>
      <c r="AY76" s="6">
        <v>4791304010</v>
      </c>
      <c r="AZ76" s="6">
        <v>4791304010</v>
      </c>
      <c r="BA76" s="6" t="s">
        <v>2079</v>
      </c>
      <c r="BB76" s="6" t="s">
        <v>2079</v>
      </c>
      <c r="BD76" s="6" t="s">
        <v>2080</v>
      </c>
      <c r="BE76" s="6" t="str">
        <f t="shared" si="2"/>
        <v>boost.ai</v>
      </c>
      <c r="BF76" s="6" t="str">
        <f t="shared" si="3"/>
        <v>ai</v>
      </c>
      <c r="BG76" s="6" t="s">
        <v>101</v>
      </c>
      <c r="BH76" s="6" t="s">
        <v>2081</v>
      </c>
      <c r="BI76" s="6" t="s">
        <v>2082</v>
      </c>
      <c r="BK76" s="6" t="s">
        <v>2083</v>
      </c>
      <c r="BN76" s="6" t="s">
        <v>2084</v>
      </c>
      <c r="BP76" s="6" t="s">
        <v>2085</v>
      </c>
      <c r="BQ76" s="6" t="s">
        <v>2086</v>
      </c>
      <c r="BR76" s="6" t="s">
        <v>105</v>
      </c>
    </row>
    <row r="77" spans="1:70" ht="45" customHeight="1" x14ac:dyDescent="0.25">
      <c r="A77" s="6">
        <v>77</v>
      </c>
      <c r="B77" s="7" t="s">
        <v>2087</v>
      </c>
      <c r="C77" s="8" t="s">
        <v>2088</v>
      </c>
      <c r="D77" s="6" t="s">
        <v>2087</v>
      </c>
      <c r="E77" s="8" t="s">
        <v>2087</v>
      </c>
      <c r="F77" s="8" t="s">
        <v>2089</v>
      </c>
      <c r="G77" s="6" t="s">
        <v>73</v>
      </c>
      <c r="H77" s="6" t="s">
        <v>74</v>
      </c>
      <c r="I77" s="8" t="s">
        <v>2090</v>
      </c>
      <c r="J77" s="6" t="s">
        <v>2091</v>
      </c>
      <c r="K77" s="9">
        <v>2600</v>
      </c>
      <c r="L77" s="8" t="s">
        <v>2092</v>
      </c>
      <c r="M77" s="9">
        <v>91</v>
      </c>
      <c r="N77" s="6">
        <v>55.6972825</v>
      </c>
      <c r="O77" s="6">
        <v>12.4163961</v>
      </c>
      <c r="P77" s="6" t="s">
        <v>2093</v>
      </c>
      <c r="Q77" s="6">
        <v>8</v>
      </c>
      <c r="R77" s="6" t="s">
        <v>79</v>
      </c>
      <c r="S77" s="6">
        <v>1792</v>
      </c>
      <c r="T77" s="6">
        <v>31341760</v>
      </c>
      <c r="U77" s="6" t="s">
        <v>80</v>
      </c>
      <c r="V77" s="6">
        <v>140</v>
      </c>
      <c r="W77" s="6" t="s">
        <v>167</v>
      </c>
      <c r="X77" s="6" t="s">
        <v>2094</v>
      </c>
      <c r="Y77" s="6" t="s">
        <v>2095</v>
      </c>
      <c r="Z77" s="6" t="s">
        <v>2096</v>
      </c>
      <c r="AA77" s="6" t="s">
        <v>2097</v>
      </c>
      <c r="AB77" s="6" t="s">
        <v>2098</v>
      </c>
      <c r="AC77" s="6">
        <v>323111</v>
      </c>
      <c r="AD77" s="10" t="str">
        <f>_xlfn.XLOOKUP(AC77,[1]Mapping!B:B,[1]Mapping!C:C,"")</f>
        <v xml:space="preserve">Commercial Printing (except Screen and Books) </v>
      </c>
      <c r="AE77" s="6" t="s">
        <v>2099</v>
      </c>
      <c r="AF77" s="6" t="s">
        <v>1121</v>
      </c>
      <c r="AG77" s="6" t="s">
        <v>2100</v>
      </c>
      <c r="AH77" s="6" t="s">
        <v>2101</v>
      </c>
      <c r="AI77" s="6" t="s">
        <v>2102</v>
      </c>
      <c r="AJ77" s="6" t="s">
        <v>500</v>
      </c>
      <c r="AK77" s="6" t="s">
        <v>501</v>
      </c>
      <c r="AL77" s="6" t="s">
        <v>502</v>
      </c>
      <c r="AM77" s="6" t="s">
        <v>503</v>
      </c>
      <c r="AN77" s="6" t="s">
        <v>297</v>
      </c>
      <c r="AO77" s="6" t="s">
        <v>298</v>
      </c>
      <c r="AQ77" s="6">
        <v>2759</v>
      </c>
      <c r="AR77" s="6" t="s">
        <v>2103</v>
      </c>
      <c r="AT77" s="6">
        <v>1812</v>
      </c>
      <c r="AU77" s="6" t="s">
        <v>2104</v>
      </c>
      <c r="AV77" s="6">
        <v>18.12</v>
      </c>
      <c r="AW77" s="6" t="s">
        <v>2104</v>
      </c>
      <c r="AY77" s="6" t="s">
        <v>2105</v>
      </c>
      <c r="AZ77" s="6" t="s">
        <v>2106</v>
      </c>
      <c r="BA77" s="6" t="s">
        <v>2107</v>
      </c>
      <c r="BB77" s="6" t="s">
        <v>2108</v>
      </c>
      <c r="BC77" s="6" t="s">
        <v>2109</v>
      </c>
      <c r="BD77" s="6" t="s">
        <v>2110</v>
      </c>
      <c r="BE77" s="6" t="str">
        <f t="shared" si="2"/>
        <v>bording.dk</v>
      </c>
      <c r="BF77" s="6" t="str">
        <f t="shared" si="3"/>
        <v>dk</v>
      </c>
      <c r="BG77" s="6" t="s">
        <v>123</v>
      </c>
      <c r="BH77" s="6" t="s">
        <v>2111</v>
      </c>
      <c r="BJ77" s="6" t="s">
        <v>2112</v>
      </c>
      <c r="BK77" s="6" t="s">
        <v>2113</v>
      </c>
      <c r="BP77" s="6" t="s">
        <v>2114</v>
      </c>
      <c r="BQ77" s="6" t="s">
        <v>2115</v>
      </c>
      <c r="BR77" s="6" t="s">
        <v>105</v>
      </c>
    </row>
    <row r="78" spans="1:70" ht="45" customHeight="1" x14ac:dyDescent="0.25">
      <c r="A78" s="6">
        <v>78</v>
      </c>
      <c r="B78" s="7" t="s">
        <v>2116</v>
      </c>
      <c r="C78" s="8" t="s">
        <v>2117</v>
      </c>
      <c r="D78" s="6" t="s">
        <v>2118</v>
      </c>
      <c r="E78" s="6" t="s">
        <v>2119</v>
      </c>
      <c r="F78" s="8" t="s">
        <v>2120</v>
      </c>
      <c r="G78" s="6" t="s">
        <v>160</v>
      </c>
      <c r="H78" s="6" t="s">
        <v>161</v>
      </c>
      <c r="I78" s="6" t="s">
        <v>281</v>
      </c>
      <c r="J78" s="6" t="s">
        <v>2121</v>
      </c>
      <c r="K78" s="9" t="s">
        <v>2122</v>
      </c>
      <c r="L78" s="8" t="s">
        <v>2123</v>
      </c>
      <c r="M78" s="9">
        <v>22</v>
      </c>
      <c r="N78" s="6">
        <v>59.353294300000002</v>
      </c>
      <c r="O78" s="6">
        <v>17.955989599999999</v>
      </c>
      <c r="P78" s="6" t="s">
        <v>2124</v>
      </c>
      <c r="Q78" s="6">
        <v>1</v>
      </c>
      <c r="R78" s="6" t="s">
        <v>79</v>
      </c>
      <c r="S78" s="6">
        <v>2013</v>
      </c>
      <c r="T78" s="6">
        <v>108016704</v>
      </c>
      <c r="U78" s="6" t="s">
        <v>80</v>
      </c>
      <c r="V78" s="6">
        <v>400</v>
      </c>
      <c r="W78" s="6" t="s">
        <v>167</v>
      </c>
      <c r="X78" s="6" t="s">
        <v>2125</v>
      </c>
      <c r="Y78" s="6" t="s">
        <v>2126</v>
      </c>
      <c r="Z78" s="6" t="s">
        <v>2127</v>
      </c>
      <c r="AA78" s="6" t="s">
        <v>2128</v>
      </c>
      <c r="AB78" s="6" t="s">
        <v>2129</v>
      </c>
      <c r="AC78" s="6">
        <v>481111</v>
      </c>
      <c r="AD78" s="10" t="str">
        <f>_xlfn.XLOOKUP(AC78,[1]Mapping!B:B,[1]Mapping!C:C,"")</f>
        <v xml:space="preserve">Scheduled Passenger Air Transportation </v>
      </c>
      <c r="AE78" s="6">
        <v>481112</v>
      </c>
      <c r="AF78" s="6" t="s">
        <v>2130</v>
      </c>
      <c r="AG78" s="6" t="s">
        <v>2131</v>
      </c>
      <c r="AH78" s="6" t="s">
        <v>2132</v>
      </c>
      <c r="AI78" s="6" t="s">
        <v>2133</v>
      </c>
      <c r="AJ78" s="6" t="s">
        <v>2134</v>
      </c>
      <c r="AK78" s="6" t="s">
        <v>2135</v>
      </c>
      <c r="AL78" s="6" t="s">
        <v>2136</v>
      </c>
      <c r="AM78" s="6" t="s">
        <v>2137</v>
      </c>
      <c r="AN78" s="6" t="s">
        <v>2138</v>
      </c>
      <c r="AO78" s="6" t="s">
        <v>2139</v>
      </c>
      <c r="AQ78" s="6">
        <v>4512</v>
      </c>
      <c r="AR78" s="6" t="s">
        <v>2140</v>
      </c>
      <c r="AS78" s="6" t="s">
        <v>2141</v>
      </c>
      <c r="AT78" s="6">
        <v>5110</v>
      </c>
      <c r="AU78" s="6" t="s">
        <v>2142</v>
      </c>
      <c r="AV78" s="6">
        <v>51.1</v>
      </c>
      <c r="AW78" s="6" t="s">
        <v>2142</v>
      </c>
      <c r="AX78" s="6" t="s">
        <v>2143</v>
      </c>
      <c r="AY78" s="6">
        <v>46771440010</v>
      </c>
      <c r="AZ78" s="6">
        <v>46771440010</v>
      </c>
      <c r="BB78" s="6" t="s">
        <v>2144</v>
      </c>
      <c r="BD78" s="6" t="s">
        <v>2145</v>
      </c>
      <c r="BE78" s="6" t="str">
        <f t="shared" si="2"/>
        <v>renavia.com</v>
      </c>
      <c r="BF78" s="6" t="str">
        <f t="shared" si="3"/>
        <v>com</v>
      </c>
      <c r="BG78" s="6" t="s">
        <v>308</v>
      </c>
      <c r="BH78" s="6" t="s">
        <v>2146</v>
      </c>
      <c r="BJ78" s="6" t="s">
        <v>2147</v>
      </c>
      <c r="BK78" s="6" t="s">
        <v>2148</v>
      </c>
      <c r="BP78" s="6" t="s">
        <v>2149</v>
      </c>
      <c r="BQ78" s="6" t="s">
        <v>2150</v>
      </c>
      <c r="BR78" s="6" t="s">
        <v>105</v>
      </c>
    </row>
    <row r="79" spans="1:70" ht="45" customHeight="1" x14ac:dyDescent="0.25">
      <c r="A79" s="6">
        <v>79</v>
      </c>
      <c r="B79" s="7" t="s">
        <v>2151</v>
      </c>
      <c r="C79" s="8" t="s">
        <v>2152</v>
      </c>
      <c r="D79" s="6" t="s">
        <v>2153</v>
      </c>
      <c r="E79" s="6" t="s">
        <v>2154</v>
      </c>
      <c r="F79" s="8" t="s">
        <v>2155</v>
      </c>
      <c r="G79" s="6" t="s">
        <v>1400</v>
      </c>
      <c r="H79" s="6" t="s">
        <v>1401</v>
      </c>
      <c r="I79" s="6" t="s">
        <v>1402</v>
      </c>
      <c r="J79" s="6" t="s">
        <v>1403</v>
      </c>
      <c r="K79" s="9">
        <v>75600</v>
      </c>
      <c r="L79" s="8" t="s">
        <v>2156</v>
      </c>
      <c r="M79" s="9" t="s">
        <v>2156</v>
      </c>
      <c r="N79" s="6">
        <v>24.827449699999999</v>
      </c>
      <c r="O79" s="6">
        <v>67.037971400000004</v>
      </c>
      <c r="P79" s="6" t="s">
        <v>2157</v>
      </c>
      <c r="Q79" s="6">
        <v>2</v>
      </c>
      <c r="R79" s="6" t="s">
        <v>79</v>
      </c>
      <c r="S79" s="6">
        <v>1997</v>
      </c>
      <c r="T79" s="6">
        <v>850985</v>
      </c>
      <c r="U79" s="6" t="s">
        <v>80</v>
      </c>
      <c r="V79" s="6">
        <v>160</v>
      </c>
      <c r="W79" s="6" t="s">
        <v>167</v>
      </c>
      <c r="X79" s="6" t="s">
        <v>2158</v>
      </c>
      <c r="Y79" s="6" t="s">
        <v>2159</v>
      </c>
      <c r="Z79" s="6" t="s">
        <v>2160</v>
      </c>
      <c r="AA79" s="6" t="s">
        <v>2161</v>
      </c>
      <c r="AB79" s="6" t="s">
        <v>2162</v>
      </c>
      <c r="AC79" s="6">
        <v>541810</v>
      </c>
      <c r="AD79" s="10" t="str">
        <f>_xlfn.XLOOKUP(AC79,[1]Mapping!B:B,[1]Mapping!C:C,"")</f>
        <v>Advertising Agencies</v>
      </c>
      <c r="AG79" s="6" t="s">
        <v>1142</v>
      </c>
      <c r="AH79" s="6" t="s">
        <v>1143</v>
      </c>
      <c r="AI79" s="6" t="s">
        <v>500</v>
      </c>
      <c r="AJ79" s="6" t="s">
        <v>500</v>
      </c>
      <c r="AK79" s="6" t="s">
        <v>501</v>
      </c>
      <c r="AL79" s="6" t="s">
        <v>502</v>
      </c>
      <c r="AM79" s="6" t="s">
        <v>503</v>
      </c>
      <c r="AN79" s="6" t="s">
        <v>297</v>
      </c>
      <c r="AO79" s="6" t="s">
        <v>298</v>
      </c>
      <c r="AQ79" s="6">
        <v>7311</v>
      </c>
      <c r="AR79" s="6" t="s">
        <v>1121</v>
      </c>
      <c r="AT79" s="6">
        <v>7310</v>
      </c>
      <c r="AU79" s="6" t="s">
        <v>1123</v>
      </c>
      <c r="AV79" s="6" t="s">
        <v>1144</v>
      </c>
      <c r="AW79" s="6" t="s">
        <v>1145</v>
      </c>
      <c r="AY79" s="6" t="s">
        <v>2163</v>
      </c>
      <c r="AZ79" s="6" t="s">
        <v>2164</v>
      </c>
      <c r="BA79" s="6" t="s">
        <v>2165</v>
      </c>
      <c r="BB79" s="6" t="s">
        <v>2165</v>
      </c>
      <c r="BD79" s="6" t="s">
        <v>2166</v>
      </c>
      <c r="BE79" s="6" t="str">
        <f t="shared" si="2"/>
        <v>brainchild.net</v>
      </c>
      <c r="BF79" s="6" t="str">
        <f t="shared" si="3"/>
        <v>net</v>
      </c>
      <c r="BG79" s="6" t="s">
        <v>101</v>
      </c>
      <c r="BH79" s="6" t="s">
        <v>2167</v>
      </c>
      <c r="BI79" s="6" t="s">
        <v>2168</v>
      </c>
      <c r="BK79" s="6" t="s">
        <v>2169</v>
      </c>
      <c r="BN79" s="6" t="s">
        <v>2170</v>
      </c>
      <c r="BP79" s="6" t="s">
        <v>2171</v>
      </c>
      <c r="BQ79" s="6" t="s">
        <v>2172</v>
      </c>
      <c r="BR79" s="6" t="s">
        <v>105</v>
      </c>
    </row>
    <row r="80" spans="1:70" ht="45" customHeight="1" x14ac:dyDescent="0.25">
      <c r="A80" s="6">
        <v>80</v>
      </c>
      <c r="B80" s="7" t="s">
        <v>2173</v>
      </c>
      <c r="C80" s="8" t="s">
        <v>2174</v>
      </c>
      <c r="D80" s="6" t="s">
        <v>2173</v>
      </c>
      <c r="E80" s="6" t="s">
        <v>2175</v>
      </c>
      <c r="F80" s="8" t="s">
        <v>2176</v>
      </c>
      <c r="G80" s="6" t="e">
        <f>#REF!</f>
        <v>#REF!</v>
      </c>
      <c r="H80" s="6" t="e">
        <f>#REF!</f>
        <v>#REF!</v>
      </c>
      <c r="I80" s="6" t="e">
        <f>#REF!</f>
        <v>#REF!</v>
      </c>
      <c r="J80" s="6" t="e">
        <f>#REF!</f>
        <v>#REF!</v>
      </c>
      <c r="K80" s="9" t="e">
        <f>#REF!</f>
        <v>#REF!</v>
      </c>
      <c r="L80" s="8" t="s">
        <v>2177</v>
      </c>
      <c r="M80" s="9">
        <v>14</v>
      </c>
      <c r="P80" s="6" t="s">
        <v>2178</v>
      </c>
      <c r="Q80" s="6">
        <v>2</v>
      </c>
      <c r="R80" s="6" t="s">
        <v>79</v>
      </c>
      <c r="S80" s="6">
        <v>2008</v>
      </c>
      <c r="T80" s="6">
        <v>14588839</v>
      </c>
      <c r="U80" s="6" t="s">
        <v>80</v>
      </c>
      <c r="V80" s="6">
        <v>75</v>
      </c>
      <c r="W80" s="6" t="s">
        <v>80</v>
      </c>
      <c r="X80" s="6" t="s">
        <v>2179</v>
      </c>
      <c r="Y80" s="6" t="s">
        <v>2180</v>
      </c>
      <c r="Z80" s="6" t="s">
        <v>2181</v>
      </c>
      <c r="AA80" s="6" t="s">
        <v>2182</v>
      </c>
      <c r="AB80" s="6" t="s">
        <v>2183</v>
      </c>
      <c r="AC80" s="6">
        <v>488490</v>
      </c>
      <c r="AD80" s="10" t="str">
        <f>_xlfn.XLOOKUP(AC80,[1]Mapping!B:B,[1]Mapping!C:C,"")</f>
        <v xml:space="preserve">Other Support Activities for Road Transportation </v>
      </c>
      <c r="AG80" s="6" t="s">
        <v>2184</v>
      </c>
      <c r="AH80" s="6" t="s">
        <v>2185</v>
      </c>
      <c r="AI80" s="6" t="s">
        <v>2186</v>
      </c>
      <c r="AJ80" s="6" t="s">
        <v>293</v>
      </c>
      <c r="AK80" s="6" t="s">
        <v>294</v>
      </c>
      <c r="AL80" s="6" t="s">
        <v>295</v>
      </c>
      <c r="AM80" s="6" t="s">
        <v>296</v>
      </c>
      <c r="AN80" s="6" t="s">
        <v>297</v>
      </c>
      <c r="AO80" s="6" t="s">
        <v>298</v>
      </c>
      <c r="AQ80" s="6">
        <v>4789</v>
      </c>
      <c r="AR80" s="6" t="s">
        <v>2187</v>
      </c>
      <c r="AS80" s="6" t="s">
        <v>2188</v>
      </c>
      <c r="AT80" s="6">
        <v>5229</v>
      </c>
      <c r="AU80" s="6" t="s">
        <v>2189</v>
      </c>
      <c r="AV80" s="6">
        <v>52.29</v>
      </c>
      <c r="AW80" s="6" t="s">
        <v>2189</v>
      </c>
      <c r="AX80" s="6" t="s">
        <v>2190</v>
      </c>
      <c r="AY80" s="6">
        <v>4570808081</v>
      </c>
      <c r="AZ80" s="6" t="s">
        <v>2191</v>
      </c>
      <c r="BA80" s="6" t="s">
        <v>2192</v>
      </c>
      <c r="BB80" s="6" t="s">
        <v>2193</v>
      </c>
      <c r="BC80" s="6" t="s">
        <v>2194</v>
      </c>
      <c r="BD80" s="6" t="s">
        <v>2195</v>
      </c>
      <c r="BE80" s="6" t="str">
        <f t="shared" si="2"/>
        <v>brobizz.com</v>
      </c>
      <c r="BF80" s="6" t="str">
        <f t="shared" si="3"/>
        <v>com</v>
      </c>
      <c r="BG80" s="6" t="s">
        <v>123</v>
      </c>
      <c r="BH80" s="6" t="s">
        <v>2196</v>
      </c>
      <c r="BK80" s="6" t="s">
        <v>2197</v>
      </c>
      <c r="BL80" s="6" t="s">
        <v>2198</v>
      </c>
      <c r="BM80" s="6" t="s">
        <v>2199</v>
      </c>
      <c r="BP80" s="6" t="s">
        <v>2200</v>
      </c>
      <c r="BQ80" s="6" t="s">
        <v>2201</v>
      </c>
      <c r="BR80" s="6" t="s">
        <v>105</v>
      </c>
    </row>
    <row r="81" spans="1:70" ht="45" customHeight="1" x14ac:dyDescent="0.25">
      <c r="A81" s="6">
        <v>81</v>
      </c>
      <c r="B81" s="7" t="s">
        <v>2202</v>
      </c>
      <c r="C81" s="8" t="s">
        <v>2203</v>
      </c>
      <c r="D81" s="6" t="s">
        <v>2204</v>
      </c>
      <c r="E81" s="8" t="s">
        <v>2205</v>
      </c>
      <c r="F81" s="8" t="s">
        <v>2205</v>
      </c>
      <c r="G81" s="6" t="s">
        <v>73</v>
      </c>
      <c r="H81" s="6" t="s">
        <v>74</v>
      </c>
      <c r="I81" s="6"/>
      <c r="J81" s="6" t="s">
        <v>2206</v>
      </c>
      <c r="K81" s="9">
        <v>7100</v>
      </c>
      <c r="L81" s="8" t="s">
        <v>2207</v>
      </c>
      <c r="M81" s="9">
        <v>19</v>
      </c>
      <c r="N81" s="6">
        <v>55.680559899999999</v>
      </c>
      <c r="O81" s="6">
        <v>9.5865220999999998</v>
      </c>
      <c r="P81" s="6" t="s">
        <v>2208</v>
      </c>
      <c r="Q81" s="6">
        <v>1</v>
      </c>
      <c r="R81" s="6" t="s">
        <v>79</v>
      </c>
      <c r="T81" s="6"/>
      <c r="X81" s="6" t="s">
        <v>2209</v>
      </c>
      <c r="Y81" s="6" t="s">
        <v>2210</v>
      </c>
      <c r="Z81" s="6" t="s">
        <v>2211</v>
      </c>
      <c r="AA81" s="6" t="s">
        <v>2212</v>
      </c>
      <c r="AB81" s="6" t="s">
        <v>2213</v>
      </c>
      <c r="AC81" s="6">
        <v>238220</v>
      </c>
      <c r="AD81" s="10" t="str">
        <f>_xlfn.XLOOKUP(AC81,[1]Mapping!B:B,[1]Mapping!C:C,"")</f>
        <v xml:space="preserve">Plumbing, Heating, and Air-Conditioning Contractors </v>
      </c>
      <c r="AG81" s="6" t="s">
        <v>1867</v>
      </c>
      <c r="AH81" s="6" t="s">
        <v>291</v>
      </c>
      <c r="AI81" s="6" t="s">
        <v>292</v>
      </c>
      <c r="AQ81" s="6" t="s">
        <v>299</v>
      </c>
      <c r="AR81" s="6" t="s">
        <v>300</v>
      </c>
      <c r="AT81" s="6" t="s">
        <v>301</v>
      </c>
      <c r="AU81" s="6" t="s">
        <v>302</v>
      </c>
      <c r="AV81" s="6" t="s">
        <v>303</v>
      </c>
      <c r="AW81" s="6" t="s">
        <v>304</v>
      </c>
      <c r="AY81" s="6" t="s">
        <v>2214</v>
      </c>
      <c r="AZ81" s="6">
        <v>4575857311</v>
      </c>
      <c r="BA81" s="6" t="s">
        <v>2215</v>
      </c>
      <c r="BB81" s="6" t="s">
        <v>2216</v>
      </c>
      <c r="BD81" s="6" t="s">
        <v>2217</v>
      </c>
      <c r="BE81" s="6" t="str">
        <f t="shared" si="2"/>
        <v>coolcare.dk</v>
      </c>
      <c r="BF81" s="6" t="str">
        <f t="shared" si="3"/>
        <v>dk</v>
      </c>
      <c r="BG81" s="6" t="s">
        <v>123</v>
      </c>
      <c r="BH81" s="6" t="s">
        <v>2218</v>
      </c>
      <c r="BK81" s="6" t="s">
        <v>2219</v>
      </c>
      <c r="BQ81" s="6" t="s">
        <v>2220</v>
      </c>
      <c r="BR81" s="6" t="s">
        <v>105</v>
      </c>
    </row>
    <row r="82" spans="1:70" ht="45" customHeight="1" x14ac:dyDescent="0.25">
      <c r="A82" s="6">
        <v>82</v>
      </c>
      <c r="B82" s="7" t="s">
        <v>2221</v>
      </c>
      <c r="C82" s="8" t="s">
        <v>2222</v>
      </c>
      <c r="D82" s="6" t="s">
        <v>2223</v>
      </c>
      <c r="E82" s="6" t="s">
        <v>2224</v>
      </c>
      <c r="F82" s="8" t="s">
        <v>2225</v>
      </c>
      <c r="G82" s="6" t="s">
        <v>1881</v>
      </c>
      <c r="H82" s="6" t="s">
        <v>1882</v>
      </c>
      <c r="I82" s="6" t="s">
        <v>2226</v>
      </c>
      <c r="J82" s="6" t="s">
        <v>2227</v>
      </c>
      <c r="K82" s="9" t="s">
        <v>2228</v>
      </c>
      <c r="L82" s="8" t="s">
        <v>2229</v>
      </c>
      <c r="M82" s="9">
        <v>16</v>
      </c>
      <c r="N82" s="6">
        <v>52.363667199999988</v>
      </c>
      <c r="O82" s="6">
        <v>4.8775854000000001</v>
      </c>
      <c r="P82" s="6" t="s">
        <v>2230</v>
      </c>
      <c r="Q82" s="6">
        <v>7</v>
      </c>
      <c r="R82" s="6" t="s">
        <v>79</v>
      </c>
      <c r="S82" s="6">
        <v>2013</v>
      </c>
      <c r="T82" s="6">
        <v>100000000</v>
      </c>
      <c r="U82" s="6" t="s">
        <v>167</v>
      </c>
      <c r="V82" s="6">
        <v>600</v>
      </c>
      <c r="W82" s="6" t="s">
        <v>167</v>
      </c>
      <c r="X82" s="6" t="s">
        <v>2231</v>
      </c>
      <c r="Y82" s="6" t="s">
        <v>2232</v>
      </c>
      <c r="Z82" s="6" t="s">
        <v>2233</v>
      </c>
      <c r="AA82" s="6" t="s">
        <v>2234</v>
      </c>
      <c r="AB82" s="6" t="s">
        <v>2235</v>
      </c>
      <c r="AC82" s="6">
        <v>511210</v>
      </c>
      <c r="AD82" s="10" t="s">
        <v>1971</v>
      </c>
      <c r="AE82" s="6">
        <v>541511</v>
      </c>
      <c r="AF82" s="6" t="s">
        <v>1971</v>
      </c>
      <c r="AG82" s="6" t="s">
        <v>2236</v>
      </c>
      <c r="AH82" s="6" t="s">
        <v>2237</v>
      </c>
      <c r="AI82" s="6" t="s">
        <v>499</v>
      </c>
      <c r="AJ82" s="6" t="s">
        <v>174</v>
      </c>
      <c r="AK82" s="6" t="s">
        <v>175</v>
      </c>
      <c r="AL82" s="6" t="s">
        <v>176</v>
      </c>
      <c r="AM82" s="6" t="s">
        <v>177</v>
      </c>
      <c r="AN82" s="6" t="s">
        <v>91</v>
      </c>
      <c r="AO82" s="6" t="s">
        <v>92</v>
      </c>
      <c r="AQ82" s="6">
        <v>7372</v>
      </c>
      <c r="AR82" s="6" t="s">
        <v>2077</v>
      </c>
      <c r="AS82" s="6" t="s">
        <v>2238</v>
      </c>
      <c r="AT82" s="6">
        <v>5820</v>
      </c>
      <c r="AU82" s="6" t="s">
        <v>2028</v>
      </c>
      <c r="AV82" s="6">
        <v>58.29</v>
      </c>
      <c r="AW82" s="6" t="s">
        <v>2078</v>
      </c>
      <c r="AX82" s="6" t="s">
        <v>2239</v>
      </c>
      <c r="AY82" s="6" t="s">
        <v>2240</v>
      </c>
      <c r="AZ82" s="6" t="s">
        <v>2241</v>
      </c>
      <c r="BA82" s="6" t="s">
        <v>2242</v>
      </c>
      <c r="BB82" s="6" t="s">
        <v>2243</v>
      </c>
      <c r="BD82" s="6" t="s">
        <v>2244</v>
      </c>
      <c r="BE82" s="6" t="str">
        <f t="shared" si="2"/>
        <v>bynder.com</v>
      </c>
      <c r="BF82" s="6" t="str">
        <f t="shared" si="3"/>
        <v>com</v>
      </c>
      <c r="BG82" s="6" t="s">
        <v>101</v>
      </c>
      <c r="BH82" s="6" t="s">
        <v>2245</v>
      </c>
      <c r="BI82" s="6" t="s">
        <v>2246</v>
      </c>
      <c r="BK82" s="6" t="s">
        <v>2247</v>
      </c>
      <c r="BL82" s="6" t="s">
        <v>2248</v>
      </c>
      <c r="BM82" s="6" t="s">
        <v>2249</v>
      </c>
      <c r="BN82" s="6" t="s">
        <v>2250</v>
      </c>
      <c r="BP82" s="6" t="s">
        <v>2251</v>
      </c>
      <c r="BQ82" s="6" t="s">
        <v>2252</v>
      </c>
      <c r="BR82" s="6" t="s">
        <v>105</v>
      </c>
    </row>
    <row r="83" spans="1:70" ht="45" customHeight="1" x14ac:dyDescent="0.25">
      <c r="A83" s="6">
        <v>83</v>
      </c>
      <c r="B83" s="7" t="s">
        <v>2253</v>
      </c>
      <c r="C83" s="8" t="s">
        <v>2254</v>
      </c>
      <c r="D83" s="6" t="s">
        <v>2255</v>
      </c>
      <c r="E83" s="6" t="s">
        <v>2256</v>
      </c>
      <c r="F83" s="8" t="s">
        <v>2257</v>
      </c>
      <c r="G83" s="6" t="s">
        <v>315</v>
      </c>
      <c r="H83" s="6" t="s">
        <v>316</v>
      </c>
      <c r="I83" s="6"/>
      <c r="J83" s="6" t="s">
        <v>316</v>
      </c>
      <c r="K83" s="9">
        <v>469001</v>
      </c>
      <c r="L83" s="8" t="s">
        <v>2258</v>
      </c>
      <c r="M83" s="9" t="s">
        <v>2259</v>
      </c>
      <c r="N83" s="6">
        <v>1.3231157</v>
      </c>
      <c r="O83" s="6">
        <v>103.922715</v>
      </c>
      <c r="P83" s="6" t="s">
        <v>2260</v>
      </c>
      <c r="Q83" s="6">
        <v>3</v>
      </c>
      <c r="R83" s="6" t="s">
        <v>79</v>
      </c>
      <c r="S83" s="6">
        <v>2017</v>
      </c>
      <c r="T83" s="6">
        <v>10126821</v>
      </c>
      <c r="U83" s="6" t="s">
        <v>80</v>
      </c>
      <c r="V83" s="6">
        <v>25</v>
      </c>
      <c r="W83" s="6" t="s">
        <v>80</v>
      </c>
      <c r="X83" s="6" t="s">
        <v>2261</v>
      </c>
      <c r="Y83" s="6" t="s">
        <v>2262</v>
      </c>
      <c r="Z83" s="6" t="s">
        <v>2263</v>
      </c>
      <c r="AA83" s="6" t="s">
        <v>2264</v>
      </c>
      <c r="AB83" s="6" t="s">
        <v>2265</v>
      </c>
      <c r="AC83" s="6">
        <v>336413</v>
      </c>
      <c r="AD83" s="10" t="str">
        <f>_xlfn.XLOOKUP(AC83,[1]Mapping!B:B,[1]Mapping!C:C,"")</f>
        <v xml:space="preserve">Other Aircraft Parts and Auxiliary Equipment Manufacturing </v>
      </c>
      <c r="AE83" s="6">
        <v>488190</v>
      </c>
      <c r="AF83" s="6" t="s">
        <v>2266</v>
      </c>
      <c r="AG83" s="6" t="s">
        <v>603</v>
      </c>
      <c r="AH83" s="6" t="s">
        <v>604</v>
      </c>
      <c r="AI83" s="6" t="s">
        <v>466</v>
      </c>
      <c r="AJ83" s="6" t="s">
        <v>2267</v>
      </c>
      <c r="AK83" s="6" t="s">
        <v>2268</v>
      </c>
      <c r="AL83" s="6" t="s">
        <v>434</v>
      </c>
      <c r="AM83" s="6" t="s">
        <v>435</v>
      </c>
      <c r="AN83" s="6" t="s">
        <v>436</v>
      </c>
      <c r="AO83" s="6" t="s">
        <v>437</v>
      </c>
      <c r="AQ83" s="6">
        <v>3728</v>
      </c>
      <c r="AR83" s="6" t="s">
        <v>2269</v>
      </c>
      <c r="AT83" s="6">
        <v>3030</v>
      </c>
      <c r="AU83" s="6" t="s">
        <v>2270</v>
      </c>
      <c r="AV83" s="6">
        <v>30.3</v>
      </c>
      <c r="AW83" s="6" t="s">
        <v>2270</v>
      </c>
      <c r="AY83" s="6" t="s">
        <v>2271</v>
      </c>
      <c r="AZ83" s="6">
        <v>6563396055</v>
      </c>
      <c r="BA83" s="6" t="s">
        <v>2272</v>
      </c>
      <c r="BD83" s="6" t="s">
        <v>2273</v>
      </c>
      <c r="BE83" s="6" t="str">
        <f t="shared" si="2"/>
        <v>cushmanwakefield.com</v>
      </c>
      <c r="BF83" s="6" t="str">
        <f t="shared" si="3"/>
        <v>com</v>
      </c>
      <c r="BG83" s="6" t="s">
        <v>101</v>
      </c>
      <c r="BH83" s="6" t="s">
        <v>2274</v>
      </c>
      <c r="BI83" s="6" t="s">
        <v>2275</v>
      </c>
      <c r="BJ83" s="6" t="s">
        <v>2276</v>
      </c>
      <c r="BK83" s="6" t="s">
        <v>2277</v>
      </c>
      <c r="BN83" s="6" t="s">
        <v>2278</v>
      </c>
      <c r="BP83" s="6" t="s">
        <v>2279</v>
      </c>
      <c r="BQ83" s="6" t="s">
        <v>2280</v>
      </c>
      <c r="BR83" s="6" t="s">
        <v>105</v>
      </c>
    </row>
    <row r="84" spans="1:70" ht="45" customHeight="1" x14ac:dyDescent="0.25">
      <c r="A84" s="6">
        <v>84</v>
      </c>
      <c r="B84" s="7" t="s">
        <v>2281</v>
      </c>
      <c r="C84" s="8" t="s">
        <v>2282</v>
      </c>
      <c r="D84" s="6" t="s">
        <v>2283</v>
      </c>
      <c r="E84" s="6" t="s">
        <v>2284</v>
      </c>
      <c r="F84" s="8" t="s">
        <v>2285</v>
      </c>
      <c r="G84" s="6" t="s">
        <v>315</v>
      </c>
      <c r="H84" s="6" t="s">
        <v>316</v>
      </c>
      <c r="I84" s="6"/>
      <c r="J84" s="6" t="s">
        <v>316</v>
      </c>
      <c r="K84" s="9">
        <v>486066</v>
      </c>
      <c r="L84" s="8" t="s">
        <v>2286</v>
      </c>
      <c r="M84" s="9">
        <v>51</v>
      </c>
      <c r="N84" s="6">
        <v>1.334962</v>
      </c>
      <c r="O84" s="6">
        <v>103.96501619999999</v>
      </c>
      <c r="P84" s="6" t="s">
        <v>2287</v>
      </c>
      <c r="Q84" s="6">
        <v>3</v>
      </c>
      <c r="R84" s="6" t="s">
        <v>79</v>
      </c>
      <c r="S84" s="6">
        <v>2014</v>
      </c>
      <c r="T84" s="6">
        <v>15000000</v>
      </c>
      <c r="U84" s="6" t="s">
        <v>167</v>
      </c>
      <c r="V84" s="6">
        <v>46</v>
      </c>
      <c r="W84" s="6" t="s">
        <v>167</v>
      </c>
      <c r="X84" s="6" t="s">
        <v>2288</v>
      </c>
      <c r="Y84" s="6" t="s">
        <v>2289</v>
      </c>
      <c r="Z84" s="6" t="s">
        <v>2290</v>
      </c>
      <c r="AA84" s="6" t="s">
        <v>2291</v>
      </c>
      <c r="AB84" s="6" t="s">
        <v>2292</v>
      </c>
      <c r="AC84" s="6">
        <v>517111</v>
      </c>
      <c r="AD84" s="10" t="s">
        <v>2293</v>
      </c>
      <c r="AG84" s="6" t="s">
        <v>2294</v>
      </c>
      <c r="AH84" s="6" t="s">
        <v>2295</v>
      </c>
      <c r="AI84" s="6" t="s">
        <v>89</v>
      </c>
      <c r="AJ84" s="6" t="s">
        <v>86</v>
      </c>
      <c r="AK84" s="6" t="s">
        <v>88</v>
      </c>
      <c r="AL84" s="6" t="s">
        <v>89</v>
      </c>
      <c r="AM84" s="6" t="s">
        <v>90</v>
      </c>
      <c r="AN84" s="6" t="s">
        <v>91</v>
      </c>
      <c r="AO84" s="6" t="s">
        <v>92</v>
      </c>
      <c r="AQ84" s="6">
        <v>4813</v>
      </c>
      <c r="AR84" s="6" t="s">
        <v>2296</v>
      </c>
      <c r="AT84" s="6">
        <v>6110</v>
      </c>
      <c r="AU84" s="6" t="s">
        <v>2297</v>
      </c>
      <c r="AV84" s="6">
        <v>61.1</v>
      </c>
      <c r="AW84" s="6" t="s">
        <v>2297</v>
      </c>
      <c r="AY84" s="6">
        <v>6565145582</v>
      </c>
      <c r="AZ84" s="6" t="s">
        <v>2298</v>
      </c>
      <c r="BA84" s="6" t="s">
        <v>2299</v>
      </c>
      <c r="BB84" s="6" t="s">
        <v>2299</v>
      </c>
      <c r="BD84" s="6" t="s">
        <v>2300</v>
      </c>
      <c r="BE84" s="6" t="str">
        <f t="shared" si="2"/>
        <v>campanaworks.com</v>
      </c>
      <c r="BF84" s="6" t="str">
        <f t="shared" si="3"/>
        <v>com</v>
      </c>
      <c r="BG84" s="6" t="s">
        <v>101</v>
      </c>
      <c r="BH84" s="6" t="s">
        <v>2301</v>
      </c>
      <c r="BK84" s="6" t="s">
        <v>2302</v>
      </c>
      <c r="BP84" s="6" t="s">
        <v>2303</v>
      </c>
      <c r="BQ84" s="6" t="s">
        <v>2304</v>
      </c>
      <c r="BR84" s="6" t="s">
        <v>105</v>
      </c>
    </row>
    <row r="85" spans="1:70" ht="45" customHeight="1" x14ac:dyDescent="0.25">
      <c r="A85" s="6">
        <v>85</v>
      </c>
      <c r="B85" s="7" t="s">
        <v>2305</v>
      </c>
      <c r="C85" s="8" t="s">
        <v>2306</v>
      </c>
      <c r="D85" s="6" t="s">
        <v>2307</v>
      </c>
      <c r="E85" s="8" t="s">
        <v>2305</v>
      </c>
      <c r="F85" s="8" t="s">
        <v>2308</v>
      </c>
      <c r="G85" s="6" t="s">
        <v>130</v>
      </c>
      <c r="H85" s="6" t="s">
        <v>131</v>
      </c>
      <c r="I85" s="8" t="s">
        <v>132</v>
      </c>
      <c r="J85" s="6" t="s">
        <v>132</v>
      </c>
      <c r="K85" s="9">
        <v>250</v>
      </c>
      <c r="L85" s="8" t="s">
        <v>2309</v>
      </c>
      <c r="M85" s="9">
        <v>9</v>
      </c>
      <c r="N85" s="6">
        <v>59.9112534</v>
      </c>
      <c r="O85" s="6">
        <v>10.723941399999999</v>
      </c>
      <c r="P85" s="6" t="s">
        <v>2310</v>
      </c>
      <c r="Q85" s="6">
        <v>4</v>
      </c>
      <c r="R85" s="6" t="s">
        <v>79</v>
      </c>
      <c r="S85" s="6">
        <v>2023</v>
      </c>
      <c r="T85" s="6">
        <v>74415251456</v>
      </c>
      <c r="U85" s="6" t="s">
        <v>80</v>
      </c>
      <c r="V85" s="6">
        <v>135000</v>
      </c>
      <c r="W85" s="6" t="s">
        <v>80</v>
      </c>
      <c r="X85" s="6" t="s">
        <v>2311</v>
      </c>
      <c r="Y85" s="6" t="s">
        <v>2312</v>
      </c>
      <c r="Z85" s="6" t="s">
        <v>2313</v>
      </c>
      <c r="AA85" s="6" t="s">
        <v>2314</v>
      </c>
      <c r="AB85" s="6" t="s">
        <v>2315</v>
      </c>
      <c r="AC85" s="6">
        <v>531210</v>
      </c>
      <c r="AD85" s="10" t="str">
        <f>_xlfn.XLOOKUP(AC85,[1]Mapping!B:B,[1]Mapping!C:C,"")</f>
        <v>Offices of Real Estate Agents and Brokers</v>
      </c>
      <c r="AE85" s="6" t="s">
        <v>2316</v>
      </c>
      <c r="AF85" s="6" t="s">
        <v>2317</v>
      </c>
      <c r="AG85" s="6" t="s">
        <v>2318</v>
      </c>
      <c r="AH85" s="6" t="s">
        <v>2319</v>
      </c>
      <c r="AI85" s="6" t="s">
        <v>2320</v>
      </c>
      <c r="AJ85" s="6" t="s">
        <v>2321</v>
      </c>
      <c r="AK85" s="6" t="s">
        <v>2322</v>
      </c>
      <c r="AL85" s="6" t="s">
        <v>2321</v>
      </c>
      <c r="AM85" s="6" t="s">
        <v>2323</v>
      </c>
      <c r="AN85" s="6" t="s">
        <v>655</v>
      </c>
      <c r="AO85" s="6" t="s">
        <v>657</v>
      </c>
      <c r="AQ85" s="6">
        <v>6531</v>
      </c>
      <c r="AR85" s="6" t="s">
        <v>2324</v>
      </c>
      <c r="AT85" s="6">
        <v>6831</v>
      </c>
      <c r="AU85" s="6" t="s">
        <v>2325</v>
      </c>
      <c r="AV85" s="6">
        <v>68.31</v>
      </c>
      <c r="AW85" s="6" t="s">
        <v>2325</v>
      </c>
      <c r="AY85" s="6" t="s">
        <v>2326</v>
      </c>
      <c r="AZ85" s="6" t="s">
        <v>2327</v>
      </c>
      <c r="BA85" s="6" t="s">
        <v>2328</v>
      </c>
      <c r="BD85" s="6" t="s">
        <v>2329</v>
      </c>
      <c r="BE85" s="6" t="str">
        <f t="shared" si="2"/>
        <v>cbre.no</v>
      </c>
      <c r="BF85" s="6" t="str">
        <f t="shared" si="3"/>
        <v>no</v>
      </c>
      <c r="BG85" s="6" t="s">
        <v>101</v>
      </c>
      <c r="BH85" s="6" t="s">
        <v>2330</v>
      </c>
      <c r="BI85" s="6" t="s">
        <v>2331</v>
      </c>
      <c r="BJ85" s="6" t="s">
        <v>2332</v>
      </c>
      <c r="BK85" s="6" t="s">
        <v>2333</v>
      </c>
      <c r="BP85" s="6" t="s">
        <v>2334</v>
      </c>
      <c r="BQ85" s="6" t="s">
        <v>2335</v>
      </c>
      <c r="BR85" s="6" t="s">
        <v>105</v>
      </c>
    </row>
    <row r="86" spans="1:70" ht="45" customHeight="1" x14ac:dyDescent="0.25">
      <c r="A86" s="6">
        <v>86</v>
      </c>
      <c r="B86" s="7" t="s">
        <v>2336</v>
      </c>
      <c r="C86" s="8" t="s">
        <v>2337</v>
      </c>
      <c r="D86" s="6" t="s">
        <v>2338</v>
      </c>
      <c r="E86" s="6" t="s">
        <v>2339</v>
      </c>
      <c r="F86" s="8" t="s">
        <v>2340</v>
      </c>
      <c r="G86" s="6" t="s">
        <v>73</v>
      </c>
      <c r="H86" s="6" t="s">
        <v>74</v>
      </c>
      <c r="I86" s="6"/>
      <c r="J86" s="6" t="s">
        <v>76</v>
      </c>
      <c r="K86" s="9">
        <v>9000</v>
      </c>
      <c r="L86" s="8" t="s">
        <v>2341</v>
      </c>
      <c r="M86" s="9">
        <v>3</v>
      </c>
      <c r="N86" s="6">
        <v>57.037338200000001</v>
      </c>
      <c r="O86" s="6">
        <v>9.9257023000000011</v>
      </c>
      <c r="P86" s="6" t="s">
        <v>2342</v>
      </c>
      <c r="Q86" s="6">
        <v>15</v>
      </c>
      <c r="R86" s="6" t="s">
        <v>79</v>
      </c>
      <c r="S86" s="6">
        <v>2007</v>
      </c>
      <c r="T86" s="6">
        <v>230000000</v>
      </c>
      <c r="U86" s="6" t="s">
        <v>167</v>
      </c>
      <c r="V86" s="6">
        <v>340</v>
      </c>
      <c r="W86" s="6" t="s">
        <v>167</v>
      </c>
      <c r="X86" s="6" t="s">
        <v>2343</v>
      </c>
      <c r="Y86" s="6" t="s">
        <v>2344</v>
      </c>
      <c r="Z86" s="6" t="s">
        <v>2345</v>
      </c>
      <c r="AA86" s="6" t="s">
        <v>2346</v>
      </c>
      <c r="AB86" s="6" t="s">
        <v>2347</v>
      </c>
      <c r="AC86" s="6">
        <v>561210</v>
      </c>
      <c r="AD86" s="10" t="str">
        <f>_xlfn.XLOOKUP(AC86,[1]Mapping!B:B,[1]Mapping!C:C,"")</f>
        <v>Facilities Support Services</v>
      </c>
      <c r="AE86" s="6">
        <v>541330</v>
      </c>
      <c r="AF86" s="6" t="s">
        <v>2348</v>
      </c>
      <c r="AG86" s="6" t="s">
        <v>2349</v>
      </c>
      <c r="AH86" s="6" t="s">
        <v>2350</v>
      </c>
      <c r="AI86" s="6" t="s">
        <v>2351</v>
      </c>
      <c r="AJ86" s="6" t="s">
        <v>653</v>
      </c>
      <c r="AK86" s="6" t="s">
        <v>654</v>
      </c>
      <c r="AL86" s="6" t="s">
        <v>655</v>
      </c>
      <c r="AM86" s="6" t="s">
        <v>656</v>
      </c>
      <c r="AN86" s="6" t="s">
        <v>655</v>
      </c>
      <c r="AO86" s="6" t="s">
        <v>657</v>
      </c>
      <c r="AQ86" s="6">
        <v>8744</v>
      </c>
      <c r="AR86" s="6" t="s">
        <v>2352</v>
      </c>
      <c r="AT86" s="6">
        <v>8110</v>
      </c>
      <c r="AU86" s="6" t="s">
        <v>2353</v>
      </c>
      <c r="AV86" s="6">
        <v>81.099999999999994</v>
      </c>
      <c r="AW86" s="6" t="s">
        <v>2353</v>
      </c>
      <c r="AY86" s="6" t="s">
        <v>2354</v>
      </c>
      <c r="AZ86" s="6" t="s">
        <v>2355</v>
      </c>
      <c r="BA86" s="6" t="s">
        <v>2356</v>
      </c>
      <c r="BB86" s="6" t="s">
        <v>2356</v>
      </c>
      <c r="BD86" s="6" t="s">
        <v>2357</v>
      </c>
      <c r="BE86" s="6" t="str">
        <f t="shared" si="2"/>
        <v>cbre-tekniskservicepartner.dk</v>
      </c>
      <c r="BF86" s="6" t="str">
        <f t="shared" si="3"/>
        <v>dk</v>
      </c>
      <c r="BG86" s="6" t="s">
        <v>101</v>
      </c>
      <c r="BH86" s="6" t="s">
        <v>2358</v>
      </c>
      <c r="BJ86" s="6" t="s">
        <v>2359</v>
      </c>
      <c r="BK86" s="6" t="s">
        <v>2360</v>
      </c>
      <c r="BP86" s="6" t="s">
        <v>2361</v>
      </c>
      <c r="BQ86" s="6" t="s">
        <v>2362</v>
      </c>
      <c r="BR86" s="6" t="s">
        <v>105</v>
      </c>
    </row>
    <row r="87" spans="1:70" ht="45" customHeight="1" x14ac:dyDescent="0.25">
      <c r="A87" s="6">
        <v>87</v>
      </c>
      <c r="B87" s="7" t="s">
        <v>2363</v>
      </c>
      <c r="C87" s="8" t="s">
        <v>2364</v>
      </c>
      <c r="D87" s="6" t="s">
        <v>2365</v>
      </c>
      <c r="E87" s="6" t="s">
        <v>2366</v>
      </c>
      <c r="F87" s="8" t="s">
        <v>2365</v>
      </c>
      <c r="G87" s="6" t="s">
        <v>570</v>
      </c>
      <c r="H87" s="6" t="s">
        <v>571</v>
      </c>
      <c r="I87" s="6" t="s">
        <v>572</v>
      </c>
      <c r="J87" s="6" t="s">
        <v>2367</v>
      </c>
      <c r="K87" s="9" t="s">
        <v>2368</v>
      </c>
      <c r="L87" s="8" t="s">
        <v>2369</v>
      </c>
      <c r="M87" s="9">
        <v>7</v>
      </c>
      <c r="N87" s="6">
        <v>53.346951400000002</v>
      </c>
      <c r="O87" s="6">
        <v>-6.2624813000000001</v>
      </c>
      <c r="P87" s="6" t="s">
        <v>2370</v>
      </c>
      <c r="Q87" s="6">
        <v>5</v>
      </c>
      <c r="R87" s="6" t="s">
        <v>79</v>
      </c>
      <c r="S87" s="6">
        <v>2004</v>
      </c>
      <c r="T87" s="6">
        <v>8500000</v>
      </c>
      <c r="U87" s="6" t="s">
        <v>167</v>
      </c>
      <c r="V87" s="6">
        <v>95</v>
      </c>
      <c r="W87" s="6" t="s">
        <v>167</v>
      </c>
      <c r="X87" s="6" t="s">
        <v>2371</v>
      </c>
      <c r="Y87" s="6" t="s">
        <v>2372</v>
      </c>
      <c r="Z87" s="6" t="s">
        <v>2373</v>
      </c>
      <c r="AA87" s="6" t="s">
        <v>2374</v>
      </c>
      <c r="AB87" s="6" t="s">
        <v>2375</v>
      </c>
      <c r="AC87" s="6">
        <v>511210</v>
      </c>
      <c r="AD87" s="10" t="s">
        <v>2376</v>
      </c>
      <c r="AE87" s="6">
        <v>517919</v>
      </c>
      <c r="AF87" s="6" t="s">
        <v>2376</v>
      </c>
      <c r="AG87" s="6" t="s">
        <v>2377</v>
      </c>
      <c r="AH87" s="6" t="s">
        <v>2378</v>
      </c>
      <c r="AI87" s="6" t="s">
        <v>499</v>
      </c>
      <c r="AJ87" s="6" t="s">
        <v>86</v>
      </c>
      <c r="AK87" s="6" t="s">
        <v>88</v>
      </c>
      <c r="AL87" s="6" t="s">
        <v>89</v>
      </c>
      <c r="AM87" s="6" t="s">
        <v>90</v>
      </c>
      <c r="AN87" s="6" t="s">
        <v>91</v>
      </c>
      <c r="AO87" s="6" t="s">
        <v>92</v>
      </c>
      <c r="AQ87" s="6">
        <v>7372</v>
      </c>
      <c r="AR87" s="6" t="s">
        <v>2077</v>
      </c>
      <c r="AT87" s="6">
        <v>5820</v>
      </c>
      <c r="AU87" s="6" t="s">
        <v>2028</v>
      </c>
      <c r="AV87" s="6">
        <v>58.29</v>
      </c>
      <c r="AW87" s="6" t="s">
        <v>2078</v>
      </c>
      <c r="AY87" s="6" t="s">
        <v>2379</v>
      </c>
      <c r="AZ87" s="6" t="s">
        <v>2380</v>
      </c>
      <c r="BA87" s="6" t="s">
        <v>2381</v>
      </c>
      <c r="BB87" s="6" t="s">
        <v>2382</v>
      </c>
      <c r="BC87" s="6" t="s">
        <v>2383</v>
      </c>
      <c r="BD87" s="6" t="s">
        <v>2384</v>
      </c>
      <c r="BE87" s="6" t="str">
        <f t="shared" si="2"/>
        <v>cellusys.com</v>
      </c>
      <c r="BF87" s="6" t="str">
        <f t="shared" si="3"/>
        <v>com</v>
      </c>
      <c r="BG87" s="6" t="s">
        <v>101</v>
      </c>
      <c r="BH87" s="6" t="s">
        <v>2385</v>
      </c>
      <c r="BI87" s="6" t="s">
        <v>2386</v>
      </c>
      <c r="BK87" s="6" t="s">
        <v>2387</v>
      </c>
      <c r="BP87" s="6" t="s">
        <v>2388</v>
      </c>
      <c r="BQ87" s="6" t="s">
        <v>2389</v>
      </c>
      <c r="BR87" s="6" t="s">
        <v>105</v>
      </c>
    </row>
    <row r="88" spans="1:70" ht="45" customHeight="1" x14ac:dyDescent="0.25">
      <c r="A88" s="6">
        <v>88</v>
      </c>
      <c r="B88" s="7" t="s">
        <v>2390</v>
      </c>
      <c r="C88" s="8" t="s">
        <v>2391</v>
      </c>
      <c r="D88" s="6" t="s">
        <v>2392</v>
      </c>
      <c r="E88" s="8" t="s">
        <v>2390</v>
      </c>
      <c r="F88" s="8" t="s">
        <v>2393</v>
      </c>
      <c r="G88" s="6" t="s">
        <v>73</v>
      </c>
      <c r="H88" s="6" t="s">
        <v>74</v>
      </c>
      <c r="I88" s="8" t="s">
        <v>1133</v>
      </c>
      <c r="J88" s="6" t="s">
        <v>486</v>
      </c>
      <c r="K88" s="9">
        <v>1561</v>
      </c>
      <c r="L88" s="8" t="s">
        <v>2394</v>
      </c>
      <c r="M88" s="9">
        <v>5</v>
      </c>
      <c r="N88" s="6">
        <v>55.661330999999997</v>
      </c>
      <c r="O88" s="6">
        <v>12.56183</v>
      </c>
      <c r="P88" s="6" t="s">
        <v>2395</v>
      </c>
      <c r="Q88" s="6">
        <v>1</v>
      </c>
      <c r="R88" s="6" t="s">
        <v>79</v>
      </c>
      <c r="T88" s="6"/>
      <c r="X88" s="6" t="s">
        <v>2396</v>
      </c>
      <c r="Y88" s="6" t="s">
        <v>2397</v>
      </c>
      <c r="Z88" s="6" t="s">
        <v>2398</v>
      </c>
      <c r="AA88" s="6" t="s">
        <v>2399</v>
      </c>
      <c r="AB88" s="6" t="s">
        <v>2400</v>
      </c>
      <c r="AC88" s="6">
        <v>813910</v>
      </c>
      <c r="AD88" s="10" t="str">
        <f>_xlfn.XLOOKUP(AC88,[1]Mapping!B:B,[1]Mapping!C:C,"")</f>
        <v xml:space="preserve">Business Associations </v>
      </c>
      <c r="AG88" s="6" t="s">
        <v>2401</v>
      </c>
      <c r="AH88" s="6" t="s">
        <v>2402</v>
      </c>
      <c r="AI88" s="6" t="s">
        <v>2403</v>
      </c>
      <c r="AQ88" s="6">
        <v>8611</v>
      </c>
      <c r="AR88" s="6" t="s">
        <v>352</v>
      </c>
      <c r="AS88" s="6" t="s">
        <v>2404</v>
      </c>
      <c r="AT88" s="6">
        <v>9411</v>
      </c>
      <c r="AU88" s="6" t="s">
        <v>354</v>
      </c>
      <c r="AV88" s="6">
        <v>94.11</v>
      </c>
      <c r="AW88" s="6" t="s">
        <v>354</v>
      </c>
      <c r="AX88" s="6" t="s">
        <v>2405</v>
      </c>
      <c r="AY88" s="6" t="s">
        <v>2406</v>
      </c>
      <c r="AZ88" s="6">
        <v>4521164487</v>
      </c>
      <c r="BA88" s="6" t="s">
        <v>2407</v>
      </c>
      <c r="BD88" s="6" t="s">
        <v>2408</v>
      </c>
      <c r="BE88" s="6" t="str">
        <f t="shared" si="2"/>
        <v>fisketorvet.dk</v>
      </c>
      <c r="BF88" s="6" t="str">
        <f t="shared" si="3"/>
        <v>dk</v>
      </c>
      <c r="BG88" s="6" t="s">
        <v>123</v>
      </c>
      <c r="BP88" s="6" t="s">
        <v>2409</v>
      </c>
      <c r="BQ88" s="6" t="s">
        <v>2410</v>
      </c>
      <c r="BR88" s="6" t="s">
        <v>105</v>
      </c>
    </row>
    <row r="89" spans="1:70" ht="45" customHeight="1" x14ac:dyDescent="0.25">
      <c r="A89" s="6">
        <v>89</v>
      </c>
      <c r="B89" s="7" t="s">
        <v>2411</v>
      </c>
      <c r="C89" s="8" t="s">
        <v>2412</v>
      </c>
      <c r="D89" s="6" t="s">
        <v>2411</v>
      </c>
      <c r="E89" s="6" t="s">
        <v>2411</v>
      </c>
      <c r="F89" s="8" t="s">
        <v>2413</v>
      </c>
      <c r="G89" s="6" t="s">
        <v>2414</v>
      </c>
      <c r="H89" s="6" t="s">
        <v>2415</v>
      </c>
      <c r="I89" s="6"/>
      <c r="J89" s="6" t="s">
        <v>2416</v>
      </c>
      <c r="K89" s="9">
        <v>2045</v>
      </c>
      <c r="L89" s="8" t="s">
        <v>2417</v>
      </c>
      <c r="M89" s="9">
        <v>1</v>
      </c>
      <c r="N89" s="6">
        <v>47.430462600000013</v>
      </c>
      <c r="O89" s="6">
        <v>18.936269500000002</v>
      </c>
      <c r="P89" s="6" t="s">
        <v>2418</v>
      </c>
      <c r="Q89" s="6">
        <v>1</v>
      </c>
      <c r="R89" s="6" t="s">
        <v>79</v>
      </c>
      <c r="S89" s="6">
        <v>2020</v>
      </c>
      <c r="T89" s="6">
        <v>20422574</v>
      </c>
      <c r="U89" s="6" t="s">
        <v>80</v>
      </c>
      <c r="V89" s="6">
        <v>200</v>
      </c>
      <c r="W89" s="6" t="s">
        <v>167</v>
      </c>
      <c r="X89" s="6" t="s">
        <v>2419</v>
      </c>
      <c r="Y89" s="6" t="s">
        <v>2420</v>
      </c>
      <c r="Z89" s="6" t="s">
        <v>2421</v>
      </c>
      <c r="AA89" s="6" t="s">
        <v>2422</v>
      </c>
      <c r="AB89" s="6" t="s">
        <v>2423</v>
      </c>
      <c r="AC89" s="6">
        <v>517112</v>
      </c>
      <c r="AD89" s="10" t="str">
        <f>_xlfn.XLOOKUP(AC89,[1]Mapping!B:B,[1]Mapping!C:C,"")</f>
        <v>Wireless Telecommunications Carriers (except Satellite)</v>
      </c>
      <c r="AG89" s="6" t="s">
        <v>89</v>
      </c>
      <c r="AH89" s="6" t="s">
        <v>86</v>
      </c>
      <c r="AI89" s="6" t="s">
        <v>87</v>
      </c>
      <c r="AJ89" s="6" t="s">
        <v>86</v>
      </c>
      <c r="AK89" s="6" t="s">
        <v>88</v>
      </c>
      <c r="AL89" s="6" t="s">
        <v>89</v>
      </c>
      <c r="AM89" s="6" t="s">
        <v>90</v>
      </c>
      <c r="AN89" s="6" t="s">
        <v>91</v>
      </c>
      <c r="AO89" s="6" t="s">
        <v>92</v>
      </c>
      <c r="AQ89" s="6" t="s">
        <v>1697</v>
      </c>
      <c r="AR89" s="6" t="s">
        <v>1698</v>
      </c>
      <c r="AT89" s="6">
        <v>6120</v>
      </c>
      <c r="AU89" s="6" t="s">
        <v>1699</v>
      </c>
      <c r="AV89" s="6">
        <v>61.2</v>
      </c>
      <c r="AW89" s="6" t="s">
        <v>1699</v>
      </c>
      <c r="AY89" s="6" t="s">
        <v>2424</v>
      </c>
      <c r="AZ89" s="6" t="s">
        <v>2425</v>
      </c>
      <c r="BA89" s="6" t="s">
        <v>2426</v>
      </c>
      <c r="BB89" s="6" t="s">
        <v>2426</v>
      </c>
      <c r="BC89" s="6" t="s">
        <v>2427</v>
      </c>
      <c r="BD89" s="6" t="s">
        <v>2428</v>
      </c>
      <c r="BE89" s="6" t="str">
        <f t="shared" si="2"/>
        <v>cetin.hu</v>
      </c>
      <c r="BF89" s="6" t="str">
        <f t="shared" si="3"/>
        <v>hu</v>
      </c>
      <c r="BG89" s="6" t="s">
        <v>101</v>
      </c>
      <c r="BH89" s="6" t="s">
        <v>2429</v>
      </c>
      <c r="BK89" s="6" t="s">
        <v>2430</v>
      </c>
      <c r="BP89" s="6" t="s">
        <v>2431</v>
      </c>
      <c r="BQ89" s="6" t="s">
        <v>2432</v>
      </c>
      <c r="BR89" s="6" t="s">
        <v>105</v>
      </c>
    </row>
    <row r="90" spans="1:70" ht="45" customHeight="1" x14ac:dyDescent="0.25">
      <c r="A90" s="6">
        <v>90</v>
      </c>
      <c r="B90" s="7" t="s">
        <v>2433</v>
      </c>
      <c r="C90" s="8" t="s">
        <v>2434</v>
      </c>
      <c r="D90" s="6" t="s">
        <v>2435</v>
      </c>
      <c r="E90" s="6" t="s">
        <v>2436</v>
      </c>
      <c r="F90" s="8" t="s">
        <v>2437</v>
      </c>
      <c r="G90" s="6" t="s">
        <v>2438</v>
      </c>
      <c r="H90" s="6" t="s">
        <v>2439</v>
      </c>
      <c r="I90" s="6" t="s">
        <v>2440</v>
      </c>
      <c r="J90" s="6" t="s">
        <v>2440</v>
      </c>
      <c r="L90" s="8" t="s">
        <v>2441</v>
      </c>
      <c r="N90" s="6">
        <v>22.279096899999999</v>
      </c>
      <c r="O90" s="6">
        <v>114.1737845</v>
      </c>
      <c r="P90" s="6" t="s">
        <v>2442</v>
      </c>
      <c r="Q90" s="6">
        <v>7</v>
      </c>
      <c r="R90" s="6" t="s">
        <v>79</v>
      </c>
      <c r="S90" s="6">
        <v>2012</v>
      </c>
      <c r="T90" s="6">
        <v>2400000</v>
      </c>
      <c r="U90" s="6" t="s">
        <v>167</v>
      </c>
      <c r="V90" s="6">
        <v>287076</v>
      </c>
      <c r="W90" s="6" t="s">
        <v>167</v>
      </c>
      <c r="X90" s="6" t="s">
        <v>2443</v>
      </c>
      <c r="Y90" s="6" t="s">
        <v>2444</v>
      </c>
      <c r="Z90" s="6" t="s">
        <v>2445</v>
      </c>
      <c r="AA90" s="6" t="s">
        <v>2446</v>
      </c>
      <c r="AB90" s="6" t="s">
        <v>2447</v>
      </c>
      <c r="AC90" s="6">
        <v>517311</v>
      </c>
      <c r="AD90" s="10" t="s">
        <v>2376</v>
      </c>
      <c r="AE90" s="6">
        <v>517919</v>
      </c>
      <c r="AF90" s="6" t="s">
        <v>2376</v>
      </c>
      <c r="AG90" s="6" t="s">
        <v>2448</v>
      </c>
      <c r="AH90" s="6" t="s">
        <v>2449</v>
      </c>
      <c r="AI90" s="6" t="s">
        <v>89</v>
      </c>
      <c r="AJ90" s="6" t="s">
        <v>86</v>
      </c>
      <c r="AK90" s="6" t="s">
        <v>88</v>
      </c>
      <c r="AL90" s="6" t="s">
        <v>89</v>
      </c>
      <c r="AM90" s="6" t="s">
        <v>90</v>
      </c>
      <c r="AN90" s="6" t="s">
        <v>91</v>
      </c>
      <c r="AO90" s="6" t="s">
        <v>92</v>
      </c>
      <c r="AQ90" s="6">
        <v>4813</v>
      </c>
      <c r="AR90" s="6" t="s">
        <v>2296</v>
      </c>
      <c r="AT90" s="6">
        <v>6110</v>
      </c>
      <c r="AU90" s="6" t="s">
        <v>2297</v>
      </c>
      <c r="AV90" s="6">
        <v>61.1</v>
      </c>
      <c r="AW90" s="6" t="s">
        <v>2297</v>
      </c>
      <c r="AY90" s="6" t="s">
        <v>2450</v>
      </c>
      <c r="AZ90" s="6" t="s">
        <v>2451</v>
      </c>
      <c r="BA90" s="6" t="s">
        <v>2452</v>
      </c>
      <c r="BB90" s="6" t="s">
        <v>2453</v>
      </c>
      <c r="BC90" s="6" t="s">
        <v>2454</v>
      </c>
      <c r="BD90" s="6" t="s">
        <v>2455</v>
      </c>
      <c r="BE90" s="6" t="str">
        <f t="shared" si="2"/>
        <v>chinatelecomglobal.com</v>
      </c>
      <c r="BF90" s="6" t="str">
        <f t="shared" si="3"/>
        <v>com</v>
      </c>
      <c r="BG90" s="6" t="s">
        <v>101</v>
      </c>
      <c r="BH90" s="6" t="s">
        <v>2456</v>
      </c>
      <c r="BI90" s="6" t="s">
        <v>2457</v>
      </c>
      <c r="BK90" s="6" t="s">
        <v>2458</v>
      </c>
      <c r="BP90" s="6" t="s">
        <v>2459</v>
      </c>
      <c r="BQ90" s="6" t="s">
        <v>2460</v>
      </c>
      <c r="BR90" s="6" t="s">
        <v>105</v>
      </c>
    </row>
    <row r="91" spans="1:70" ht="45" customHeight="1" x14ac:dyDescent="0.25">
      <c r="A91" s="6">
        <v>91</v>
      </c>
      <c r="B91" s="7" t="s">
        <v>2461</v>
      </c>
      <c r="C91" s="8" t="s">
        <v>2462</v>
      </c>
      <c r="D91" s="6" t="s">
        <v>2463</v>
      </c>
      <c r="E91" s="8" t="s">
        <v>2464</v>
      </c>
      <c r="F91" s="8" t="s">
        <v>2464</v>
      </c>
      <c r="G91" s="6" t="s">
        <v>315</v>
      </c>
      <c r="H91" s="6" t="s">
        <v>316</v>
      </c>
      <c r="I91" s="6"/>
      <c r="J91" s="6" t="s">
        <v>316</v>
      </c>
      <c r="K91" s="9">
        <v>38988</v>
      </c>
      <c r="L91" s="8" t="s">
        <v>2465</v>
      </c>
      <c r="M91" s="9">
        <v>8</v>
      </c>
      <c r="N91" s="6">
        <v>1.2953448999999999</v>
      </c>
      <c r="O91" s="6">
        <v>103.8596708</v>
      </c>
      <c r="P91" s="6" t="s">
        <v>2466</v>
      </c>
      <c r="Q91" s="6">
        <v>1</v>
      </c>
      <c r="R91" s="6" t="s">
        <v>79</v>
      </c>
      <c r="T91" s="6"/>
      <c r="X91" s="6" t="s">
        <v>2467</v>
      </c>
      <c r="Y91" s="6" t="s">
        <v>2468</v>
      </c>
      <c r="Z91" s="6" t="s">
        <v>2469</v>
      </c>
      <c r="AC91" s="6">
        <v>517121</v>
      </c>
      <c r="AD91" s="10" t="str">
        <f>_xlfn.XLOOKUP(AC91,[1]Mapping!B:B,[1]Mapping!C:C,"")</f>
        <v>Telecommunications Resellers</v>
      </c>
      <c r="AG91" s="6" t="s">
        <v>85</v>
      </c>
      <c r="AH91" s="6" t="s">
        <v>86</v>
      </c>
      <c r="AI91" s="6" t="s">
        <v>87</v>
      </c>
      <c r="AQ91" s="6" t="s">
        <v>93</v>
      </c>
      <c r="AR91" s="6" t="s">
        <v>94</v>
      </c>
      <c r="AT91" s="6">
        <v>6190</v>
      </c>
      <c r="AU91" s="6" t="s">
        <v>96</v>
      </c>
      <c r="AV91" s="6">
        <v>61.9</v>
      </c>
      <c r="AW91" s="6" t="s">
        <v>96</v>
      </c>
      <c r="BA91" s="6" t="s">
        <v>2470</v>
      </c>
      <c r="BD91" s="6" t="s">
        <v>2471</v>
      </c>
      <c r="BE91" s="6" t="str">
        <f t="shared" si="2"/>
        <v>sg.chinaunicomglobal.com</v>
      </c>
      <c r="BF91" s="6" t="str">
        <f t="shared" si="3"/>
        <v>com</v>
      </c>
      <c r="BG91" s="6" t="s">
        <v>101</v>
      </c>
      <c r="BJ91" s="6" t="s">
        <v>2472</v>
      </c>
      <c r="BP91" s="6" t="s">
        <v>2473</v>
      </c>
      <c r="BQ91" s="6" t="s">
        <v>2474</v>
      </c>
      <c r="BR91" s="6" t="s">
        <v>105</v>
      </c>
    </row>
    <row r="92" spans="1:70" ht="45" customHeight="1" x14ac:dyDescent="0.25">
      <c r="A92" s="6">
        <v>92</v>
      </c>
      <c r="B92" s="7" t="s">
        <v>2475</v>
      </c>
      <c r="C92" s="8" t="s">
        <v>2476</v>
      </c>
      <c r="D92" s="6" t="s">
        <v>2477</v>
      </c>
      <c r="E92" s="6" t="s">
        <v>2478</v>
      </c>
      <c r="F92" s="8" t="s">
        <v>2479</v>
      </c>
      <c r="G92" s="6" t="s">
        <v>315</v>
      </c>
      <c r="H92" s="6" t="s">
        <v>316</v>
      </c>
      <c r="I92" s="6"/>
      <c r="J92" s="6" t="s">
        <v>316</v>
      </c>
      <c r="K92" s="9">
        <v>48946</v>
      </c>
      <c r="L92" s="8" t="s">
        <v>2480</v>
      </c>
      <c r="M92" s="9">
        <v>138</v>
      </c>
      <c r="N92" s="6">
        <v>1.282046</v>
      </c>
      <c r="O92" s="6">
        <v>103.8500339</v>
      </c>
      <c r="P92" s="6" t="s">
        <v>2481</v>
      </c>
      <c r="Q92" s="6">
        <v>1</v>
      </c>
      <c r="R92" s="6" t="s">
        <v>79</v>
      </c>
      <c r="T92" s="6">
        <v>19513632</v>
      </c>
      <c r="U92" s="6" t="s">
        <v>80</v>
      </c>
      <c r="V92" s="6">
        <v>75</v>
      </c>
      <c r="W92" s="6" t="s">
        <v>80</v>
      </c>
      <c r="X92" s="6" t="s">
        <v>2482</v>
      </c>
      <c r="Z92" s="6" t="s">
        <v>2483</v>
      </c>
      <c r="AA92" s="6" t="s">
        <v>2484</v>
      </c>
      <c r="AC92" s="6">
        <v>541690</v>
      </c>
      <c r="AD92" s="10" t="str">
        <f>_xlfn.XLOOKUP(AC92,[1]Mapping!B:B,[1]Mapping!C:C,"")</f>
        <v>Other Scientific and Technical Consulting Services</v>
      </c>
      <c r="AG92" s="6" t="s">
        <v>376</v>
      </c>
      <c r="AH92" s="6" t="s">
        <v>376</v>
      </c>
      <c r="AI92" s="6" t="s">
        <v>141</v>
      </c>
      <c r="AJ92" s="6" t="s">
        <v>293</v>
      </c>
      <c r="AK92" s="6" t="s">
        <v>294</v>
      </c>
      <c r="AL92" s="6" t="s">
        <v>295</v>
      </c>
      <c r="AM92" s="6" t="s">
        <v>296</v>
      </c>
      <c r="AN92" s="6" t="s">
        <v>297</v>
      </c>
      <c r="AO92" s="6" t="s">
        <v>298</v>
      </c>
      <c r="AQ92" s="6" t="s">
        <v>2485</v>
      </c>
      <c r="AR92" s="6" t="s">
        <v>2486</v>
      </c>
      <c r="AS92" s="6" t="s">
        <v>2487</v>
      </c>
      <c r="AT92" s="6">
        <v>7490</v>
      </c>
      <c r="AU92" s="6" t="s">
        <v>225</v>
      </c>
      <c r="AV92" s="6" t="s">
        <v>2488</v>
      </c>
      <c r="AW92" s="6" t="s">
        <v>2489</v>
      </c>
      <c r="AX92" s="6" t="s">
        <v>2490</v>
      </c>
      <c r="AY92" s="6">
        <v>6597378315</v>
      </c>
      <c r="AZ92" s="6" t="s">
        <v>2491</v>
      </c>
      <c r="BA92" s="6" t="s">
        <v>2492</v>
      </c>
      <c r="BD92" s="6" t="s">
        <v>2493</v>
      </c>
      <c r="BE92" s="6" t="str">
        <f t="shared" si="2"/>
        <v>chubb.com</v>
      </c>
      <c r="BF92" s="6" t="str">
        <f t="shared" si="3"/>
        <v>com</v>
      </c>
      <c r="BG92" s="6" t="s">
        <v>101</v>
      </c>
      <c r="BI92" s="6" t="s">
        <v>2494</v>
      </c>
      <c r="BJ92" s="6" t="s">
        <v>2495</v>
      </c>
      <c r="BK92" s="6" t="s">
        <v>2496</v>
      </c>
      <c r="BN92" s="6" t="s">
        <v>2497</v>
      </c>
      <c r="BP92" s="6" t="s">
        <v>2498</v>
      </c>
      <c r="BQ92" s="6" t="s">
        <v>2499</v>
      </c>
      <c r="BR92" s="6" t="s">
        <v>105</v>
      </c>
    </row>
    <row r="93" spans="1:70" ht="45" customHeight="1" x14ac:dyDescent="0.25">
      <c r="A93" s="6">
        <v>93</v>
      </c>
      <c r="B93" s="7" t="s">
        <v>2500</v>
      </c>
      <c r="C93" s="8" t="s">
        <v>2501</v>
      </c>
      <c r="D93" s="6" t="s">
        <v>2502</v>
      </c>
      <c r="E93" s="8" t="s">
        <v>2503</v>
      </c>
      <c r="F93" s="8" t="s">
        <v>2503</v>
      </c>
      <c r="G93" s="6" t="s">
        <v>73</v>
      </c>
      <c r="H93" s="6" t="s">
        <v>74</v>
      </c>
      <c r="I93" s="6"/>
      <c r="J93" s="6" t="s">
        <v>1494</v>
      </c>
      <c r="K93" s="9">
        <v>2750</v>
      </c>
      <c r="L93" s="8" t="s">
        <v>2504</v>
      </c>
      <c r="M93" s="9">
        <v>35</v>
      </c>
      <c r="N93" s="6">
        <v>55.727971999999987</v>
      </c>
      <c r="O93" s="6">
        <v>12.382793100000001</v>
      </c>
      <c r="P93" s="6" t="s">
        <v>2505</v>
      </c>
      <c r="Q93" s="6">
        <v>21</v>
      </c>
      <c r="R93" s="6" t="s">
        <v>79</v>
      </c>
      <c r="S93" s="6">
        <v>1923</v>
      </c>
      <c r="T93" s="6">
        <v>36949128</v>
      </c>
      <c r="U93" s="6" t="s">
        <v>80</v>
      </c>
      <c r="V93" s="6">
        <v>150</v>
      </c>
      <c r="W93" s="6" t="s">
        <v>80</v>
      </c>
      <c r="X93" s="6" t="s">
        <v>2506</v>
      </c>
      <c r="Y93" s="6" t="s">
        <v>2507</v>
      </c>
      <c r="Z93" s="6" t="s">
        <v>2508</v>
      </c>
      <c r="AA93" s="6" t="s">
        <v>2509</v>
      </c>
      <c r="AC93" s="6">
        <v>518210</v>
      </c>
      <c r="AD93" s="10" t="str">
        <f>_xlfn.XLOOKUP(AC93,[1]Mapping!B:B,[1]Mapping!C:C,"")</f>
        <v>Computing Infrastructure Providers, Data Processing, Web Hosting, and Related Services</v>
      </c>
      <c r="AE93" s="6">
        <v>517111</v>
      </c>
      <c r="AF93" s="6" t="s">
        <v>2510</v>
      </c>
      <c r="AG93" s="6" t="s">
        <v>85</v>
      </c>
      <c r="AH93" s="6" t="s">
        <v>86</v>
      </c>
      <c r="AI93" s="6" t="s">
        <v>87</v>
      </c>
      <c r="AJ93" s="6" t="s">
        <v>86</v>
      </c>
      <c r="AK93" s="6" t="s">
        <v>88</v>
      </c>
      <c r="AL93" s="6" t="s">
        <v>89</v>
      </c>
      <c r="AM93" s="6" t="s">
        <v>90</v>
      </c>
      <c r="AN93" s="6" t="s">
        <v>91</v>
      </c>
      <c r="AO93" s="6" t="s">
        <v>92</v>
      </c>
      <c r="AQ93" s="6" t="s">
        <v>178</v>
      </c>
      <c r="AR93" s="6" t="s">
        <v>179</v>
      </c>
      <c r="AT93" s="6" t="s">
        <v>181</v>
      </c>
      <c r="AU93" s="6" t="s">
        <v>182</v>
      </c>
      <c r="AV93" s="6" t="s">
        <v>183</v>
      </c>
      <c r="AW93" s="6" t="s">
        <v>184</v>
      </c>
      <c r="AY93" s="6" t="s">
        <v>2511</v>
      </c>
      <c r="AZ93" s="6" t="s">
        <v>2512</v>
      </c>
      <c r="BA93" s="6" t="s">
        <v>2513</v>
      </c>
      <c r="BB93" s="6" t="s">
        <v>2513</v>
      </c>
      <c r="BC93" s="6" t="s">
        <v>2514</v>
      </c>
      <c r="BD93" s="6" t="s">
        <v>2515</v>
      </c>
      <c r="BE93" s="6" t="str">
        <f t="shared" si="2"/>
        <v>cibicom.dk</v>
      </c>
      <c r="BF93" s="6" t="str">
        <f t="shared" si="3"/>
        <v>dk</v>
      </c>
      <c r="BG93" s="6" t="s">
        <v>123</v>
      </c>
      <c r="BH93" s="6" t="s">
        <v>2516</v>
      </c>
      <c r="BK93" s="6" t="s">
        <v>2517</v>
      </c>
      <c r="BP93" s="6" t="s">
        <v>2518</v>
      </c>
      <c r="BQ93" s="6" t="s">
        <v>2519</v>
      </c>
      <c r="BR93" s="6" t="s">
        <v>105</v>
      </c>
    </row>
    <row r="94" spans="1:70" ht="45" customHeight="1" x14ac:dyDescent="0.25">
      <c r="A94" s="6">
        <v>94</v>
      </c>
      <c r="B94" s="7" t="s">
        <v>2520</v>
      </c>
      <c r="C94" s="8" t="s">
        <v>2521</v>
      </c>
      <c r="D94" s="6" t="s">
        <v>2522</v>
      </c>
      <c r="E94" s="6" t="s">
        <v>2523</v>
      </c>
      <c r="F94" s="8" t="s">
        <v>2524</v>
      </c>
      <c r="G94" s="6" t="s">
        <v>840</v>
      </c>
      <c r="H94" s="6" t="s">
        <v>841</v>
      </c>
      <c r="I94" s="6" t="s">
        <v>842</v>
      </c>
      <c r="J94" s="6" t="s">
        <v>843</v>
      </c>
      <c r="K94" s="9" t="s">
        <v>2525</v>
      </c>
      <c r="L94" s="8" t="s">
        <v>2526</v>
      </c>
      <c r="M94" s="9">
        <v>20</v>
      </c>
      <c r="N94" s="6">
        <v>51.522673900000001</v>
      </c>
      <c r="O94" s="6">
        <v>-8.0543900000000015E-2</v>
      </c>
      <c r="P94" s="6" t="s">
        <v>2527</v>
      </c>
      <c r="Q94" s="6">
        <v>36</v>
      </c>
      <c r="R94" s="6" t="s">
        <v>79</v>
      </c>
      <c r="T94" s="6"/>
      <c r="X94" s="6" t="s">
        <v>2528</v>
      </c>
      <c r="Y94" s="6" t="s">
        <v>2529</v>
      </c>
      <c r="Z94" s="6" t="s">
        <v>2530</v>
      </c>
      <c r="AA94" s="6" t="s">
        <v>2531</v>
      </c>
      <c r="AB94" s="6" t="s">
        <v>2532</v>
      </c>
      <c r="AC94" s="6">
        <v>518210</v>
      </c>
      <c r="AD94" s="10" t="str">
        <f>_xlfn.XLOOKUP(AC94,[1]Mapping!B:B,[1]Mapping!C:C,"")</f>
        <v>Computing Infrastructure Providers, Data Processing, Web Hosting, and Related Services</v>
      </c>
      <c r="AG94" s="6" t="s">
        <v>173</v>
      </c>
      <c r="AH94" s="6" t="s">
        <v>86</v>
      </c>
      <c r="AI94" s="6" t="s">
        <v>87</v>
      </c>
      <c r="AJ94" s="6" t="s">
        <v>86</v>
      </c>
      <c r="AK94" s="6" t="s">
        <v>88</v>
      </c>
      <c r="AL94" s="6" t="s">
        <v>89</v>
      </c>
      <c r="AM94" s="6" t="s">
        <v>90</v>
      </c>
      <c r="AN94" s="6" t="s">
        <v>91</v>
      </c>
      <c r="AO94" s="6" t="s">
        <v>92</v>
      </c>
      <c r="AQ94" s="6" t="s">
        <v>178</v>
      </c>
      <c r="AR94" s="6" t="s">
        <v>179</v>
      </c>
      <c r="AT94" s="6" t="s">
        <v>181</v>
      </c>
      <c r="AU94" s="6" t="s">
        <v>182</v>
      </c>
      <c r="AV94" s="6" t="s">
        <v>183</v>
      </c>
      <c r="AW94" s="6" t="s">
        <v>184</v>
      </c>
      <c r="AY94" s="6" t="s">
        <v>2533</v>
      </c>
      <c r="AZ94" s="6" t="s">
        <v>2534</v>
      </c>
      <c r="BA94" s="6" t="s">
        <v>2535</v>
      </c>
      <c r="BD94" s="6" t="s">
        <v>2536</v>
      </c>
      <c r="BE94" s="6" t="str">
        <f t="shared" si="2"/>
        <v>ciena.com</v>
      </c>
      <c r="BF94" s="6" t="str">
        <f t="shared" si="3"/>
        <v>com</v>
      </c>
      <c r="BG94" s="6" t="s">
        <v>2537</v>
      </c>
      <c r="BH94" s="6" t="s">
        <v>2538</v>
      </c>
      <c r="BI94" s="6" t="s">
        <v>2539</v>
      </c>
      <c r="BJ94" s="6" t="s">
        <v>2540</v>
      </c>
      <c r="BK94" s="6" t="s">
        <v>2541</v>
      </c>
      <c r="BN94" s="6" t="s">
        <v>2542</v>
      </c>
      <c r="BP94" s="6" t="s">
        <v>2543</v>
      </c>
      <c r="BQ94" s="6" t="s">
        <v>2544</v>
      </c>
      <c r="BR94" s="6" t="s">
        <v>105</v>
      </c>
    </row>
    <row r="95" spans="1:70" ht="45" customHeight="1" x14ac:dyDescent="0.25">
      <c r="A95" s="6">
        <v>95</v>
      </c>
      <c r="B95" s="7" t="s">
        <v>521</v>
      </c>
      <c r="C95" s="8" t="s">
        <v>2545</v>
      </c>
      <c r="D95" s="6" t="s">
        <v>2546</v>
      </c>
      <c r="E95" s="6" t="s">
        <v>521</v>
      </c>
      <c r="F95" s="8" t="s">
        <v>2547</v>
      </c>
      <c r="G95" s="6" t="s">
        <v>840</v>
      </c>
      <c r="H95" s="6" t="s">
        <v>841</v>
      </c>
      <c r="I95" s="6" t="s">
        <v>842</v>
      </c>
      <c r="J95" s="6" t="s">
        <v>2548</v>
      </c>
      <c r="K95" s="9" t="s">
        <v>2549</v>
      </c>
      <c r="L95" s="8" t="s">
        <v>2550</v>
      </c>
      <c r="M95" s="14">
        <v>45911</v>
      </c>
      <c r="N95" s="6">
        <v>51.446020699999998</v>
      </c>
      <c r="O95" s="6">
        <v>-0.44414320000000002</v>
      </c>
      <c r="P95" s="6" t="s">
        <v>2551</v>
      </c>
      <c r="Q95" s="6">
        <v>1</v>
      </c>
      <c r="R95" s="6" t="s">
        <v>79</v>
      </c>
      <c r="S95" s="6">
        <v>2008</v>
      </c>
      <c r="T95" s="12">
        <v>54000000</v>
      </c>
      <c r="V95" s="6">
        <v>250</v>
      </c>
      <c r="X95" s="6" t="s">
        <v>2552</v>
      </c>
      <c r="Y95" s="6" t="s">
        <v>2553</v>
      </c>
      <c r="AC95" s="10">
        <v>334210</v>
      </c>
      <c r="AD95" s="10" t="str">
        <f>_xlfn.XLOOKUP(AC95,[1]Mapping!B:B,[1]Mapping!C:C,"")</f>
        <v>Telephone Apparatus Manufacturing</v>
      </c>
      <c r="AE95" s="6">
        <v>423430</v>
      </c>
      <c r="AF95" s="6" t="s">
        <v>2554</v>
      </c>
      <c r="AG95" s="6" t="s">
        <v>176</v>
      </c>
      <c r="AH95" s="6" t="s">
        <v>2555</v>
      </c>
      <c r="AI95" s="6" t="s">
        <v>1290</v>
      </c>
      <c r="AJ95" s="6" t="s">
        <v>2556</v>
      </c>
      <c r="AK95" s="6">
        <v>3669</v>
      </c>
      <c r="AL95" s="6" t="s">
        <v>1292</v>
      </c>
      <c r="AM95" s="6">
        <v>737100</v>
      </c>
      <c r="AN95" s="6" t="s">
        <v>176</v>
      </c>
      <c r="AO95" s="6">
        <v>4500</v>
      </c>
      <c r="AQ95" s="6">
        <v>3576</v>
      </c>
      <c r="AR95" s="6" t="s">
        <v>2556</v>
      </c>
      <c r="AS95" s="6" t="s">
        <v>2557</v>
      </c>
      <c r="AX95" s="6" t="s">
        <v>2558</v>
      </c>
      <c r="AY95" s="6" t="s">
        <v>2559</v>
      </c>
      <c r="AZ95" s="6" t="s">
        <v>2560</v>
      </c>
      <c r="BD95" s="6" t="s">
        <v>2561</v>
      </c>
      <c r="BE95" s="6" t="str">
        <f t="shared" si="2"/>
        <v>cisco.com</v>
      </c>
      <c r="BF95" s="6" t="str">
        <f t="shared" si="3"/>
        <v>com</v>
      </c>
      <c r="BG95" s="6" t="s">
        <v>101</v>
      </c>
      <c r="BH95" s="6" t="s">
        <v>2562</v>
      </c>
      <c r="BI95" s="6" t="s">
        <v>2563</v>
      </c>
      <c r="BJ95" s="6" t="s">
        <v>2564</v>
      </c>
      <c r="BK95" s="6" t="s">
        <v>2565</v>
      </c>
      <c r="BN95" s="6" t="s">
        <v>2566</v>
      </c>
      <c r="BQ95" s="6" t="s">
        <v>2567</v>
      </c>
      <c r="BR95" s="6" t="s">
        <v>105</v>
      </c>
    </row>
    <row r="96" spans="1:70" ht="45" customHeight="1" x14ac:dyDescent="0.25">
      <c r="A96" s="6">
        <v>96</v>
      </c>
      <c r="B96" s="7" t="s">
        <v>2568</v>
      </c>
      <c r="C96" s="8" t="s">
        <v>2569</v>
      </c>
      <c r="D96" s="6" t="s">
        <v>2570</v>
      </c>
      <c r="E96" s="8" t="s">
        <v>2568</v>
      </c>
      <c r="F96" s="8" t="s">
        <v>2571</v>
      </c>
      <c r="G96" s="6" t="s">
        <v>130</v>
      </c>
      <c r="H96" s="6" t="s">
        <v>131</v>
      </c>
      <c r="I96" s="8" t="s">
        <v>2572</v>
      </c>
      <c r="J96" s="6" t="s">
        <v>2573</v>
      </c>
      <c r="K96" s="9">
        <v>1366</v>
      </c>
      <c r="L96" s="8" t="s">
        <v>2574</v>
      </c>
      <c r="M96" s="9">
        <v>1</v>
      </c>
      <c r="N96" s="6">
        <v>59.909802799999987</v>
      </c>
      <c r="O96" s="6">
        <v>10.625476900000001</v>
      </c>
      <c r="P96" s="6" t="s">
        <v>2575</v>
      </c>
      <c r="Q96" s="6">
        <v>2</v>
      </c>
      <c r="R96" s="6" t="s">
        <v>79</v>
      </c>
      <c r="S96" s="6">
        <v>2014</v>
      </c>
      <c r="T96" s="6">
        <v>264605232</v>
      </c>
      <c r="U96" s="6" t="s">
        <v>80</v>
      </c>
      <c r="V96" s="6">
        <v>150</v>
      </c>
      <c r="W96" s="6" t="s">
        <v>80</v>
      </c>
      <c r="X96" s="6" t="s">
        <v>2552</v>
      </c>
      <c r="Y96" s="6" t="s">
        <v>2576</v>
      </c>
      <c r="Z96" s="6" t="s">
        <v>2577</v>
      </c>
      <c r="AA96" s="6" t="s">
        <v>2578</v>
      </c>
      <c r="AB96" s="6" t="s">
        <v>2579</v>
      </c>
      <c r="AC96" s="6">
        <v>325412</v>
      </c>
      <c r="AD96" s="10" t="str">
        <f>_xlfn.XLOOKUP(AC96,[1]Mapping!B:B,[1]Mapping!C:C,"")</f>
        <v xml:space="preserve">Pharmaceutical Preparation Manufacturing </v>
      </c>
      <c r="AG96" s="6" t="s">
        <v>2580</v>
      </c>
      <c r="AH96" s="6" t="s">
        <v>2581</v>
      </c>
      <c r="AI96" s="6" t="s">
        <v>882</v>
      </c>
      <c r="AJ96" s="6" t="s">
        <v>2582</v>
      </c>
      <c r="AK96" s="6" t="s">
        <v>2583</v>
      </c>
      <c r="AL96" s="6" t="s">
        <v>2582</v>
      </c>
      <c r="AM96" s="6" t="s">
        <v>2584</v>
      </c>
      <c r="AN96" s="6" t="s">
        <v>2585</v>
      </c>
      <c r="AO96" s="6" t="s">
        <v>2586</v>
      </c>
      <c r="AQ96" s="6" t="s">
        <v>2587</v>
      </c>
      <c r="AR96" s="6" t="s">
        <v>2588</v>
      </c>
      <c r="AS96" s="6" t="s">
        <v>2589</v>
      </c>
      <c r="AT96" s="6">
        <v>2100</v>
      </c>
      <c r="AU96" s="6" t="s">
        <v>2590</v>
      </c>
      <c r="AV96" s="6" t="s">
        <v>2591</v>
      </c>
      <c r="AW96" s="6" t="s">
        <v>2592</v>
      </c>
      <c r="AX96" s="6" t="s">
        <v>2593</v>
      </c>
      <c r="AY96" s="6" t="s">
        <v>2594</v>
      </c>
      <c r="BA96" s="6" t="s">
        <v>2595</v>
      </c>
      <c r="BD96" s="6" t="s">
        <v>2596</v>
      </c>
      <c r="BE96" s="6" t="str">
        <f t="shared" si="2"/>
        <v>cisco.com</v>
      </c>
      <c r="BF96" s="6" t="str">
        <f t="shared" si="3"/>
        <v>com</v>
      </c>
      <c r="BG96" s="6" t="s">
        <v>101</v>
      </c>
      <c r="BH96" s="6" t="s">
        <v>2562</v>
      </c>
      <c r="BI96" s="6" t="s">
        <v>2563</v>
      </c>
      <c r="BJ96" s="6" t="s">
        <v>2564</v>
      </c>
      <c r="BK96" s="6" t="s">
        <v>2565</v>
      </c>
      <c r="BN96" s="6" t="s">
        <v>2566</v>
      </c>
      <c r="BP96" s="6" t="s">
        <v>2597</v>
      </c>
      <c r="BQ96" s="6" t="s">
        <v>2598</v>
      </c>
      <c r="BR96" s="6" t="s">
        <v>105</v>
      </c>
    </row>
    <row r="97" spans="1:70" ht="45" customHeight="1" x14ac:dyDescent="0.25">
      <c r="A97" s="6">
        <v>97</v>
      </c>
      <c r="B97" s="7" t="s">
        <v>2599</v>
      </c>
      <c r="C97" s="8" t="s">
        <v>2600</v>
      </c>
      <c r="D97" s="6" t="s">
        <v>2601</v>
      </c>
      <c r="E97" s="8" t="s">
        <v>2599</v>
      </c>
      <c r="F97" s="8" t="s">
        <v>2602</v>
      </c>
      <c r="G97" s="6" t="s">
        <v>130</v>
      </c>
      <c r="H97" s="6" t="s">
        <v>131</v>
      </c>
      <c r="I97" s="8" t="s">
        <v>2603</v>
      </c>
      <c r="J97" s="6" t="s">
        <v>2604</v>
      </c>
      <c r="K97" s="9">
        <v>7014</v>
      </c>
      <c r="L97" s="8" t="s">
        <v>2605</v>
      </c>
      <c r="M97" s="9" t="s">
        <v>2606</v>
      </c>
      <c r="N97" s="6">
        <v>63.431690899999992</v>
      </c>
      <c r="O97" s="6">
        <v>10.4057622</v>
      </c>
      <c r="P97" s="6" t="s">
        <v>2607</v>
      </c>
      <c r="Q97" s="6">
        <v>2</v>
      </c>
      <c r="R97" s="6" t="s">
        <v>79</v>
      </c>
      <c r="S97" s="6">
        <v>2016</v>
      </c>
      <c r="T97" s="6">
        <v>3785642</v>
      </c>
      <c r="U97" s="6" t="s">
        <v>80</v>
      </c>
      <c r="V97" s="6">
        <v>40</v>
      </c>
      <c r="W97" s="6" t="s">
        <v>167</v>
      </c>
      <c r="X97" s="6" t="s">
        <v>2608</v>
      </c>
      <c r="Y97" s="6" t="s">
        <v>2609</v>
      </c>
      <c r="Z97" s="6" t="s">
        <v>2610</v>
      </c>
      <c r="AA97" s="6" t="s">
        <v>2611</v>
      </c>
      <c r="AB97" s="6" t="s">
        <v>989</v>
      </c>
      <c r="AC97" s="6">
        <v>561422</v>
      </c>
      <c r="AD97" s="10" t="str">
        <f>_xlfn.XLOOKUP(AC97,[1]Mapping!B:B,[1]Mapping!C:C,"")</f>
        <v xml:space="preserve">Telemarketing Bureaus and Other Contact Centers </v>
      </c>
      <c r="AG97" s="6" t="s">
        <v>2612</v>
      </c>
      <c r="AH97" s="6" t="s">
        <v>1143</v>
      </c>
      <c r="AI97" s="6" t="s">
        <v>500</v>
      </c>
      <c r="AJ97" s="6" t="s">
        <v>293</v>
      </c>
      <c r="AK97" s="6" t="s">
        <v>294</v>
      </c>
      <c r="AL97" s="6" t="s">
        <v>295</v>
      </c>
      <c r="AM97" s="6" t="s">
        <v>296</v>
      </c>
      <c r="AN97" s="6" t="s">
        <v>297</v>
      </c>
      <c r="AO97" s="6" t="s">
        <v>298</v>
      </c>
      <c r="AQ97" s="6">
        <v>7389</v>
      </c>
      <c r="AR97" s="6" t="s">
        <v>2613</v>
      </c>
      <c r="AS97" s="6" t="s">
        <v>1067</v>
      </c>
      <c r="AT97" s="6">
        <v>8220</v>
      </c>
      <c r="AU97" s="6" t="s">
        <v>2614</v>
      </c>
      <c r="AV97" s="6">
        <v>82.2</v>
      </c>
      <c r="AW97" s="6" t="s">
        <v>2614</v>
      </c>
      <c r="AX97" s="6" t="s">
        <v>1068</v>
      </c>
      <c r="AY97" s="6">
        <v>4791582173</v>
      </c>
      <c r="AZ97" s="6">
        <v>4791582173</v>
      </c>
      <c r="BA97" s="6" t="s">
        <v>2615</v>
      </c>
      <c r="BB97" s="6" t="s">
        <v>2616</v>
      </c>
      <c r="BC97" s="6" t="s">
        <v>2615</v>
      </c>
      <c r="BD97" s="6" t="s">
        <v>2617</v>
      </c>
      <c r="BE97" s="6" t="str">
        <f t="shared" si="2"/>
        <v>citero.no</v>
      </c>
      <c r="BF97" s="6" t="str">
        <f t="shared" si="3"/>
        <v>no</v>
      </c>
      <c r="BG97" s="6" t="s">
        <v>150</v>
      </c>
      <c r="BH97" s="6" t="s">
        <v>2618</v>
      </c>
      <c r="BJ97" s="6" t="s">
        <v>2619</v>
      </c>
      <c r="BK97" s="6" t="s">
        <v>2620</v>
      </c>
      <c r="BP97" s="6" t="s">
        <v>2621</v>
      </c>
      <c r="BQ97" s="6" t="s">
        <v>2622</v>
      </c>
      <c r="BR97" s="6" t="s">
        <v>105</v>
      </c>
    </row>
    <row r="98" spans="1:70" ht="45" customHeight="1" x14ac:dyDescent="0.25">
      <c r="A98" s="6">
        <v>98</v>
      </c>
      <c r="B98" s="7" t="s">
        <v>2623</v>
      </c>
      <c r="C98" s="8" t="s">
        <v>2624</v>
      </c>
      <c r="D98" s="6" t="s">
        <v>2625</v>
      </c>
      <c r="E98" s="6" t="s">
        <v>2626</v>
      </c>
      <c r="F98" s="8" t="s">
        <v>2627</v>
      </c>
      <c r="G98" s="6" t="s">
        <v>201</v>
      </c>
      <c r="H98" s="6" t="s">
        <v>202</v>
      </c>
      <c r="I98" s="6" t="s">
        <v>203</v>
      </c>
      <c r="J98" s="6" t="s">
        <v>2628</v>
      </c>
      <c r="K98" s="9">
        <v>95054</v>
      </c>
      <c r="L98" s="8" t="s">
        <v>2629</v>
      </c>
      <c r="M98" s="9">
        <v>5470</v>
      </c>
      <c r="N98" s="6">
        <v>37.413306400000003</v>
      </c>
      <c r="O98" s="6">
        <v>-121.97838950000001</v>
      </c>
      <c r="P98" s="6" t="s">
        <v>2630</v>
      </c>
      <c r="Q98" s="6">
        <v>2</v>
      </c>
      <c r="R98" s="6" t="s">
        <v>79</v>
      </c>
      <c r="S98" s="6">
        <v>2008</v>
      </c>
      <c r="T98" s="6"/>
      <c r="X98" s="6" t="s">
        <v>2631</v>
      </c>
      <c r="Y98" s="6" t="s">
        <v>2632</v>
      </c>
      <c r="Z98" s="6" t="s">
        <v>2633</v>
      </c>
      <c r="AA98" s="6" t="s">
        <v>2634</v>
      </c>
      <c r="AB98" s="6" t="s">
        <v>2635</v>
      </c>
      <c r="AC98" s="6">
        <v>513210</v>
      </c>
      <c r="AD98" s="10" t="str">
        <f>_xlfn.XLOOKUP(AC98,[1]Mapping!B:B,[1]Mapping!C:C,"")</f>
        <v>Software Publishers</v>
      </c>
      <c r="AG98" s="6" t="s">
        <v>2636</v>
      </c>
      <c r="AH98" s="6" t="s">
        <v>2637</v>
      </c>
      <c r="AI98" s="6" t="s">
        <v>499</v>
      </c>
      <c r="AJ98" s="6" t="s">
        <v>174</v>
      </c>
      <c r="AK98" s="6" t="s">
        <v>175</v>
      </c>
      <c r="AL98" s="6" t="s">
        <v>176</v>
      </c>
      <c r="AM98" s="6" t="s">
        <v>177</v>
      </c>
      <c r="AN98" s="6" t="s">
        <v>91</v>
      </c>
      <c r="AO98" s="6" t="s">
        <v>92</v>
      </c>
      <c r="AQ98" s="6">
        <v>7372</v>
      </c>
      <c r="AR98" s="6" t="s">
        <v>2077</v>
      </c>
      <c r="AT98" s="6">
        <v>5820</v>
      </c>
      <c r="AU98" s="6" t="s">
        <v>2028</v>
      </c>
      <c r="AV98" s="6">
        <v>58.29</v>
      </c>
      <c r="AW98" s="6" t="s">
        <v>2078</v>
      </c>
      <c r="AY98" s="6" t="s">
        <v>2638</v>
      </c>
      <c r="AZ98" s="6" t="s">
        <v>2639</v>
      </c>
      <c r="BA98" s="6" t="s">
        <v>2640</v>
      </c>
      <c r="BD98" s="6" t="s">
        <v>2641</v>
      </c>
      <c r="BE98" s="6" t="str">
        <f t="shared" si="2"/>
        <v>cloudera.com</v>
      </c>
      <c r="BF98" s="6" t="str">
        <f t="shared" si="3"/>
        <v>com</v>
      </c>
      <c r="BG98" s="6" t="s">
        <v>101</v>
      </c>
      <c r="BH98" s="6" t="s">
        <v>2642</v>
      </c>
      <c r="BI98" s="6" t="s">
        <v>2643</v>
      </c>
      <c r="BK98" s="6" t="s">
        <v>2644</v>
      </c>
      <c r="BP98" s="6" t="s">
        <v>2645</v>
      </c>
      <c r="BQ98" s="6" t="s">
        <v>2646</v>
      </c>
      <c r="BR98" s="6" t="s">
        <v>105</v>
      </c>
    </row>
    <row r="99" spans="1:70" ht="45" customHeight="1" x14ac:dyDescent="0.25">
      <c r="A99" s="6">
        <v>99</v>
      </c>
      <c r="B99" s="7" t="s">
        <v>2647</v>
      </c>
      <c r="C99" s="8" t="s">
        <v>2648</v>
      </c>
      <c r="D99" s="6" t="s">
        <v>2649</v>
      </c>
      <c r="E99" s="6" t="s">
        <v>2650</v>
      </c>
      <c r="F99" s="8" t="s">
        <v>2651</v>
      </c>
      <c r="G99" s="6" t="s">
        <v>612</v>
      </c>
      <c r="H99" s="6" t="s">
        <v>613</v>
      </c>
      <c r="I99" s="6" t="s">
        <v>614</v>
      </c>
      <c r="J99" s="6" t="s">
        <v>2652</v>
      </c>
      <c r="K99" s="9">
        <v>47650</v>
      </c>
      <c r="L99" s="8" t="s">
        <v>2653</v>
      </c>
      <c r="N99" s="6">
        <v>3.0208713999999999</v>
      </c>
      <c r="O99" s="6">
        <v>101.581766</v>
      </c>
      <c r="P99" s="6" t="s">
        <v>2654</v>
      </c>
      <c r="Q99" s="6">
        <v>1</v>
      </c>
      <c r="R99" s="6" t="s">
        <v>79</v>
      </c>
      <c r="T99" s="6">
        <v>548715</v>
      </c>
      <c r="U99" s="6" t="s">
        <v>80</v>
      </c>
      <c r="V99" s="6">
        <v>15</v>
      </c>
      <c r="W99" s="6" t="s">
        <v>80</v>
      </c>
      <c r="X99" s="6" t="s">
        <v>2655</v>
      </c>
      <c r="Y99" s="6" t="s">
        <v>2656</v>
      </c>
      <c r="Z99" s="6" t="s">
        <v>2657</v>
      </c>
      <c r="AA99" s="6" t="s">
        <v>2658</v>
      </c>
      <c r="AB99" s="6" t="s">
        <v>2659</v>
      </c>
      <c r="AC99" s="6">
        <v>541613</v>
      </c>
      <c r="AD99" s="10" t="str">
        <f>_xlfn.XLOOKUP(AC99,[1]Mapping!B:B,[1]Mapping!C:C,"")</f>
        <v xml:space="preserve">Marketing Consulting Services </v>
      </c>
      <c r="AG99" s="6" t="s">
        <v>1142</v>
      </c>
      <c r="AH99" s="6" t="s">
        <v>1143</v>
      </c>
      <c r="AI99" s="6" t="s">
        <v>500</v>
      </c>
      <c r="AJ99" s="6" t="s">
        <v>500</v>
      </c>
      <c r="AK99" s="6" t="s">
        <v>501</v>
      </c>
      <c r="AL99" s="6" t="s">
        <v>502</v>
      </c>
      <c r="AM99" s="6" t="s">
        <v>503</v>
      </c>
      <c r="AN99" s="6" t="s">
        <v>297</v>
      </c>
      <c r="AO99" s="6" t="s">
        <v>298</v>
      </c>
      <c r="AQ99" s="6">
        <v>8742</v>
      </c>
      <c r="AR99" s="6" t="s">
        <v>2660</v>
      </c>
      <c r="AT99" s="6">
        <v>7020</v>
      </c>
      <c r="AU99" s="6" t="s">
        <v>378</v>
      </c>
      <c r="AV99" s="6" t="s">
        <v>379</v>
      </c>
      <c r="AW99" s="6" t="s">
        <v>380</v>
      </c>
      <c r="AY99" s="6" t="s">
        <v>2661</v>
      </c>
      <c r="AZ99" s="6" t="s">
        <v>2662</v>
      </c>
      <c r="BA99" s="6" t="s">
        <v>2663</v>
      </c>
      <c r="BB99" s="6" t="s">
        <v>2663</v>
      </c>
      <c r="BD99" s="6" t="s">
        <v>2664</v>
      </c>
      <c r="BE99" s="6" t="str">
        <f t="shared" si="2"/>
        <v>comba-telecom.com</v>
      </c>
      <c r="BF99" s="6" t="str">
        <f t="shared" si="3"/>
        <v>com</v>
      </c>
      <c r="BG99" s="6" t="s">
        <v>101</v>
      </c>
      <c r="BJ99" s="6" t="s">
        <v>2665</v>
      </c>
      <c r="BK99" s="6" t="s">
        <v>2666</v>
      </c>
      <c r="BN99" s="6" t="s">
        <v>2667</v>
      </c>
      <c r="BQ99" s="6" t="s">
        <v>2668</v>
      </c>
      <c r="BR99" s="6" t="s">
        <v>105</v>
      </c>
    </row>
    <row r="100" spans="1:70" ht="45" customHeight="1" x14ac:dyDescent="0.25">
      <c r="A100" s="6">
        <v>100</v>
      </c>
      <c r="B100" s="7" t="s">
        <v>2669</v>
      </c>
      <c r="C100" s="8" t="s">
        <v>2670</v>
      </c>
      <c r="D100" s="6" t="s">
        <v>2671</v>
      </c>
      <c r="E100" s="6" t="s">
        <v>2672</v>
      </c>
      <c r="F100" s="8" t="s">
        <v>2673</v>
      </c>
      <c r="G100" s="6" t="s">
        <v>2438</v>
      </c>
      <c r="H100" s="6" t="s">
        <v>2439</v>
      </c>
      <c r="I100" s="6" t="s">
        <v>2440</v>
      </c>
      <c r="J100" s="6" t="s">
        <v>2440</v>
      </c>
      <c r="L100" s="8" t="s">
        <v>2674</v>
      </c>
      <c r="M100" s="9">
        <v>8</v>
      </c>
      <c r="N100" s="6">
        <v>22.426282400000002</v>
      </c>
      <c r="O100" s="6">
        <v>114.21151620000001</v>
      </c>
      <c r="P100" s="6" t="s">
        <v>2675</v>
      </c>
      <c r="Q100" s="6">
        <v>14</v>
      </c>
      <c r="R100" s="6" t="s">
        <v>906</v>
      </c>
      <c r="S100" s="6">
        <v>1997</v>
      </c>
      <c r="T100" s="6">
        <v>766000000</v>
      </c>
      <c r="U100" s="6" t="s">
        <v>167</v>
      </c>
      <c r="V100" s="6">
        <v>600</v>
      </c>
      <c r="W100" s="6" t="s">
        <v>167</v>
      </c>
      <c r="X100" s="6" t="s">
        <v>2655</v>
      </c>
      <c r="Y100" s="6" t="s">
        <v>2676</v>
      </c>
      <c r="Z100" s="6" t="s">
        <v>2677</v>
      </c>
      <c r="AA100" s="6" t="s">
        <v>2678</v>
      </c>
      <c r="AB100" s="6" t="s">
        <v>2679</v>
      </c>
      <c r="AC100" s="6">
        <v>334220</v>
      </c>
      <c r="AD100" s="10" t="str">
        <f>_xlfn.XLOOKUP(AC100,[1]Mapping!B:B,[1]Mapping!C:C,"")</f>
        <v>Radio and Television Broadcasting and Wireless Communications Equipment Manufacturing</v>
      </c>
      <c r="AG100" s="6" t="s">
        <v>2680</v>
      </c>
      <c r="AH100" s="6" t="s">
        <v>2681</v>
      </c>
      <c r="AI100" s="6" t="s">
        <v>2682</v>
      </c>
      <c r="AJ100" s="6" t="s">
        <v>86</v>
      </c>
      <c r="AK100" s="6" t="s">
        <v>88</v>
      </c>
      <c r="AL100" s="6" t="s">
        <v>89</v>
      </c>
      <c r="AM100" s="6" t="s">
        <v>90</v>
      </c>
      <c r="AN100" s="6" t="s">
        <v>91</v>
      </c>
      <c r="AO100" s="6" t="s">
        <v>92</v>
      </c>
      <c r="AQ100" s="6">
        <v>3663</v>
      </c>
      <c r="AR100" s="6" t="s">
        <v>2683</v>
      </c>
      <c r="AT100" s="6">
        <v>2630</v>
      </c>
      <c r="AU100" s="6" t="s">
        <v>2684</v>
      </c>
      <c r="AV100" s="6">
        <v>26.3</v>
      </c>
      <c r="AW100" s="6" t="s">
        <v>2684</v>
      </c>
      <c r="AY100" s="6" t="s">
        <v>2685</v>
      </c>
      <c r="AZ100" s="6" t="s">
        <v>2686</v>
      </c>
      <c r="BA100" s="6" t="s">
        <v>2687</v>
      </c>
      <c r="BB100" s="6" t="s">
        <v>2688</v>
      </c>
      <c r="BC100" s="6" t="s">
        <v>2689</v>
      </c>
      <c r="BD100" s="6" t="s">
        <v>2690</v>
      </c>
      <c r="BE100" s="6" t="str">
        <f t="shared" si="2"/>
        <v>comba-telecom.com</v>
      </c>
      <c r="BF100" s="6" t="str">
        <f t="shared" si="3"/>
        <v>com</v>
      </c>
      <c r="BG100" s="6" t="s">
        <v>101</v>
      </c>
      <c r="BK100" s="6" t="s">
        <v>2666</v>
      </c>
      <c r="BN100" s="6" t="s">
        <v>2667</v>
      </c>
      <c r="BP100" s="6" t="s">
        <v>2691</v>
      </c>
      <c r="BQ100" s="6" t="s">
        <v>2692</v>
      </c>
      <c r="BR100" s="6" t="s">
        <v>105</v>
      </c>
    </row>
    <row r="101" spans="1:70" ht="45" customHeight="1" x14ac:dyDescent="0.25">
      <c r="A101" s="6">
        <v>101</v>
      </c>
      <c r="B101" s="7" t="s">
        <v>2693</v>
      </c>
      <c r="C101" s="8" t="s">
        <v>2694</v>
      </c>
      <c r="D101" s="6" t="s">
        <v>2695</v>
      </c>
      <c r="E101" s="8" t="s">
        <v>2696</v>
      </c>
      <c r="F101" s="8" t="s">
        <v>2696</v>
      </c>
      <c r="G101" s="6" t="s">
        <v>612</v>
      </c>
      <c r="H101" s="6" t="s">
        <v>613</v>
      </c>
      <c r="I101" s="6" t="s">
        <v>614</v>
      </c>
      <c r="J101" s="6" t="s">
        <v>2652</v>
      </c>
      <c r="K101" s="9">
        <v>47650</v>
      </c>
      <c r="L101" s="8" t="s">
        <v>2697</v>
      </c>
      <c r="M101" s="9" t="s">
        <v>2698</v>
      </c>
      <c r="N101" s="6">
        <v>2.9932984</v>
      </c>
      <c r="O101" s="6">
        <v>101.57418060000001</v>
      </c>
      <c r="P101" s="6" t="s">
        <v>2699</v>
      </c>
      <c r="Q101" s="6">
        <v>1</v>
      </c>
      <c r="S101" s="6">
        <v>2000</v>
      </c>
      <c r="T101" s="6"/>
      <c r="X101" s="6" t="s">
        <v>2700</v>
      </c>
      <c r="Y101" s="6" t="s">
        <v>2701</v>
      </c>
      <c r="Z101" s="6" t="s">
        <v>2702</v>
      </c>
      <c r="AA101" s="6" t="s">
        <v>2703</v>
      </c>
      <c r="AB101" s="6" t="s">
        <v>2704</v>
      </c>
      <c r="AC101" s="6">
        <v>237130</v>
      </c>
      <c r="AD101" s="10" t="str">
        <f>_xlfn.XLOOKUP(AC101,[1]Mapping!B:B,[1]Mapping!C:C,"")</f>
        <v xml:space="preserve">Power and Communication Line and Related Structures Construction </v>
      </c>
      <c r="AG101" s="6" t="s">
        <v>2705</v>
      </c>
      <c r="AH101" s="6" t="s">
        <v>2706</v>
      </c>
      <c r="AI101" s="6" t="s">
        <v>292</v>
      </c>
      <c r="AQ101" s="6">
        <v>1623</v>
      </c>
      <c r="AR101" s="6" t="s">
        <v>2707</v>
      </c>
      <c r="AT101" s="6">
        <v>4220</v>
      </c>
      <c r="AU101" s="6" t="s">
        <v>2708</v>
      </c>
      <c r="AV101" s="6">
        <v>42.22</v>
      </c>
      <c r="AW101" s="6" t="s">
        <v>2709</v>
      </c>
      <c r="AY101" s="6" t="s">
        <v>2710</v>
      </c>
      <c r="AZ101" s="6">
        <v>60329382838</v>
      </c>
      <c r="BE101" s="6" t="str">
        <f t="shared" si="2"/>
        <v/>
      </c>
      <c r="BF101" s="6" t="e">
        <f t="shared" si="3"/>
        <v>#VALUE!</v>
      </c>
      <c r="BQ101" s="6" t="s">
        <v>2711</v>
      </c>
      <c r="BR101" s="6" t="s">
        <v>105</v>
      </c>
    </row>
    <row r="102" spans="1:70" ht="45" customHeight="1" x14ac:dyDescent="0.25">
      <c r="A102" s="6">
        <v>102</v>
      </c>
      <c r="B102" s="7" t="s">
        <v>2712</v>
      </c>
      <c r="C102" s="8" t="s">
        <v>2713</v>
      </c>
      <c r="D102" s="6" t="s">
        <v>2714</v>
      </c>
      <c r="E102" s="8" t="s">
        <v>2712</v>
      </c>
      <c r="F102" s="8" t="s">
        <v>2715</v>
      </c>
      <c r="G102" s="6" t="s">
        <v>315</v>
      </c>
      <c r="H102" s="6" t="s">
        <v>316</v>
      </c>
      <c r="I102" s="8" t="s">
        <v>316</v>
      </c>
      <c r="J102" s="6" t="s">
        <v>316</v>
      </c>
      <c r="K102" s="9">
        <v>118254</v>
      </c>
      <c r="L102" s="8" t="s">
        <v>2716</v>
      </c>
      <c r="M102" s="9">
        <v>73</v>
      </c>
      <c r="N102" s="6">
        <v>1.29053</v>
      </c>
      <c r="O102" s="6">
        <v>103.78917509999999</v>
      </c>
      <c r="P102" s="6" t="s">
        <v>2717</v>
      </c>
      <c r="Q102" s="6">
        <v>1</v>
      </c>
      <c r="R102" s="6" t="s">
        <v>79</v>
      </c>
      <c r="T102" s="6">
        <v>18512304</v>
      </c>
      <c r="U102" s="6" t="s">
        <v>80</v>
      </c>
      <c r="V102" s="6">
        <v>75</v>
      </c>
      <c r="W102" s="6" t="s">
        <v>80</v>
      </c>
      <c r="X102" s="6" t="s">
        <v>2718</v>
      </c>
      <c r="Y102" s="6" t="s">
        <v>2719</v>
      </c>
      <c r="Z102" s="6" t="s">
        <v>2720</v>
      </c>
      <c r="AA102" s="6" t="s">
        <v>2720</v>
      </c>
      <c r="AC102" s="6">
        <v>323111</v>
      </c>
      <c r="AD102" s="10" t="str">
        <f>_xlfn.XLOOKUP(AC102,[1]Mapping!B:B,[1]Mapping!C:C,"")</f>
        <v xml:space="preserve">Commercial Printing (except Screen and Books) </v>
      </c>
      <c r="AG102" s="6" t="s">
        <v>2721</v>
      </c>
      <c r="AH102" s="6" t="s">
        <v>2722</v>
      </c>
      <c r="AI102" s="6" t="s">
        <v>1240</v>
      </c>
      <c r="AJ102" s="6" t="s">
        <v>500</v>
      </c>
      <c r="AK102" s="6" t="s">
        <v>501</v>
      </c>
      <c r="AL102" s="6" t="s">
        <v>502</v>
      </c>
      <c r="AM102" s="6" t="s">
        <v>503</v>
      </c>
      <c r="AN102" s="6" t="s">
        <v>297</v>
      </c>
      <c r="AO102" s="6" t="s">
        <v>298</v>
      </c>
      <c r="AQ102" s="6" t="s">
        <v>2723</v>
      </c>
      <c r="AR102" s="6" t="s">
        <v>2724</v>
      </c>
      <c r="AT102" s="6" t="s">
        <v>2725</v>
      </c>
      <c r="AU102" s="6" t="s">
        <v>2726</v>
      </c>
      <c r="AV102" s="6" t="s">
        <v>2727</v>
      </c>
      <c r="AW102" s="6" t="s">
        <v>2728</v>
      </c>
      <c r="AY102" s="6" t="s">
        <v>2729</v>
      </c>
      <c r="AZ102" s="6" t="s">
        <v>2730</v>
      </c>
      <c r="BA102" s="6" t="s">
        <v>2731</v>
      </c>
      <c r="BD102" s="6" t="s">
        <v>2732</v>
      </c>
      <c r="BE102" s="6" t="str">
        <f t="shared" si="2"/>
        <v>commscope.com</v>
      </c>
      <c r="BF102" s="6" t="str">
        <f t="shared" si="3"/>
        <v>com</v>
      </c>
      <c r="BG102" s="6" t="s">
        <v>101</v>
      </c>
      <c r="BH102" s="6" t="s">
        <v>2733</v>
      </c>
      <c r="BI102" s="6" t="s">
        <v>2734</v>
      </c>
      <c r="BJ102" s="6" t="s">
        <v>2735</v>
      </c>
      <c r="BK102" s="6" t="s">
        <v>2736</v>
      </c>
      <c r="BN102" s="6" t="s">
        <v>2737</v>
      </c>
      <c r="BP102" s="6" t="s">
        <v>2738</v>
      </c>
      <c r="BQ102" s="6" t="s">
        <v>2739</v>
      </c>
      <c r="BR102" s="6" t="s">
        <v>105</v>
      </c>
    </row>
    <row r="103" spans="1:70" ht="45" customHeight="1" x14ac:dyDescent="0.25">
      <c r="A103" s="6">
        <v>103</v>
      </c>
      <c r="B103" s="7" t="s">
        <v>2740</v>
      </c>
      <c r="C103" s="8" t="s">
        <v>2741</v>
      </c>
      <c r="D103" s="6" t="s">
        <v>2742</v>
      </c>
      <c r="E103" s="6" t="s">
        <v>2743</v>
      </c>
      <c r="F103" s="8" t="s">
        <v>2744</v>
      </c>
      <c r="G103" s="6" t="s">
        <v>594</v>
      </c>
      <c r="H103" s="6" t="s">
        <v>595</v>
      </c>
      <c r="I103" s="6" t="s">
        <v>2745</v>
      </c>
      <c r="J103" s="6" t="s">
        <v>2746</v>
      </c>
      <c r="K103" s="9">
        <v>8184</v>
      </c>
      <c r="L103" s="8" t="s">
        <v>2747</v>
      </c>
      <c r="M103" s="9" t="s">
        <v>2748</v>
      </c>
      <c r="N103" s="6">
        <v>47.503783899999988</v>
      </c>
      <c r="O103" s="6">
        <v>8.5458525999999999</v>
      </c>
      <c r="P103" s="6" t="s">
        <v>2749</v>
      </c>
      <c r="Q103" s="6">
        <v>1</v>
      </c>
      <c r="R103" s="6" t="s">
        <v>79</v>
      </c>
      <c r="S103" s="6">
        <v>1962</v>
      </c>
      <c r="T103" s="6">
        <v>4641690</v>
      </c>
      <c r="U103" s="6" t="s">
        <v>80</v>
      </c>
      <c r="V103" s="6">
        <v>75</v>
      </c>
      <c r="W103" s="6" t="s">
        <v>80</v>
      </c>
      <c r="X103" s="6" t="s">
        <v>2750</v>
      </c>
      <c r="Y103" s="6" t="s">
        <v>2751</v>
      </c>
      <c r="Z103" s="6" t="s">
        <v>2752</v>
      </c>
      <c r="AA103" s="6" t="s">
        <v>2753</v>
      </c>
      <c r="AB103" s="6" t="s">
        <v>2754</v>
      </c>
      <c r="AC103" s="6">
        <v>541213</v>
      </c>
      <c r="AD103" s="10" t="str">
        <f>_xlfn.XLOOKUP(AC103,[1]Mapping!B:B,[1]Mapping!C:C,"")</f>
        <v xml:space="preserve">Tax Preparation Services </v>
      </c>
      <c r="AG103" s="6" t="s">
        <v>2755</v>
      </c>
      <c r="AH103" s="6" t="s">
        <v>1095</v>
      </c>
      <c r="AI103" s="6" t="s">
        <v>119</v>
      </c>
      <c r="AJ103" s="6" t="s">
        <v>293</v>
      </c>
      <c r="AK103" s="6" t="s">
        <v>294</v>
      </c>
      <c r="AL103" s="6" t="s">
        <v>295</v>
      </c>
      <c r="AM103" s="6" t="s">
        <v>296</v>
      </c>
      <c r="AN103" s="6" t="s">
        <v>297</v>
      </c>
      <c r="AO103" s="6" t="s">
        <v>298</v>
      </c>
      <c r="AQ103" s="6">
        <v>7291</v>
      </c>
      <c r="AR103" s="6" t="s">
        <v>2756</v>
      </c>
      <c r="AT103" s="6">
        <v>6920</v>
      </c>
      <c r="AU103" s="6" t="s">
        <v>1098</v>
      </c>
      <c r="AV103" s="6">
        <v>69.2</v>
      </c>
      <c r="AW103" s="6" t="s">
        <v>1098</v>
      </c>
      <c r="AY103" s="6">
        <v>41442157777</v>
      </c>
      <c r="AZ103" s="6">
        <v>41442157777</v>
      </c>
      <c r="BA103" s="6" t="s">
        <v>2757</v>
      </c>
      <c r="BD103" s="6" t="s">
        <v>2758</v>
      </c>
      <c r="BE103" s="6" t="str">
        <f t="shared" si="2"/>
        <v>ists.ch</v>
      </c>
      <c r="BF103" s="6" t="str">
        <f t="shared" si="3"/>
        <v>ch</v>
      </c>
      <c r="BG103" s="6" t="s">
        <v>337</v>
      </c>
      <c r="BK103" s="6" t="s">
        <v>2759</v>
      </c>
      <c r="BP103" s="6" t="s">
        <v>2760</v>
      </c>
      <c r="BQ103" s="6" t="s">
        <v>2761</v>
      </c>
      <c r="BR103" s="6" t="s">
        <v>105</v>
      </c>
    </row>
    <row r="104" spans="1:70" ht="45" customHeight="1" x14ac:dyDescent="0.25">
      <c r="A104" s="6">
        <v>104</v>
      </c>
      <c r="B104" s="7" t="s">
        <v>2762</v>
      </c>
      <c r="C104" s="8" t="s">
        <v>2763</v>
      </c>
      <c r="D104" s="6" t="s">
        <v>2764</v>
      </c>
      <c r="E104" s="8" t="s">
        <v>2762</v>
      </c>
      <c r="F104" s="8" t="s">
        <v>2765</v>
      </c>
      <c r="G104" s="6" t="s">
        <v>201</v>
      </c>
      <c r="H104" s="6" t="s">
        <v>202</v>
      </c>
      <c r="I104" s="8" t="s">
        <v>2766</v>
      </c>
      <c r="J104" s="6" t="s">
        <v>2767</v>
      </c>
      <c r="K104" s="9">
        <v>76040</v>
      </c>
      <c r="L104" s="8" t="s">
        <v>2768</v>
      </c>
      <c r="M104" s="9">
        <v>11312</v>
      </c>
      <c r="N104" s="6">
        <v>32.813656799999997</v>
      </c>
      <c r="O104" s="6">
        <v>-97.12373989999999</v>
      </c>
      <c r="P104" s="6" t="s">
        <v>2769</v>
      </c>
      <c r="Q104" s="6">
        <v>2</v>
      </c>
      <c r="R104" s="6" t="s">
        <v>79</v>
      </c>
      <c r="T104" s="6">
        <v>569635</v>
      </c>
      <c r="U104" s="6" t="s">
        <v>80</v>
      </c>
      <c r="V104" s="6">
        <v>75</v>
      </c>
      <c r="W104" s="6" t="s">
        <v>80</v>
      </c>
      <c r="X104" s="6" t="s">
        <v>2718</v>
      </c>
      <c r="Y104" s="6" t="s">
        <v>2770</v>
      </c>
      <c r="Z104" s="6" t="s">
        <v>2771</v>
      </c>
      <c r="AA104" s="6" t="s">
        <v>2772</v>
      </c>
      <c r="AB104" s="6" t="s">
        <v>2773</v>
      </c>
      <c r="AC104" s="6">
        <v>541512</v>
      </c>
      <c r="AD104" s="10" t="str">
        <f>_xlfn.XLOOKUP(AC104,[1]Mapping!B:B,[1]Mapping!C:C,"")</f>
        <v xml:space="preserve">Computer Systems Design Services </v>
      </c>
      <c r="AG104" s="6" t="s">
        <v>581</v>
      </c>
      <c r="AH104" s="6" t="s">
        <v>174</v>
      </c>
      <c r="AI104" s="6" t="s">
        <v>87</v>
      </c>
      <c r="AJ104" s="6" t="s">
        <v>174</v>
      </c>
      <c r="AK104" s="6" t="s">
        <v>175</v>
      </c>
      <c r="AL104" s="6" t="s">
        <v>176</v>
      </c>
      <c r="AM104" s="6" t="s">
        <v>177</v>
      </c>
      <c r="AN104" s="6" t="s">
        <v>91</v>
      </c>
      <c r="AO104" s="6" t="s">
        <v>92</v>
      </c>
      <c r="AQ104" s="6" t="s">
        <v>582</v>
      </c>
      <c r="AR104" s="6" t="s">
        <v>583</v>
      </c>
      <c r="AT104" s="6">
        <v>6202</v>
      </c>
      <c r="AU104" s="6" t="s">
        <v>584</v>
      </c>
      <c r="AV104" s="6" t="s">
        <v>585</v>
      </c>
      <c r="AW104" s="6" t="s">
        <v>586</v>
      </c>
      <c r="AY104" s="6">
        <v>254787000000</v>
      </c>
      <c r="AZ104" s="6">
        <v>254787000000</v>
      </c>
      <c r="BA104" s="6" t="s">
        <v>2774</v>
      </c>
      <c r="BB104" s="6" t="s">
        <v>2774</v>
      </c>
      <c r="BD104" s="6" t="s">
        <v>2732</v>
      </c>
      <c r="BE104" s="6" t="str">
        <f t="shared" si="2"/>
        <v>commscope.com</v>
      </c>
      <c r="BF104" s="6" t="str">
        <f t="shared" si="3"/>
        <v>com</v>
      </c>
      <c r="BG104" s="6" t="s">
        <v>101</v>
      </c>
      <c r="BH104" s="6" t="s">
        <v>2733</v>
      </c>
      <c r="BI104" s="6" t="s">
        <v>2734</v>
      </c>
      <c r="BJ104" s="6" t="s">
        <v>2735</v>
      </c>
      <c r="BK104" s="6" t="s">
        <v>2736</v>
      </c>
      <c r="BN104" s="6" t="s">
        <v>2737</v>
      </c>
      <c r="BQ104" s="6" t="s">
        <v>2775</v>
      </c>
      <c r="BR104" s="6" t="s">
        <v>105</v>
      </c>
    </row>
    <row r="105" spans="1:70" ht="45" customHeight="1" x14ac:dyDescent="0.25">
      <c r="A105" s="6">
        <v>105</v>
      </c>
      <c r="B105" s="7" t="s">
        <v>2776</v>
      </c>
      <c r="C105" s="8" t="s">
        <v>2777</v>
      </c>
      <c r="D105" s="6" t="s">
        <v>2778</v>
      </c>
      <c r="E105" s="6" t="s">
        <v>2779</v>
      </c>
      <c r="F105" s="8" t="s">
        <v>2780</v>
      </c>
      <c r="G105" s="6" t="s">
        <v>2781</v>
      </c>
      <c r="H105" s="6" t="s">
        <v>2782</v>
      </c>
      <c r="I105" s="6" t="s">
        <v>2783</v>
      </c>
      <c r="J105" s="6" t="s">
        <v>2784</v>
      </c>
      <c r="K105" s="9">
        <v>122098</v>
      </c>
      <c r="L105" s="8" t="s">
        <v>2785</v>
      </c>
      <c r="N105" s="6">
        <v>28.4009258</v>
      </c>
      <c r="O105" s="6">
        <v>77.103444299999992</v>
      </c>
      <c r="P105" s="6" t="s">
        <v>2786</v>
      </c>
      <c r="Q105" s="6">
        <v>17</v>
      </c>
      <c r="R105" s="6" t="s">
        <v>79</v>
      </c>
      <c r="S105" s="6">
        <v>1999</v>
      </c>
      <c r="T105" s="6">
        <v>88700000</v>
      </c>
      <c r="U105" s="6" t="s">
        <v>167</v>
      </c>
      <c r="V105" s="6">
        <v>3300</v>
      </c>
      <c r="W105" s="6" t="s">
        <v>167</v>
      </c>
      <c r="X105" s="6" t="s">
        <v>2787</v>
      </c>
      <c r="Y105" s="6" t="s">
        <v>2788</v>
      </c>
      <c r="Z105" s="6" t="s">
        <v>2789</v>
      </c>
      <c r="AA105" s="6" t="s">
        <v>2790</v>
      </c>
      <c r="AB105" s="6" t="s">
        <v>2791</v>
      </c>
      <c r="AC105" s="6">
        <v>517121</v>
      </c>
      <c r="AD105" s="10" t="str">
        <f>_xlfn.XLOOKUP(AC105,[1]Mapping!B:B,[1]Mapping!C:C,"")</f>
        <v>Telecommunications Resellers</v>
      </c>
      <c r="AG105" s="6" t="s">
        <v>85</v>
      </c>
      <c r="AH105" s="6" t="s">
        <v>86</v>
      </c>
      <c r="AI105" s="6" t="s">
        <v>87</v>
      </c>
      <c r="AJ105" s="6" t="s">
        <v>86</v>
      </c>
      <c r="AK105" s="6" t="s">
        <v>88</v>
      </c>
      <c r="AL105" s="6" t="s">
        <v>89</v>
      </c>
      <c r="AM105" s="6" t="s">
        <v>90</v>
      </c>
      <c r="AN105" s="6" t="s">
        <v>91</v>
      </c>
      <c r="AO105" s="6" t="s">
        <v>92</v>
      </c>
      <c r="AQ105" s="6" t="s">
        <v>93</v>
      </c>
      <c r="AR105" s="6" t="s">
        <v>94</v>
      </c>
      <c r="AS105" s="6" t="s">
        <v>2792</v>
      </c>
      <c r="AT105" s="6">
        <v>6190</v>
      </c>
      <c r="AU105" s="6" t="s">
        <v>96</v>
      </c>
      <c r="AV105" s="6">
        <v>61.9</v>
      </c>
      <c r="AW105" s="6" t="s">
        <v>96</v>
      </c>
      <c r="AX105" s="6" t="s">
        <v>2793</v>
      </c>
      <c r="AY105" s="6" t="s">
        <v>2794</v>
      </c>
      <c r="AZ105" s="6" t="s">
        <v>2795</v>
      </c>
      <c r="BA105" s="6" t="s">
        <v>2796</v>
      </c>
      <c r="BB105" s="6" t="s">
        <v>2797</v>
      </c>
      <c r="BC105" s="6" t="s">
        <v>2798</v>
      </c>
      <c r="BD105" s="6" t="s">
        <v>2799</v>
      </c>
      <c r="BE105" s="6" t="str">
        <f t="shared" si="2"/>
        <v>comviva.com</v>
      </c>
      <c r="BF105" s="6" t="str">
        <f t="shared" si="3"/>
        <v>com</v>
      </c>
      <c r="BG105" s="6" t="s">
        <v>101</v>
      </c>
      <c r="BH105" s="6" t="s">
        <v>2800</v>
      </c>
      <c r="BI105" s="6" t="s">
        <v>2801</v>
      </c>
      <c r="BJ105" s="6" t="s">
        <v>2802</v>
      </c>
      <c r="BK105" s="6" t="s">
        <v>2803</v>
      </c>
      <c r="BN105" s="6" t="s">
        <v>2804</v>
      </c>
      <c r="BP105" s="6" t="s">
        <v>2805</v>
      </c>
      <c r="BQ105" s="6" t="s">
        <v>2806</v>
      </c>
      <c r="BR105" s="6" t="s">
        <v>105</v>
      </c>
    </row>
    <row r="106" spans="1:70" ht="45" customHeight="1" x14ac:dyDescent="0.25">
      <c r="A106" s="6">
        <v>106</v>
      </c>
      <c r="B106" s="7" t="s">
        <v>2807</v>
      </c>
      <c r="C106" s="8" t="s">
        <v>2808</v>
      </c>
      <c r="D106" s="6" t="s">
        <v>2809</v>
      </c>
      <c r="E106" s="8" t="s">
        <v>2810</v>
      </c>
      <c r="F106" s="8" t="s">
        <v>2810</v>
      </c>
      <c r="G106" s="6" t="s">
        <v>73</v>
      </c>
      <c r="H106" s="6" t="s">
        <v>74</v>
      </c>
      <c r="I106" s="6"/>
      <c r="J106" s="6" t="s">
        <v>2811</v>
      </c>
      <c r="K106" s="9">
        <v>2605</v>
      </c>
      <c r="L106" s="8" t="s">
        <v>2812</v>
      </c>
      <c r="M106" s="9">
        <v>9</v>
      </c>
      <c r="N106" s="6">
        <v>55.659154000000001</v>
      </c>
      <c r="O106" s="6">
        <v>12.3966081</v>
      </c>
      <c r="T106" s="6"/>
      <c r="X106" s="6" t="s">
        <v>2813</v>
      </c>
      <c r="Y106" s="6" t="s">
        <v>2814</v>
      </c>
      <c r="Z106" s="6" t="s">
        <v>2815</v>
      </c>
      <c r="AA106" s="6" t="s">
        <v>2816</v>
      </c>
      <c r="AB106" s="6" t="s">
        <v>2817</v>
      </c>
      <c r="AC106" s="6">
        <v>541512</v>
      </c>
      <c r="AD106" s="10" t="str">
        <f>_xlfn.XLOOKUP(AC106,[1]Mapping!B:B,[1]Mapping!C:C,"")</f>
        <v xml:space="preserve">Computer Systems Design Services </v>
      </c>
      <c r="AG106" s="6" t="s">
        <v>2818</v>
      </c>
      <c r="AH106" s="6" t="s">
        <v>2819</v>
      </c>
      <c r="AI106" s="6" t="s">
        <v>499</v>
      </c>
      <c r="AQ106" s="6">
        <v>7373</v>
      </c>
      <c r="AR106" s="6" t="s">
        <v>2820</v>
      </c>
      <c r="AT106" s="6">
        <v>6202</v>
      </c>
      <c r="AU106" s="6" t="s">
        <v>2821</v>
      </c>
      <c r="AV106" s="6">
        <v>62.02</v>
      </c>
      <c r="AW106" s="6" t="s">
        <v>2822</v>
      </c>
      <c r="AY106" s="6" t="s">
        <v>2823</v>
      </c>
      <c r="AZ106" s="6" t="s">
        <v>2824</v>
      </c>
      <c r="BD106" s="6" t="s">
        <v>2825</v>
      </c>
      <c r="BE106" s="6" t="str">
        <f t="shared" si="2"/>
        <v>conscia.dk</v>
      </c>
      <c r="BF106" s="6" t="str">
        <f t="shared" si="3"/>
        <v>dk</v>
      </c>
      <c r="BG106" s="6" t="s">
        <v>101</v>
      </c>
      <c r="BH106" s="6" t="s">
        <v>2826</v>
      </c>
      <c r="BK106" s="6" t="s">
        <v>2827</v>
      </c>
      <c r="BP106" s="6" t="s">
        <v>2828</v>
      </c>
      <c r="BQ106" s="6" t="s">
        <v>2829</v>
      </c>
      <c r="BR106" s="6" t="s">
        <v>105</v>
      </c>
    </row>
    <row r="107" spans="1:70" ht="45" customHeight="1" x14ac:dyDescent="0.25">
      <c r="A107" s="6">
        <v>107</v>
      </c>
      <c r="B107" s="7" t="s">
        <v>2830</v>
      </c>
      <c r="C107" s="8" t="s">
        <v>2831</v>
      </c>
      <c r="D107" s="6" t="s">
        <v>2832</v>
      </c>
      <c r="E107" s="8" t="s">
        <v>2833</v>
      </c>
      <c r="F107" s="8" t="s">
        <v>2833</v>
      </c>
      <c r="G107" s="6" t="s">
        <v>840</v>
      </c>
      <c r="H107" s="6" t="s">
        <v>841</v>
      </c>
      <c r="I107" s="6" t="s">
        <v>842</v>
      </c>
      <c r="J107" s="6" t="s">
        <v>843</v>
      </c>
      <c r="K107" s="9" t="s">
        <v>2834</v>
      </c>
      <c r="L107" s="8" t="s">
        <v>2835</v>
      </c>
      <c r="M107" s="9">
        <v>33</v>
      </c>
      <c r="N107" s="6">
        <v>51.510007599999987</v>
      </c>
      <c r="O107" s="6">
        <v>-8.7324600000000002E-2</v>
      </c>
      <c r="P107" s="6" t="s">
        <v>2836</v>
      </c>
      <c r="Q107" s="6">
        <v>1</v>
      </c>
      <c r="S107" s="6">
        <v>1984</v>
      </c>
      <c r="T107" s="6">
        <v>107300000</v>
      </c>
      <c r="U107" s="6" t="s">
        <v>167</v>
      </c>
      <c r="X107" s="6" t="s">
        <v>2837</v>
      </c>
      <c r="Y107" s="6" t="s">
        <v>2838</v>
      </c>
      <c r="Z107" s="6" t="s">
        <v>2839</v>
      </c>
      <c r="AA107" s="6" t="s">
        <v>2840</v>
      </c>
      <c r="AB107" s="6" t="s">
        <v>2841</v>
      </c>
      <c r="AC107" s="6">
        <v>541611</v>
      </c>
      <c r="AD107" s="10" t="str">
        <f>_xlfn.XLOOKUP(AC107,[1]Mapping!B:B,[1]Mapping!C:C,"")</f>
        <v xml:space="preserve">Administrative Management and General Management Consulting Services </v>
      </c>
      <c r="AE107" s="6" t="s">
        <v>2842</v>
      </c>
      <c r="AF107" s="6" t="s">
        <v>2843</v>
      </c>
      <c r="AG107" s="6" t="s">
        <v>2844</v>
      </c>
      <c r="AH107" s="6" t="s">
        <v>2845</v>
      </c>
      <c r="AI107" s="6" t="s">
        <v>652</v>
      </c>
      <c r="AQ107" s="6">
        <v>8742</v>
      </c>
      <c r="AR107" s="6" t="s">
        <v>2846</v>
      </c>
      <c r="AT107" s="6">
        <v>7020</v>
      </c>
      <c r="AU107" s="6" t="s">
        <v>2847</v>
      </c>
      <c r="AV107" s="6">
        <v>70.22</v>
      </c>
      <c r="AW107" s="6" t="s">
        <v>659</v>
      </c>
      <c r="AY107" s="6" t="s">
        <v>2848</v>
      </c>
      <c r="AZ107" s="6" t="s">
        <v>2849</v>
      </c>
      <c r="BD107" s="6" t="s">
        <v>2850</v>
      </c>
      <c r="BE107" s="6" t="str">
        <f t="shared" si="2"/>
        <v>controlrisks.com</v>
      </c>
      <c r="BF107" s="6" t="str">
        <f t="shared" si="3"/>
        <v>com</v>
      </c>
      <c r="BG107" s="6" t="s">
        <v>101</v>
      </c>
      <c r="BH107" s="6" t="s">
        <v>2851</v>
      </c>
      <c r="BI107" s="6" t="s">
        <v>2852</v>
      </c>
      <c r="BJ107" s="6" t="s">
        <v>2853</v>
      </c>
      <c r="BK107" s="6" t="s">
        <v>2854</v>
      </c>
      <c r="BN107" s="6" t="s">
        <v>2855</v>
      </c>
      <c r="BQ107" s="6" t="s">
        <v>2856</v>
      </c>
      <c r="BR107" s="6" t="s">
        <v>105</v>
      </c>
    </row>
    <row r="108" spans="1:70" ht="45" customHeight="1" x14ac:dyDescent="0.25">
      <c r="A108" s="6">
        <v>108</v>
      </c>
      <c r="B108" s="7" t="s">
        <v>2857</v>
      </c>
      <c r="C108" s="8" t="s">
        <v>2858</v>
      </c>
      <c r="D108" s="6" t="s">
        <v>2859</v>
      </c>
      <c r="E108" s="8" t="s">
        <v>2857</v>
      </c>
      <c r="F108" s="8" t="s">
        <v>2860</v>
      </c>
      <c r="G108" s="6" t="s">
        <v>130</v>
      </c>
      <c r="H108" s="6" t="s">
        <v>131</v>
      </c>
      <c r="I108" s="8" t="s">
        <v>132</v>
      </c>
      <c r="J108" s="6" t="s">
        <v>132</v>
      </c>
      <c r="K108" s="9">
        <v>252</v>
      </c>
      <c r="L108" s="8" t="s">
        <v>2861</v>
      </c>
      <c r="M108" s="9">
        <v>2</v>
      </c>
      <c r="N108" s="6">
        <v>59.906406999999987</v>
      </c>
      <c r="O108" s="6">
        <v>10.719936499999999</v>
      </c>
      <c r="P108" s="6" t="s">
        <v>2862</v>
      </c>
      <c r="Q108" s="6">
        <v>1</v>
      </c>
      <c r="R108" s="6" t="s">
        <v>79</v>
      </c>
      <c r="S108" s="6">
        <v>2011</v>
      </c>
      <c r="T108" s="6">
        <v>27943802</v>
      </c>
      <c r="U108" s="6" t="s">
        <v>80</v>
      </c>
      <c r="V108" s="6">
        <v>83</v>
      </c>
      <c r="W108" s="6" t="s">
        <v>167</v>
      </c>
      <c r="X108" s="6" t="s">
        <v>2863</v>
      </c>
      <c r="Y108" s="6" t="s">
        <v>2864</v>
      </c>
      <c r="Z108" s="6" t="s">
        <v>2865</v>
      </c>
      <c r="AA108" s="6" t="s">
        <v>2866</v>
      </c>
      <c r="AB108" s="6" t="s">
        <v>2867</v>
      </c>
      <c r="AC108" s="6">
        <v>541820</v>
      </c>
      <c r="AD108" s="10" t="str">
        <f>_xlfn.XLOOKUP(AC108,[1]Mapping!B:B,[1]Mapping!C:C,"")</f>
        <v>Public Relations Agencies</v>
      </c>
      <c r="AG108" s="6" t="s">
        <v>2868</v>
      </c>
      <c r="AH108" s="6" t="s">
        <v>1143</v>
      </c>
      <c r="AI108" s="6" t="s">
        <v>500</v>
      </c>
      <c r="AJ108" s="6" t="s">
        <v>293</v>
      </c>
      <c r="AK108" s="6" t="s">
        <v>294</v>
      </c>
      <c r="AL108" s="6" t="s">
        <v>295</v>
      </c>
      <c r="AM108" s="6" t="s">
        <v>296</v>
      </c>
      <c r="AN108" s="6" t="s">
        <v>297</v>
      </c>
      <c r="AO108" s="6" t="s">
        <v>298</v>
      </c>
      <c r="AQ108" s="6">
        <v>8743</v>
      </c>
      <c r="AR108" s="6" t="s">
        <v>2869</v>
      </c>
      <c r="AT108" s="6">
        <v>7020</v>
      </c>
      <c r="AU108" s="6" t="s">
        <v>378</v>
      </c>
      <c r="AV108" s="6" t="s">
        <v>379</v>
      </c>
      <c r="AW108" s="6" t="s">
        <v>380</v>
      </c>
      <c r="AY108" s="6" t="s">
        <v>2870</v>
      </c>
      <c r="AZ108" s="6" t="s">
        <v>2871</v>
      </c>
      <c r="BA108" s="6" t="s">
        <v>2872</v>
      </c>
      <c r="BB108" s="6" t="s">
        <v>2872</v>
      </c>
      <c r="BD108" s="6" t="s">
        <v>2873</v>
      </c>
      <c r="BE108" s="6" t="str">
        <f t="shared" si="2"/>
        <v>corpcom.no</v>
      </c>
      <c r="BF108" s="6" t="str">
        <f t="shared" si="3"/>
        <v>no</v>
      </c>
      <c r="BG108" s="6" t="s">
        <v>101</v>
      </c>
      <c r="BH108" s="6" t="s">
        <v>2874</v>
      </c>
      <c r="BJ108" s="6" t="s">
        <v>2875</v>
      </c>
      <c r="BK108" s="6" t="s">
        <v>2876</v>
      </c>
      <c r="BP108" s="6" t="s">
        <v>2877</v>
      </c>
      <c r="BQ108" s="6" t="s">
        <v>2878</v>
      </c>
      <c r="BR108" s="6" t="s">
        <v>105</v>
      </c>
    </row>
    <row r="109" spans="1:70" ht="45" customHeight="1" x14ac:dyDescent="0.25">
      <c r="A109" s="6">
        <v>109</v>
      </c>
      <c r="B109" s="7" t="s">
        <v>2879</v>
      </c>
      <c r="C109" s="8" t="s">
        <v>2880</v>
      </c>
      <c r="D109" s="6" t="s">
        <v>2881</v>
      </c>
      <c r="E109" s="6" t="s">
        <v>2882</v>
      </c>
      <c r="F109" s="8" t="s">
        <v>2883</v>
      </c>
      <c r="G109" s="6" t="s">
        <v>201</v>
      </c>
      <c r="H109" s="6" t="s">
        <v>202</v>
      </c>
      <c r="I109" s="6" t="s">
        <v>203</v>
      </c>
      <c r="J109" s="6" t="s">
        <v>2884</v>
      </c>
      <c r="K109" s="9">
        <v>94404</v>
      </c>
      <c r="L109" s="8" t="s">
        <v>2885</v>
      </c>
      <c r="M109" s="9">
        <v>950</v>
      </c>
      <c r="N109" s="6">
        <v>37.557943100000003</v>
      </c>
      <c r="O109" s="6">
        <v>-122.2770524</v>
      </c>
      <c r="P109" s="6" t="s">
        <v>2886</v>
      </c>
      <c r="Q109" s="6">
        <v>28</v>
      </c>
      <c r="R109" s="6" t="s">
        <v>906</v>
      </c>
      <c r="S109" s="6">
        <v>2006</v>
      </c>
      <c r="T109" s="6">
        <v>838000000</v>
      </c>
      <c r="U109" s="6" t="s">
        <v>167</v>
      </c>
      <c r="V109" s="6">
        <v>3076</v>
      </c>
      <c r="W109" s="6" t="s">
        <v>167</v>
      </c>
      <c r="X109" s="6" t="s">
        <v>2887</v>
      </c>
      <c r="Y109" s="6" t="s">
        <v>2888</v>
      </c>
      <c r="Z109" s="6" t="s">
        <v>2889</v>
      </c>
      <c r="AA109" s="6" t="s">
        <v>2890</v>
      </c>
      <c r="AB109" s="6" t="s">
        <v>2891</v>
      </c>
      <c r="AC109" s="6">
        <v>541511</v>
      </c>
      <c r="AD109" s="10" t="str">
        <f>_xlfn.XLOOKUP(AC109,[1]Mapping!B:B,[1]Mapping!C:C,"")</f>
        <v xml:space="preserve">Custom Computer Programming Services </v>
      </c>
      <c r="AE109" s="6">
        <v>518210</v>
      </c>
      <c r="AF109" s="6" t="s">
        <v>2892</v>
      </c>
      <c r="AG109" s="6" t="s">
        <v>581</v>
      </c>
      <c r="AH109" s="6" t="s">
        <v>174</v>
      </c>
      <c r="AI109" s="6" t="s">
        <v>87</v>
      </c>
      <c r="AJ109" s="6" t="s">
        <v>174</v>
      </c>
      <c r="AK109" s="6" t="s">
        <v>175</v>
      </c>
      <c r="AL109" s="6" t="s">
        <v>176</v>
      </c>
      <c r="AM109" s="6" t="s">
        <v>177</v>
      </c>
      <c r="AN109" s="6" t="s">
        <v>91</v>
      </c>
      <c r="AO109" s="6" t="s">
        <v>92</v>
      </c>
      <c r="AQ109" s="6">
        <v>7371</v>
      </c>
      <c r="AR109" s="6" t="s">
        <v>504</v>
      </c>
      <c r="AS109" s="6" t="s">
        <v>2893</v>
      </c>
      <c r="AT109" s="6">
        <v>6201</v>
      </c>
      <c r="AU109" s="6" t="s">
        <v>505</v>
      </c>
      <c r="AV109" s="6">
        <v>62.01</v>
      </c>
      <c r="AW109" s="6" t="s">
        <v>505</v>
      </c>
      <c r="AX109" s="6" t="s">
        <v>2894</v>
      </c>
      <c r="AY109" s="6" t="s">
        <v>2895</v>
      </c>
      <c r="AZ109" s="6" t="s">
        <v>2896</v>
      </c>
      <c r="BA109" s="6" t="s">
        <v>2897</v>
      </c>
      <c r="BB109" s="6" t="s">
        <v>2898</v>
      </c>
      <c r="BC109" s="6" t="s">
        <v>2899</v>
      </c>
      <c r="BD109" s="6" t="s">
        <v>2900</v>
      </c>
      <c r="BE109" s="6" t="str">
        <f t="shared" si="2"/>
        <v>coupa.com</v>
      </c>
      <c r="BF109" s="6" t="str">
        <f t="shared" si="3"/>
        <v>com</v>
      </c>
      <c r="BG109" s="6" t="s">
        <v>101</v>
      </c>
      <c r="BH109" s="6" t="s">
        <v>2901</v>
      </c>
      <c r="BI109" s="6" t="s">
        <v>2902</v>
      </c>
      <c r="BJ109" s="6" t="s">
        <v>2903</v>
      </c>
      <c r="BK109" s="6" t="s">
        <v>2904</v>
      </c>
      <c r="BN109" s="6" t="s">
        <v>2905</v>
      </c>
      <c r="BP109" s="6" t="s">
        <v>2906</v>
      </c>
      <c r="BQ109" s="6" t="s">
        <v>2907</v>
      </c>
      <c r="BR109" s="6" t="s">
        <v>105</v>
      </c>
    </row>
    <row r="110" spans="1:70" ht="45" customHeight="1" x14ac:dyDescent="0.25">
      <c r="A110" s="6">
        <v>110</v>
      </c>
      <c r="B110" s="7" t="s">
        <v>2908</v>
      </c>
      <c r="C110" s="8" t="s">
        <v>2909</v>
      </c>
      <c r="D110" s="6" t="s">
        <v>2910</v>
      </c>
      <c r="E110" s="6" t="s">
        <v>2911</v>
      </c>
      <c r="F110" s="8" t="s">
        <v>2910</v>
      </c>
      <c r="G110" s="6" t="s">
        <v>201</v>
      </c>
      <c r="H110" s="6" t="s">
        <v>202</v>
      </c>
      <c r="I110" s="6" t="s">
        <v>203</v>
      </c>
      <c r="J110" s="6" t="s">
        <v>2912</v>
      </c>
      <c r="K110" s="9">
        <v>94040</v>
      </c>
      <c r="L110" s="8" t="s">
        <v>2913</v>
      </c>
      <c r="M110" s="9">
        <v>2440</v>
      </c>
      <c r="N110" s="6">
        <v>37.399303200000013</v>
      </c>
      <c r="O110" s="6">
        <v>-122.1077787</v>
      </c>
      <c r="P110" s="6" t="s">
        <v>2914</v>
      </c>
      <c r="Q110" s="6">
        <v>2</v>
      </c>
      <c r="R110" s="6" t="s">
        <v>906</v>
      </c>
      <c r="S110" s="6">
        <v>2012</v>
      </c>
      <c r="T110" s="6">
        <v>636000000</v>
      </c>
      <c r="U110" s="6" t="s">
        <v>167</v>
      </c>
      <c r="V110" s="6">
        <v>1295</v>
      </c>
      <c r="W110" s="6" t="s">
        <v>167</v>
      </c>
      <c r="X110" s="6" t="s">
        <v>2915</v>
      </c>
      <c r="Y110" s="6" t="s">
        <v>2916</v>
      </c>
      <c r="Z110" s="6" t="s">
        <v>2917</v>
      </c>
      <c r="AA110" s="6" t="s">
        <v>2918</v>
      </c>
      <c r="AB110" s="6" t="s">
        <v>2919</v>
      </c>
      <c r="AC110" s="6">
        <v>611420</v>
      </c>
      <c r="AD110" s="10" t="str">
        <f>_xlfn.XLOOKUP(AC110,[1]Mapping!B:B,[1]Mapping!C:C,"")</f>
        <v xml:space="preserve">Computer Training </v>
      </c>
      <c r="AE110" s="6">
        <v>611210</v>
      </c>
      <c r="AF110" s="6" t="s">
        <v>2920</v>
      </c>
      <c r="AG110" s="6" t="s">
        <v>941</v>
      </c>
      <c r="AH110" s="6" t="s">
        <v>942</v>
      </c>
      <c r="AI110" s="6" t="s">
        <v>942</v>
      </c>
      <c r="AJ110" s="6" t="s">
        <v>942</v>
      </c>
      <c r="AK110" s="6" t="s">
        <v>2921</v>
      </c>
      <c r="AL110" s="6" t="s">
        <v>295</v>
      </c>
      <c r="AM110" s="6" t="s">
        <v>296</v>
      </c>
      <c r="AN110" s="6" t="s">
        <v>297</v>
      </c>
      <c r="AO110" s="6" t="s">
        <v>298</v>
      </c>
      <c r="AQ110" s="6">
        <v>8243</v>
      </c>
      <c r="AR110" s="6" t="s">
        <v>2922</v>
      </c>
      <c r="AS110" s="6" t="s">
        <v>2923</v>
      </c>
      <c r="AT110" s="6">
        <v>8549</v>
      </c>
      <c r="AU110" s="6" t="s">
        <v>2924</v>
      </c>
      <c r="AV110" s="6" t="s">
        <v>2925</v>
      </c>
      <c r="AW110" s="6" t="s">
        <v>2926</v>
      </c>
      <c r="AX110" s="6" t="s">
        <v>2927</v>
      </c>
      <c r="AY110" s="6" t="s">
        <v>2928</v>
      </c>
      <c r="AZ110" s="6" t="s">
        <v>2929</v>
      </c>
      <c r="BA110" s="6" t="s">
        <v>2930</v>
      </c>
      <c r="BB110" s="6" t="s">
        <v>2931</v>
      </c>
      <c r="BC110" s="6" t="s">
        <v>2932</v>
      </c>
      <c r="BD110" s="6" t="s">
        <v>2933</v>
      </c>
      <c r="BE110" s="6" t="str">
        <f t="shared" si="2"/>
        <v>coursera.org</v>
      </c>
      <c r="BF110" s="6" t="str">
        <f t="shared" si="3"/>
        <v>org</v>
      </c>
      <c r="BG110" s="6" t="s">
        <v>101</v>
      </c>
      <c r="BH110" s="6" t="s">
        <v>2934</v>
      </c>
      <c r="BI110" s="6" t="s">
        <v>2935</v>
      </c>
      <c r="BJ110" s="6" t="s">
        <v>2936</v>
      </c>
      <c r="BK110" s="6" t="s">
        <v>2937</v>
      </c>
      <c r="BL110" s="6" t="s">
        <v>2938</v>
      </c>
      <c r="BM110" s="6" t="s">
        <v>2939</v>
      </c>
      <c r="BN110" s="6" t="s">
        <v>2940</v>
      </c>
      <c r="BP110" s="6" t="s">
        <v>2941</v>
      </c>
      <c r="BQ110" s="6" t="s">
        <v>2942</v>
      </c>
      <c r="BR110" s="6" t="s">
        <v>105</v>
      </c>
    </row>
    <row r="111" spans="1:70" ht="45" customHeight="1" x14ac:dyDescent="0.25">
      <c r="A111" s="6">
        <v>111</v>
      </c>
      <c r="B111" s="7" t="s">
        <v>2943</v>
      </c>
      <c r="C111" s="8" t="s">
        <v>2944</v>
      </c>
      <c r="D111" s="6" t="s">
        <v>2945</v>
      </c>
      <c r="E111" s="6" t="s">
        <v>2946</v>
      </c>
      <c r="F111" s="8" t="s">
        <v>2947</v>
      </c>
      <c r="G111" s="6" t="s">
        <v>73</v>
      </c>
      <c r="H111" s="6" t="s">
        <v>74</v>
      </c>
      <c r="I111" s="6"/>
      <c r="J111" s="6" t="s">
        <v>111</v>
      </c>
      <c r="K111" s="9">
        <v>2860</v>
      </c>
      <c r="L111" s="8" t="s">
        <v>2948</v>
      </c>
      <c r="M111" s="9" t="s">
        <v>2949</v>
      </c>
      <c r="N111" s="6">
        <v>55.740823199999987</v>
      </c>
      <c r="O111" s="6">
        <v>12.4864579</v>
      </c>
      <c r="P111" s="6" t="s">
        <v>2950</v>
      </c>
      <c r="Q111" s="6">
        <v>35</v>
      </c>
      <c r="R111" s="6" t="s">
        <v>79</v>
      </c>
      <c r="S111" s="6">
        <v>2024</v>
      </c>
      <c r="T111" s="6"/>
      <c r="X111" s="6" t="s">
        <v>2951</v>
      </c>
      <c r="Y111" s="6" t="s">
        <v>2952</v>
      </c>
      <c r="Z111" s="6" t="s">
        <v>2953</v>
      </c>
      <c r="AA111" s="6" t="s">
        <v>2954</v>
      </c>
      <c r="AB111" s="6" t="s">
        <v>2955</v>
      </c>
      <c r="AC111" s="6">
        <v>541511</v>
      </c>
      <c r="AD111" s="10" t="str">
        <f>_xlfn.XLOOKUP(AC111,[1]Mapping!B:B,[1]Mapping!C:C,"")</f>
        <v xml:space="preserve">Custom Computer Programming Services </v>
      </c>
      <c r="AG111" s="6" t="s">
        <v>990</v>
      </c>
      <c r="AH111" s="6" t="s">
        <v>174</v>
      </c>
      <c r="AI111" s="6" t="s">
        <v>87</v>
      </c>
      <c r="AJ111" s="6" t="s">
        <v>174</v>
      </c>
      <c r="AK111" s="6" t="s">
        <v>175</v>
      </c>
      <c r="AL111" s="6" t="s">
        <v>176</v>
      </c>
      <c r="AM111" s="6" t="s">
        <v>177</v>
      </c>
      <c r="AN111" s="6" t="s">
        <v>91</v>
      </c>
      <c r="AO111" s="6" t="s">
        <v>92</v>
      </c>
      <c r="AQ111" s="6">
        <v>7371</v>
      </c>
      <c r="AR111" s="6" t="s">
        <v>504</v>
      </c>
      <c r="AT111" s="6">
        <v>6201</v>
      </c>
      <c r="AU111" s="6" t="s">
        <v>505</v>
      </c>
      <c r="AV111" s="6">
        <v>62.01</v>
      </c>
      <c r="AW111" s="6" t="s">
        <v>505</v>
      </c>
      <c r="AY111" s="6" t="s">
        <v>2956</v>
      </c>
      <c r="AZ111" s="6" t="s">
        <v>2957</v>
      </c>
      <c r="BA111" s="6" t="s">
        <v>2958</v>
      </c>
      <c r="BD111" s="6" t="s">
        <v>2959</v>
      </c>
      <c r="BE111" s="6" t="str">
        <f t="shared" si="2"/>
        <v>crayon.com</v>
      </c>
      <c r="BF111" s="6" t="str">
        <f t="shared" si="3"/>
        <v>com</v>
      </c>
      <c r="BG111" s="6" t="s">
        <v>101</v>
      </c>
      <c r="BH111" s="6" t="s">
        <v>2960</v>
      </c>
      <c r="BI111" s="6" t="s">
        <v>2961</v>
      </c>
      <c r="BK111" s="6" t="s">
        <v>2962</v>
      </c>
      <c r="BP111" s="6" t="s">
        <v>2963</v>
      </c>
      <c r="BQ111" s="6" t="s">
        <v>2964</v>
      </c>
      <c r="BR111" s="6" t="s">
        <v>105</v>
      </c>
    </row>
    <row r="112" spans="1:70" ht="45" customHeight="1" x14ac:dyDescent="0.25">
      <c r="A112" s="6">
        <v>112</v>
      </c>
      <c r="B112" s="7" t="s">
        <v>2965</v>
      </c>
      <c r="C112" s="8" t="s">
        <v>2966</v>
      </c>
      <c r="D112" s="6" t="s">
        <v>2967</v>
      </c>
      <c r="E112" s="6" t="s">
        <v>2968</v>
      </c>
      <c r="F112" s="8" t="s">
        <v>2969</v>
      </c>
      <c r="G112" s="6" t="s">
        <v>130</v>
      </c>
      <c r="H112" s="6" t="s">
        <v>131</v>
      </c>
      <c r="I112" s="6" t="s">
        <v>132</v>
      </c>
      <c r="J112" s="6" t="s">
        <v>132</v>
      </c>
      <c r="K112" s="9">
        <v>484</v>
      </c>
      <c r="L112" s="8" t="s">
        <v>2970</v>
      </c>
      <c r="M112" s="9">
        <v>5</v>
      </c>
      <c r="N112" s="6">
        <v>59.9518725</v>
      </c>
      <c r="O112" s="6">
        <v>10.765477499999999</v>
      </c>
      <c r="P112" s="6" t="s">
        <v>2971</v>
      </c>
      <c r="Q112" s="6">
        <v>7</v>
      </c>
      <c r="R112" s="6" t="s">
        <v>79</v>
      </c>
      <c r="S112" s="6">
        <v>2003</v>
      </c>
      <c r="T112" s="6">
        <v>2912310</v>
      </c>
      <c r="U112" s="6" t="s">
        <v>80</v>
      </c>
      <c r="V112" s="6">
        <v>8</v>
      </c>
      <c r="W112" s="6" t="s">
        <v>167</v>
      </c>
      <c r="X112" s="6" t="s">
        <v>2951</v>
      </c>
      <c r="Y112" s="6" t="s">
        <v>2972</v>
      </c>
      <c r="Z112" s="6" t="s">
        <v>2973</v>
      </c>
      <c r="AA112" s="6" t="s">
        <v>2974</v>
      </c>
      <c r="AB112" s="6" t="s">
        <v>2975</v>
      </c>
      <c r="AC112" s="6">
        <v>541511</v>
      </c>
      <c r="AD112" s="10" t="str">
        <f>_xlfn.XLOOKUP(AC112,[1]Mapping!B:B,[1]Mapping!C:C,"")</f>
        <v xml:space="preserve">Custom Computer Programming Services </v>
      </c>
      <c r="AE112" s="6" t="s">
        <v>2976</v>
      </c>
      <c r="AF112" s="6" t="s">
        <v>2977</v>
      </c>
      <c r="AG112" s="6" t="s">
        <v>2978</v>
      </c>
      <c r="AH112" s="6" t="s">
        <v>2979</v>
      </c>
      <c r="AI112" s="6" t="s">
        <v>499</v>
      </c>
      <c r="AJ112" s="6" t="s">
        <v>174</v>
      </c>
      <c r="AK112" s="6" t="s">
        <v>175</v>
      </c>
      <c r="AL112" s="6" t="s">
        <v>176</v>
      </c>
      <c r="AM112" s="6" t="s">
        <v>177</v>
      </c>
      <c r="AN112" s="6" t="s">
        <v>91</v>
      </c>
      <c r="AO112" s="6" t="s">
        <v>92</v>
      </c>
      <c r="AQ112" s="6">
        <v>7371</v>
      </c>
      <c r="AR112" s="6" t="s">
        <v>504</v>
      </c>
      <c r="AT112" s="6">
        <v>6201</v>
      </c>
      <c r="AU112" s="6" t="s">
        <v>505</v>
      </c>
      <c r="AV112" s="6">
        <v>62.01</v>
      </c>
      <c r="AW112" s="6" t="s">
        <v>505</v>
      </c>
      <c r="AY112" s="6" t="s">
        <v>2980</v>
      </c>
      <c r="AZ112" s="6" t="s">
        <v>2981</v>
      </c>
      <c r="BA112" s="6" t="s">
        <v>2982</v>
      </c>
      <c r="BD112" s="6" t="s">
        <v>2983</v>
      </c>
      <c r="BE112" s="6" t="str">
        <f t="shared" si="2"/>
        <v>crayon.com</v>
      </c>
      <c r="BF112" s="6" t="str">
        <f t="shared" si="3"/>
        <v>com</v>
      </c>
      <c r="BG112" s="6" t="s">
        <v>101</v>
      </c>
      <c r="BH112" s="6" t="s">
        <v>2960</v>
      </c>
      <c r="BI112" s="6" t="s">
        <v>2961</v>
      </c>
      <c r="BK112" s="6" t="s">
        <v>2984</v>
      </c>
      <c r="BP112" s="6" t="s">
        <v>2985</v>
      </c>
      <c r="BQ112" s="6" t="s">
        <v>2986</v>
      </c>
      <c r="BR112" s="6" t="s">
        <v>105</v>
      </c>
    </row>
    <row r="113" spans="1:70" ht="45" customHeight="1" x14ac:dyDescent="0.25">
      <c r="A113" s="6">
        <v>113</v>
      </c>
      <c r="B113" s="7" t="s">
        <v>2987</v>
      </c>
      <c r="C113" s="8" t="s">
        <v>2988</v>
      </c>
      <c r="D113" s="6" t="s">
        <v>2989</v>
      </c>
      <c r="E113" s="8" t="s">
        <v>2987</v>
      </c>
      <c r="F113" s="8" t="s">
        <v>2990</v>
      </c>
      <c r="G113" s="6" t="s">
        <v>315</v>
      </c>
      <c r="H113" s="6" t="s">
        <v>316</v>
      </c>
      <c r="I113" s="8" t="s">
        <v>2991</v>
      </c>
      <c r="J113" s="6" t="s">
        <v>316</v>
      </c>
      <c r="K113" s="9">
        <v>48623</v>
      </c>
      <c r="L113" s="8" t="s">
        <v>2992</v>
      </c>
      <c r="M113" s="9">
        <v>50</v>
      </c>
      <c r="N113" s="6">
        <v>1.2847487</v>
      </c>
      <c r="O113" s="6">
        <v>103.85199230000001</v>
      </c>
      <c r="P113" s="6" t="s">
        <v>2993</v>
      </c>
      <c r="Q113" s="6">
        <v>1</v>
      </c>
      <c r="S113" s="6">
        <v>2014</v>
      </c>
      <c r="T113" s="6"/>
      <c r="V113" s="6">
        <v>1</v>
      </c>
      <c r="W113" s="6" t="s">
        <v>80</v>
      </c>
      <c r="X113" s="6" t="s">
        <v>2951</v>
      </c>
      <c r="Y113" s="6" t="s">
        <v>2994</v>
      </c>
      <c r="Z113" s="6" t="s">
        <v>2995</v>
      </c>
      <c r="AA113" s="6" t="s">
        <v>2996</v>
      </c>
      <c r="AB113" s="6" t="s">
        <v>2975</v>
      </c>
      <c r="AC113" s="6">
        <v>541511</v>
      </c>
      <c r="AD113" s="10" t="str">
        <f>_xlfn.XLOOKUP(AC113,[1]Mapping!B:B,[1]Mapping!C:C,"")</f>
        <v xml:space="preserve">Custom Computer Programming Services </v>
      </c>
      <c r="AE113" s="6" t="s">
        <v>2976</v>
      </c>
      <c r="AF113" s="6" t="s">
        <v>2977</v>
      </c>
      <c r="AG113" s="6" t="s">
        <v>2978</v>
      </c>
      <c r="AH113" s="6" t="s">
        <v>2979</v>
      </c>
      <c r="AI113" s="6" t="s">
        <v>499</v>
      </c>
      <c r="AJ113" s="6" t="s">
        <v>500</v>
      </c>
      <c r="AK113" s="6" t="s">
        <v>501</v>
      </c>
      <c r="AL113" s="6" t="s">
        <v>502</v>
      </c>
      <c r="AM113" s="6" t="s">
        <v>503</v>
      </c>
      <c r="AN113" s="6" t="s">
        <v>297</v>
      </c>
      <c r="AO113" s="6" t="s">
        <v>298</v>
      </c>
      <c r="AQ113" s="6">
        <v>7371</v>
      </c>
      <c r="AR113" s="6" t="s">
        <v>504</v>
      </c>
      <c r="AT113" s="6">
        <v>6201</v>
      </c>
      <c r="AU113" s="6" t="s">
        <v>505</v>
      </c>
      <c r="AV113" s="6">
        <v>62.01</v>
      </c>
      <c r="AW113" s="6" t="s">
        <v>505</v>
      </c>
      <c r="AY113" s="6" t="s">
        <v>2997</v>
      </c>
      <c r="AZ113" s="6" t="s">
        <v>2998</v>
      </c>
      <c r="BA113" s="6" t="s">
        <v>2999</v>
      </c>
      <c r="BB113" s="6" t="s">
        <v>2999</v>
      </c>
      <c r="BD113" s="6" t="s">
        <v>2983</v>
      </c>
      <c r="BE113" s="6" t="str">
        <f t="shared" si="2"/>
        <v>crayon.com</v>
      </c>
      <c r="BF113" s="6" t="str">
        <f t="shared" si="3"/>
        <v>com</v>
      </c>
      <c r="BG113" s="6" t="s">
        <v>101</v>
      </c>
      <c r="BH113" s="6" t="s">
        <v>3000</v>
      </c>
      <c r="BJ113" s="6" t="s">
        <v>3001</v>
      </c>
      <c r="BQ113" s="6" t="s">
        <v>3002</v>
      </c>
      <c r="BR113" s="6" t="s">
        <v>105</v>
      </c>
    </row>
    <row r="114" spans="1:70" ht="45" customHeight="1" x14ac:dyDescent="0.25">
      <c r="A114" s="6">
        <v>114</v>
      </c>
      <c r="B114" s="7" t="s">
        <v>3003</v>
      </c>
      <c r="C114" s="8" t="s">
        <v>3004</v>
      </c>
      <c r="D114" s="6" t="s">
        <v>3005</v>
      </c>
      <c r="E114" s="6" t="s">
        <v>3006</v>
      </c>
      <c r="F114" s="8" t="s">
        <v>3007</v>
      </c>
      <c r="G114" s="6" t="s">
        <v>201</v>
      </c>
      <c r="H114" s="6" t="s">
        <v>202</v>
      </c>
      <c r="I114" s="6" t="s">
        <v>2991</v>
      </c>
      <c r="J114" s="6" t="s">
        <v>3008</v>
      </c>
      <c r="K114" s="9">
        <v>94086</v>
      </c>
      <c r="L114" s="8" t="s">
        <v>3009</v>
      </c>
      <c r="M114" s="9">
        <v>150</v>
      </c>
      <c r="N114" s="6">
        <v>37.377662500000007</v>
      </c>
      <c r="O114" s="6">
        <v>-122.0335517</v>
      </c>
      <c r="P114" s="6" t="s">
        <v>3010</v>
      </c>
      <c r="Q114" s="6">
        <v>6</v>
      </c>
      <c r="R114" s="6" t="s">
        <v>79</v>
      </c>
      <c r="S114" s="6">
        <v>2022</v>
      </c>
      <c r="T114" s="6"/>
      <c r="X114" s="6" t="s">
        <v>3011</v>
      </c>
      <c r="Y114" s="6" t="s">
        <v>3012</v>
      </c>
      <c r="Z114" s="6" t="s">
        <v>3013</v>
      </c>
      <c r="AA114" s="6" t="s">
        <v>3014</v>
      </c>
      <c r="AB114" s="6" t="s">
        <v>3015</v>
      </c>
      <c r="AC114" s="6">
        <v>541512</v>
      </c>
      <c r="AD114" s="10" t="str">
        <f>_xlfn.XLOOKUP(AC114,[1]Mapping!B:B,[1]Mapping!C:C,"")</f>
        <v xml:space="preserve">Computer Systems Design Services </v>
      </c>
      <c r="AG114" s="6" t="s">
        <v>581</v>
      </c>
      <c r="AH114" s="6" t="s">
        <v>174</v>
      </c>
      <c r="AI114" s="6" t="s">
        <v>87</v>
      </c>
      <c r="AJ114" s="6" t="s">
        <v>174</v>
      </c>
      <c r="AK114" s="6" t="s">
        <v>175</v>
      </c>
      <c r="AL114" s="6" t="s">
        <v>176</v>
      </c>
      <c r="AM114" s="6" t="s">
        <v>177</v>
      </c>
      <c r="AN114" s="6" t="s">
        <v>91</v>
      </c>
      <c r="AO114" s="6" t="s">
        <v>92</v>
      </c>
      <c r="AQ114" s="6" t="s">
        <v>582</v>
      </c>
      <c r="AR114" s="6" t="s">
        <v>583</v>
      </c>
      <c r="AT114" s="6">
        <v>6202</v>
      </c>
      <c r="AU114" s="6" t="s">
        <v>584</v>
      </c>
      <c r="AV114" s="6" t="s">
        <v>585</v>
      </c>
      <c r="AW114" s="6" t="s">
        <v>586</v>
      </c>
      <c r="AY114" s="6" t="s">
        <v>3016</v>
      </c>
      <c r="AZ114" s="6" t="s">
        <v>3017</v>
      </c>
      <c r="BA114" s="6" t="s">
        <v>3018</v>
      </c>
      <c r="BD114" s="6" t="s">
        <v>3019</v>
      </c>
      <c r="BE114" s="6" t="str">
        <f t="shared" si="2"/>
        <v>crowdstrike.com</v>
      </c>
      <c r="BF114" s="6" t="str">
        <f t="shared" si="3"/>
        <v>com</v>
      </c>
      <c r="BG114" s="6" t="s">
        <v>101</v>
      </c>
      <c r="BH114" s="6" t="s">
        <v>3020</v>
      </c>
      <c r="BI114" s="6" t="s">
        <v>3021</v>
      </c>
      <c r="BJ114" s="6" t="s">
        <v>3022</v>
      </c>
      <c r="BK114" s="6" t="s">
        <v>3023</v>
      </c>
      <c r="BN114" s="6" t="s">
        <v>3024</v>
      </c>
      <c r="BP114" s="6" t="s">
        <v>3025</v>
      </c>
      <c r="BQ114" s="6" t="s">
        <v>3026</v>
      </c>
      <c r="BR114" s="6" t="s">
        <v>105</v>
      </c>
    </row>
    <row r="115" spans="1:70" ht="45" customHeight="1" x14ac:dyDescent="0.25">
      <c r="A115" s="6">
        <v>115</v>
      </c>
      <c r="B115" s="7" t="s">
        <v>3027</v>
      </c>
      <c r="C115" s="8" t="s">
        <v>3028</v>
      </c>
      <c r="D115" s="6" t="s">
        <v>3027</v>
      </c>
      <c r="E115" s="6" t="s">
        <v>3029</v>
      </c>
      <c r="F115" s="8" t="s">
        <v>3030</v>
      </c>
      <c r="G115" s="6" t="s">
        <v>73</v>
      </c>
      <c r="H115" s="6" t="s">
        <v>74</v>
      </c>
      <c r="I115" s="6"/>
      <c r="J115" s="6" t="s">
        <v>3031</v>
      </c>
      <c r="K115" s="9">
        <v>8000</v>
      </c>
      <c r="L115" s="8" t="s">
        <v>3032</v>
      </c>
      <c r="M115" s="9">
        <v>7</v>
      </c>
      <c r="N115" s="6">
        <v>56.154773400000003</v>
      </c>
      <c r="O115" s="6">
        <v>10.1992759</v>
      </c>
      <c r="P115" s="6" t="s">
        <v>3033</v>
      </c>
      <c r="Q115" s="6">
        <v>1</v>
      </c>
      <c r="R115" s="6" t="s">
        <v>79</v>
      </c>
      <c r="S115" s="6">
        <v>1984</v>
      </c>
      <c r="T115" s="6">
        <v>1933729</v>
      </c>
      <c r="U115" s="6" t="s">
        <v>80</v>
      </c>
      <c r="V115" s="6">
        <v>10</v>
      </c>
      <c r="W115" s="6" t="s">
        <v>80</v>
      </c>
      <c r="X115" s="6" t="s">
        <v>3034</v>
      </c>
      <c r="Y115" s="6" t="s">
        <v>3035</v>
      </c>
      <c r="Z115" s="6" t="s">
        <v>3036</v>
      </c>
      <c r="AA115" s="6" t="s">
        <v>3037</v>
      </c>
      <c r="AB115" s="6" t="s">
        <v>3038</v>
      </c>
      <c r="AC115" s="6">
        <v>561311</v>
      </c>
      <c r="AD115" s="10" t="str">
        <f>_xlfn.XLOOKUP(AC115,[1]Mapping!B:B,[1]Mapping!C:C,"")</f>
        <v xml:space="preserve">Employment Placement Agencies </v>
      </c>
      <c r="AG115" s="6" t="s">
        <v>3039</v>
      </c>
      <c r="AH115" s="6" t="s">
        <v>3040</v>
      </c>
      <c r="AI115" s="6" t="s">
        <v>3041</v>
      </c>
      <c r="AJ115" s="6" t="s">
        <v>293</v>
      </c>
      <c r="AK115" s="6" t="s">
        <v>294</v>
      </c>
      <c r="AL115" s="6" t="s">
        <v>295</v>
      </c>
      <c r="AM115" s="6" t="s">
        <v>296</v>
      </c>
      <c r="AN115" s="6" t="s">
        <v>297</v>
      </c>
      <c r="AO115" s="6" t="s">
        <v>298</v>
      </c>
      <c r="AQ115" s="6">
        <v>7361</v>
      </c>
      <c r="AR115" s="6" t="s">
        <v>3042</v>
      </c>
      <c r="AT115" s="6">
        <v>7810</v>
      </c>
      <c r="AU115" s="6" t="s">
        <v>401</v>
      </c>
      <c r="AV115" s="6">
        <v>78.099999999999994</v>
      </c>
      <c r="AW115" s="6" t="s">
        <v>401</v>
      </c>
      <c r="AY115" s="6" t="s">
        <v>3043</v>
      </c>
      <c r="AZ115" s="6" t="s">
        <v>3044</v>
      </c>
      <c r="BA115" s="6" t="s">
        <v>3045</v>
      </c>
      <c r="BB115" s="6" t="s">
        <v>3046</v>
      </c>
      <c r="BC115" s="6" t="s">
        <v>3047</v>
      </c>
      <c r="BD115" s="6" t="s">
        <v>3048</v>
      </c>
      <c r="BE115" s="6" t="str">
        <f t="shared" si="2"/>
        <v>searcher.dk</v>
      </c>
      <c r="BF115" s="6" t="str">
        <f t="shared" si="3"/>
        <v>dk</v>
      </c>
      <c r="BG115" s="6" t="s">
        <v>123</v>
      </c>
      <c r="BK115" s="6" t="s">
        <v>3049</v>
      </c>
      <c r="BP115" s="6" t="s">
        <v>3050</v>
      </c>
      <c r="BQ115" s="6" t="s">
        <v>3051</v>
      </c>
      <c r="BR115" s="6" t="s">
        <v>105</v>
      </c>
    </row>
    <row r="116" spans="1:70" ht="45" customHeight="1" x14ac:dyDescent="0.25">
      <c r="A116" s="6">
        <v>116</v>
      </c>
      <c r="B116" s="7" t="s">
        <v>3052</v>
      </c>
      <c r="C116" s="8" t="s">
        <v>3053</v>
      </c>
      <c r="D116" s="6" t="s">
        <v>3054</v>
      </c>
      <c r="E116" s="8" t="s">
        <v>3055</v>
      </c>
      <c r="F116" s="8" t="s">
        <v>3055</v>
      </c>
      <c r="G116" s="6" t="s">
        <v>1324</v>
      </c>
      <c r="H116" s="6" t="s">
        <v>1325</v>
      </c>
      <c r="I116" s="6" t="s">
        <v>1326</v>
      </c>
      <c r="K116" s="9">
        <v>10400</v>
      </c>
      <c r="L116" s="8" t="s">
        <v>3056</v>
      </c>
      <c r="M116" s="9" t="s">
        <v>3057</v>
      </c>
      <c r="N116" s="6">
        <v>13.7537497</v>
      </c>
      <c r="O116" s="6">
        <v>100.5315251</v>
      </c>
      <c r="P116" s="6" t="s">
        <v>3058</v>
      </c>
      <c r="Q116" s="6">
        <v>1</v>
      </c>
      <c r="R116" s="6" t="s">
        <v>79</v>
      </c>
      <c r="S116" s="6">
        <v>2019</v>
      </c>
      <c r="T116" s="6">
        <v>6957140</v>
      </c>
      <c r="U116" s="6" t="s">
        <v>80</v>
      </c>
      <c r="V116" s="6">
        <v>75</v>
      </c>
      <c r="W116" s="6" t="s">
        <v>80</v>
      </c>
      <c r="X116" s="6" t="s">
        <v>2261</v>
      </c>
      <c r="Y116" s="6" t="s">
        <v>3059</v>
      </c>
      <c r="Z116" s="6" t="s">
        <v>3060</v>
      </c>
      <c r="AA116" s="6" t="s">
        <v>3061</v>
      </c>
      <c r="AB116" s="6" t="s">
        <v>3062</v>
      </c>
      <c r="AC116" s="6">
        <v>531120</v>
      </c>
      <c r="AD116" s="10" t="str">
        <f>_xlfn.XLOOKUP(AC116,[1]Mapping!B:B,[1]Mapping!C:C,"")</f>
        <v xml:space="preserve">Lessors of Nonresidential Buildings (except Miniwarehouses) </v>
      </c>
      <c r="AG116" s="6" t="s">
        <v>3063</v>
      </c>
      <c r="AH116" s="6" t="s">
        <v>3064</v>
      </c>
      <c r="AI116" s="6" t="s">
        <v>2321</v>
      </c>
      <c r="AJ116" s="6" t="s">
        <v>3065</v>
      </c>
      <c r="AK116" s="6" t="s">
        <v>3066</v>
      </c>
      <c r="AL116" s="6" t="s">
        <v>2321</v>
      </c>
      <c r="AM116" s="6" t="s">
        <v>2323</v>
      </c>
      <c r="AN116" s="6" t="s">
        <v>655</v>
      </c>
      <c r="AO116" s="6" t="s">
        <v>657</v>
      </c>
      <c r="AQ116" s="6">
        <v>6512</v>
      </c>
      <c r="AR116" s="6" t="s">
        <v>3067</v>
      </c>
      <c r="AS116" s="6" t="s">
        <v>3068</v>
      </c>
      <c r="AT116" s="6">
        <v>6820</v>
      </c>
      <c r="AU116" s="6" t="s">
        <v>3069</v>
      </c>
      <c r="AV116" s="6">
        <v>68.2</v>
      </c>
      <c r="AW116" s="6" t="s">
        <v>3070</v>
      </c>
      <c r="AX116" s="6" t="s">
        <v>3071</v>
      </c>
      <c r="AY116" s="6" t="s">
        <v>3072</v>
      </c>
      <c r="AZ116" s="6" t="s">
        <v>3073</v>
      </c>
      <c r="BA116" s="6" t="s">
        <v>3074</v>
      </c>
      <c r="BB116" s="6" t="s">
        <v>3074</v>
      </c>
      <c r="BD116" s="6" t="s">
        <v>3075</v>
      </c>
      <c r="BE116" s="6" t="str">
        <f t="shared" si="2"/>
        <v>cushmanwakefield.com</v>
      </c>
      <c r="BF116" s="6" t="str">
        <f t="shared" si="3"/>
        <v>com</v>
      </c>
      <c r="BG116" s="6" t="s">
        <v>101</v>
      </c>
      <c r="BH116" s="6" t="s">
        <v>2274</v>
      </c>
      <c r="BI116" s="6" t="s">
        <v>2275</v>
      </c>
      <c r="BJ116" s="6" t="s">
        <v>2276</v>
      </c>
      <c r="BK116" s="6" t="s">
        <v>2277</v>
      </c>
      <c r="BN116" s="6" t="s">
        <v>2278</v>
      </c>
      <c r="BP116" s="6" t="s">
        <v>3076</v>
      </c>
      <c r="BQ116" s="6" t="s">
        <v>3077</v>
      </c>
      <c r="BR116" s="6" t="s">
        <v>105</v>
      </c>
    </row>
    <row r="117" spans="1:70" ht="45" customHeight="1" x14ac:dyDescent="0.25">
      <c r="A117" s="6">
        <v>117</v>
      </c>
      <c r="B117" s="7" t="s">
        <v>3078</v>
      </c>
      <c r="C117" s="8" t="s">
        <v>3079</v>
      </c>
      <c r="D117" s="6" t="s">
        <v>3080</v>
      </c>
      <c r="E117" s="6" t="s">
        <v>3081</v>
      </c>
      <c r="F117" s="8" t="s">
        <v>3082</v>
      </c>
      <c r="G117" s="6" t="s">
        <v>73</v>
      </c>
      <c r="H117" s="6" t="s">
        <v>74</v>
      </c>
      <c r="I117" s="6"/>
      <c r="J117" s="6" t="s">
        <v>3083</v>
      </c>
      <c r="K117" s="9">
        <v>2800</v>
      </c>
      <c r="L117" s="8" t="s">
        <v>3084</v>
      </c>
      <c r="M117" s="9">
        <v>4</v>
      </c>
      <c r="N117" s="6">
        <v>55.775566599999998</v>
      </c>
      <c r="O117" s="6">
        <v>12.4966823</v>
      </c>
      <c r="P117" s="6" t="s">
        <v>3085</v>
      </c>
      <c r="Q117" s="6">
        <v>2</v>
      </c>
      <c r="R117" s="6" t="s">
        <v>79</v>
      </c>
      <c r="S117" s="6">
        <v>2019</v>
      </c>
      <c r="T117" s="6"/>
      <c r="X117" s="6" t="s">
        <v>3086</v>
      </c>
      <c r="Y117" s="6" t="s">
        <v>3059</v>
      </c>
      <c r="Z117" s="6" t="s">
        <v>3060</v>
      </c>
      <c r="AA117" s="6" t="s">
        <v>3061</v>
      </c>
      <c r="AB117" s="6" t="s">
        <v>3062</v>
      </c>
      <c r="AC117" s="6">
        <v>531120</v>
      </c>
      <c r="AD117" s="10" t="str">
        <f>_xlfn.XLOOKUP(AC117,[1]Mapping!B:B,[1]Mapping!C:C,"")</f>
        <v xml:space="preserve">Lessors of Nonresidential Buildings (except Miniwarehouses) </v>
      </c>
      <c r="AE117" s="6">
        <v>236117</v>
      </c>
      <c r="AF117" s="6" t="s">
        <v>3087</v>
      </c>
      <c r="AG117" s="6" t="s">
        <v>3063</v>
      </c>
      <c r="AH117" s="6" t="s">
        <v>3064</v>
      </c>
      <c r="AI117" s="6" t="s">
        <v>2321</v>
      </c>
      <c r="AJ117" s="6" t="s">
        <v>3065</v>
      </c>
      <c r="AK117" s="6" t="s">
        <v>3066</v>
      </c>
      <c r="AL117" s="6" t="s">
        <v>2321</v>
      </c>
      <c r="AM117" s="6" t="s">
        <v>2323</v>
      </c>
      <c r="AN117" s="6" t="s">
        <v>655</v>
      </c>
      <c r="AO117" s="6" t="s">
        <v>657</v>
      </c>
      <c r="AQ117" s="6">
        <v>6512</v>
      </c>
      <c r="AR117" s="6" t="s">
        <v>3067</v>
      </c>
      <c r="AS117" s="6" t="s">
        <v>3088</v>
      </c>
      <c r="AT117" s="6">
        <v>6820</v>
      </c>
      <c r="AU117" s="6" t="s">
        <v>3069</v>
      </c>
      <c r="AV117" s="6">
        <v>68.2</v>
      </c>
      <c r="AW117" s="6" t="s">
        <v>3070</v>
      </c>
      <c r="AX117" s="6" t="s">
        <v>3089</v>
      </c>
      <c r="AY117" s="6">
        <v>4545260100</v>
      </c>
      <c r="AZ117" s="6" t="s">
        <v>3090</v>
      </c>
      <c r="BA117" s="6" t="s">
        <v>3091</v>
      </c>
      <c r="BB117" s="6" t="s">
        <v>3091</v>
      </c>
      <c r="BD117" s="6" t="s">
        <v>3092</v>
      </c>
      <c r="BE117" s="6" t="str">
        <f t="shared" si="2"/>
        <v>dades.dk</v>
      </c>
      <c r="BF117" s="6" t="str">
        <f t="shared" si="3"/>
        <v>dk</v>
      </c>
      <c r="BG117" s="6" t="s">
        <v>123</v>
      </c>
      <c r="BP117" s="6" t="s">
        <v>3093</v>
      </c>
      <c r="BQ117" s="6" t="s">
        <v>3094</v>
      </c>
      <c r="BR117" s="6" t="s">
        <v>105</v>
      </c>
    </row>
    <row r="118" spans="1:70" ht="45" customHeight="1" x14ac:dyDescent="0.25">
      <c r="A118" s="6">
        <v>118</v>
      </c>
      <c r="B118" s="7" t="s">
        <v>3095</v>
      </c>
      <c r="C118" s="8" t="s">
        <v>3096</v>
      </c>
      <c r="D118" s="6" t="s">
        <v>3097</v>
      </c>
      <c r="E118" s="6" t="s">
        <v>3098</v>
      </c>
      <c r="F118" s="8" t="s">
        <v>3099</v>
      </c>
      <c r="G118" s="6" t="s">
        <v>73</v>
      </c>
      <c r="H118" s="6" t="s">
        <v>74</v>
      </c>
      <c r="I118" s="6"/>
      <c r="J118" s="6" t="s">
        <v>486</v>
      </c>
      <c r="K118" s="9">
        <v>2100</v>
      </c>
      <c r="L118" s="8" t="s">
        <v>3100</v>
      </c>
      <c r="M118" s="9">
        <v>130</v>
      </c>
      <c r="N118" s="6">
        <v>55.709406399999999</v>
      </c>
      <c r="O118" s="6">
        <v>12.583752</v>
      </c>
      <c r="P118" s="6" t="s">
        <v>3101</v>
      </c>
      <c r="Q118" s="6">
        <v>1</v>
      </c>
      <c r="R118" s="6" t="s">
        <v>79</v>
      </c>
      <c r="T118" s="6">
        <v>3960356</v>
      </c>
      <c r="U118" s="6" t="s">
        <v>80</v>
      </c>
      <c r="V118" s="6">
        <v>20</v>
      </c>
      <c r="W118" s="6" t="s">
        <v>167</v>
      </c>
      <c r="X118" s="6" t="s">
        <v>3102</v>
      </c>
      <c r="Y118" s="6" t="s">
        <v>3103</v>
      </c>
      <c r="Z118" s="6" t="s">
        <v>3104</v>
      </c>
      <c r="AA118" s="6" t="s">
        <v>3105</v>
      </c>
      <c r="AC118" s="6">
        <v>513120</v>
      </c>
      <c r="AD118" s="10" t="str">
        <f>_xlfn.XLOOKUP(AC118,[1]Mapping!B:B,[1]Mapping!C:C,"")</f>
        <v xml:space="preserve">Periodical Publishers </v>
      </c>
      <c r="AG118" s="6" t="s">
        <v>3106</v>
      </c>
      <c r="AH118" s="6" t="s">
        <v>3106</v>
      </c>
      <c r="AI118" s="6" t="s">
        <v>1412</v>
      </c>
      <c r="AJ118" s="6" t="s">
        <v>1413</v>
      </c>
      <c r="AK118" s="6" t="s">
        <v>1414</v>
      </c>
      <c r="AL118" s="6" t="s">
        <v>502</v>
      </c>
      <c r="AM118" s="6" t="s">
        <v>503</v>
      </c>
      <c r="AN118" s="6" t="s">
        <v>297</v>
      </c>
      <c r="AO118" s="6" t="s">
        <v>298</v>
      </c>
      <c r="AQ118" s="6" t="s">
        <v>3107</v>
      </c>
      <c r="AR118" s="6" t="s">
        <v>3108</v>
      </c>
      <c r="AT118" s="6">
        <v>5813</v>
      </c>
      <c r="AU118" s="6" t="s">
        <v>3109</v>
      </c>
      <c r="AV118" s="6" t="s">
        <v>3110</v>
      </c>
      <c r="AW118" s="6" t="s">
        <v>3111</v>
      </c>
      <c r="AY118" s="6" t="s">
        <v>3112</v>
      </c>
      <c r="AZ118" s="6">
        <v>4539172000</v>
      </c>
      <c r="BA118" s="6" t="s">
        <v>3113</v>
      </c>
      <c r="BD118" s="6" t="s">
        <v>3114</v>
      </c>
      <c r="BE118" s="6" t="str">
        <f t="shared" si="2"/>
        <v>bonnierpublications.com</v>
      </c>
      <c r="BF118" s="6" t="str">
        <f t="shared" si="3"/>
        <v>com</v>
      </c>
      <c r="BG118" s="6" t="s">
        <v>123</v>
      </c>
      <c r="BK118" s="6" t="s">
        <v>3115</v>
      </c>
      <c r="BP118" s="6" t="s">
        <v>3116</v>
      </c>
      <c r="BQ118" s="6" t="s">
        <v>3117</v>
      </c>
      <c r="BR118" s="6" t="s">
        <v>105</v>
      </c>
    </row>
    <row r="119" spans="1:70" ht="45" customHeight="1" x14ac:dyDescent="0.25">
      <c r="A119" s="6">
        <v>119</v>
      </c>
      <c r="B119" s="7" t="s">
        <v>3118</v>
      </c>
      <c r="C119" s="8" t="s">
        <v>3119</v>
      </c>
      <c r="D119" s="6" t="s">
        <v>3120</v>
      </c>
      <c r="E119" s="8" t="s">
        <v>3118</v>
      </c>
      <c r="F119" s="8" t="s">
        <v>3121</v>
      </c>
      <c r="G119" s="6" t="s">
        <v>1400</v>
      </c>
      <c r="H119" s="6" t="s">
        <v>1401</v>
      </c>
      <c r="I119" s="8" t="s">
        <v>1402</v>
      </c>
      <c r="J119" s="6" t="s">
        <v>1403</v>
      </c>
      <c r="L119" s="8" t="s">
        <v>3122</v>
      </c>
      <c r="N119" s="6">
        <v>24.911869500000002</v>
      </c>
      <c r="O119" s="6">
        <v>67.049917999999991</v>
      </c>
      <c r="P119" s="6" t="s">
        <v>3123</v>
      </c>
      <c r="Q119" s="6">
        <v>1</v>
      </c>
      <c r="R119" s="6" t="s">
        <v>79</v>
      </c>
      <c r="T119" s="6"/>
      <c r="X119" s="6" t="s">
        <v>3124</v>
      </c>
      <c r="Y119" s="6" t="s">
        <v>3125</v>
      </c>
      <c r="Z119" s="6" t="s">
        <v>3126</v>
      </c>
      <c r="AA119" s="6" t="s">
        <v>3127</v>
      </c>
      <c r="AC119" s="6">
        <v>323111</v>
      </c>
      <c r="AD119" s="10" t="str">
        <f>_xlfn.XLOOKUP(AC119,[1]Mapping!B:B,[1]Mapping!C:C,"")</f>
        <v xml:space="preserve">Commercial Printing (except Screen and Books) </v>
      </c>
      <c r="AG119" s="6" t="s">
        <v>3128</v>
      </c>
      <c r="AH119" s="6" t="s">
        <v>2722</v>
      </c>
      <c r="AI119" s="6" t="s">
        <v>1240</v>
      </c>
      <c r="AJ119" s="6" t="s">
        <v>293</v>
      </c>
      <c r="AK119" s="6" t="s">
        <v>294</v>
      </c>
      <c r="AL119" s="6" t="s">
        <v>295</v>
      </c>
      <c r="AM119" s="6" t="s">
        <v>296</v>
      </c>
      <c r="AN119" s="6" t="s">
        <v>297</v>
      </c>
      <c r="AO119" s="6" t="s">
        <v>298</v>
      </c>
      <c r="AQ119" s="6" t="s">
        <v>2723</v>
      </c>
      <c r="AR119" s="6" t="s">
        <v>2724</v>
      </c>
      <c r="AT119" s="6" t="s">
        <v>2725</v>
      </c>
      <c r="AU119" s="6" t="s">
        <v>2726</v>
      </c>
      <c r="AV119" s="6" t="s">
        <v>2727</v>
      </c>
      <c r="AW119" s="6" t="s">
        <v>2728</v>
      </c>
      <c r="AY119" s="6" t="s">
        <v>3129</v>
      </c>
      <c r="AZ119" s="6" t="s">
        <v>3130</v>
      </c>
      <c r="BA119" s="6" t="s">
        <v>3131</v>
      </c>
      <c r="BD119" s="6" t="s">
        <v>3132</v>
      </c>
      <c r="BE119" s="6" t="str">
        <f t="shared" si="2"/>
        <v>printustad.co.uk</v>
      </c>
      <c r="BF119" s="6" t="str">
        <f t="shared" si="3"/>
        <v>uk</v>
      </c>
      <c r="BG119" s="6" t="s">
        <v>101</v>
      </c>
      <c r="BP119" s="6" t="s">
        <v>3133</v>
      </c>
      <c r="BQ119" s="6" t="s">
        <v>3134</v>
      </c>
      <c r="BR119" s="6" t="s">
        <v>105</v>
      </c>
    </row>
    <row r="120" spans="1:70" ht="45" customHeight="1" x14ac:dyDescent="0.25">
      <c r="A120" s="6">
        <v>120</v>
      </c>
      <c r="B120" s="7" t="s">
        <v>3135</v>
      </c>
      <c r="C120" s="8" t="s">
        <v>3136</v>
      </c>
      <c r="D120" s="6" t="s">
        <v>3137</v>
      </c>
      <c r="E120" s="8" t="s">
        <v>3137</v>
      </c>
      <c r="F120" s="8" t="s">
        <v>3138</v>
      </c>
      <c r="G120" s="6" t="s">
        <v>73</v>
      </c>
      <c r="H120" s="6" t="s">
        <v>74</v>
      </c>
      <c r="I120" s="8" t="s">
        <v>486</v>
      </c>
      <c r="J120" s="6" t="s">
        <v>3139</v>
      </c>
      <c r="K120" s="9">
        <v>4600</v>
      </c>
      <c r="L120" s="8" t="s">
        <v>3140</v>
      </c>
      <c r="M120" s="9">
        <v>19</v>
      </c>
      <c r="N120" s="6">
        <v>55.454657999999988</v>
      </c>
      <c r="O120" s="6">
        <v>12.1832499</v>
      </c>
      <c r="P120" s="6" t="s">
        <v>3141</v>
      </c>
      <c r="Q120" s="6">
        <v>1</v>
      </c>
      <c r="R120" s="6" t="s">
        <v>79</v>
      </c>
      <c r="T120" s="6">
        <v>1008347</v>
      </c>
      <c r="U120" s="6" t="s">
        <v>80</v>
      </c>
      <c r="V120" s="6">
        <v>8</v>
      </c>
      <c r="W120" s="6" t="s">
        <v>80</v>
      </c>
      <c r="X120" s="6" t="s">
        <v>3142</v>
      </c>
      <c r="Y120" s="6" t="s">
        <v>3143</v>
      </c>
      <c r="Z120" s="6" t="s">
        <v>3144</v>
      </c>
      <c r="AB120" s="6" t="s">
        <v>3145</v>
      </c>
      <c r="AC120" s="6">
        <v>621391</v>
      </c>
      <c r="AD120" s="10" t="str">
        <f>_xlfn.XLOOKUP(AC120,[1]Mapping!B:B,[1]Mapping!C:C,"")</f>
        <v xml:space="preserve">Offices of Podiatrists </v>
      </c>
      <c r="AG120" s="6" t="s">
        <v>3146</v>
      </c>
      <c r="AH120" s="6" t="s">
        <v>3147</v>
      </c>
      <c r="AI120" s="6" t="s">
        <v>1164</v>
      </c>
      <c r="AJ120" s="6" t="s">
        <v>3148</v>
      </c>
      <c r="AK120" s="6" t="s">
        <v>3149</v>
      </c>
      <c r="AL120" s="6" t="s">
        <v>3150</v>
      </c>
      <c r="AM120" s="6" t="s">
        <v>3151</v>
      </c>
      <c r="AN120" s="6" t="s">
        <v>2585</v>
      </c>
      <c r="AO120" s="6" t="s">
        <v>2586</v>
      </c>
      <c r="AQ120" s="6">
        <v>8043</v>
      </c>
      <c r="AR120" s="6" t="s">
        <v>3152</v>
      </c>
      <c r="AS120" s="6" t="s">
        <v>3153</v>
      </c>
      <c r="AT120" s="6">
        <v>8690</v>
      </c>
      <c r="AU120" s="6" t="s">
        <v>1166</v>
      </c>
      <c r="AV120" s="6">
        <v>86.9</v>
      </c>
      <c r="AW120" s="6" t="s">
        <v>1166</v>
      </c>
      <c r="AX120" s="6" t="s">
        <v>3154</v>
      </c>
      <c r="AY120" s="6" t="s">
        <v>3155</v>
      </c>
      <c r="AZ120" s="6">
        <v>4528352952</v>
      </c>
      <c r="BA120" s="6" t="s">
        <v>3156</v>
      </c>
      <c r="BD120" s="6" t="s">
        <v>3157</v>
      </c>
      <c r="BE120" s="6" t="str">
        <f t="shared" si="2"/>
        <v>danskfodklinik.dk</v>
      </c>
      <c r="BF120" s="6" t="str">
        <f t="shared" si="3"/>
        <v>dk</v>
      </c>
      <c r="BG120" s="6" t="s">
        <v>123</v>
      </c>
      <c r="BP120" s="6" t="s">
        <v>3158</v>
      </c>
      <c r="BQ120" s="6" t="s">
        <v>3159</v>
      </c>
      <c r="BR120" s="6" t="s">
        <v>105</v>
      </c>
    </row>
    <row r="121" spans="1:70" ht="45" customHeight="1" x14ac:dyDescent="0.25">
      <c r="A121" s="6">
        <v>121</v>
      </c>
      <c r="B121" s="7" t="s">
        <v>3160</v>
      </c>
      <c r="C121" s="8" t="s">
        <v>3161</v>
      </c>
      <c r="D121" s="6" t="s">
        <v>3162</v>
      </c>
      <c r="E121" s="6" t="s">
        <v>3163</v>
      </c>
      <c r="F121" s="8" t="s">
        <v>3164</v>
      </c>
      <c r="G121" s="6" t="s">
        <v>73</v>
      </c>
      <c r="H121" s="6" t="s">
        <v>74</v>
      </c>
      <c r="I121" s="6"/>
      <c r="J121" s="6" t="s">
        <v>3165</v>
      </c>
      <c r="K121" s="9">
        <v>2730</v>
      </c>
      <c r="L121" s="8" t="s">
        <v>3166</v>
      </c>
      <c r="M121" s="9" t="s">
        <v>3167</v>
      </c>
      <c r="N121" s="6">
        <v>55.719423000000013</v>
      </c>
      <c r="O121" s="6">
        <v>12.43712</v>
      </c>
      <c r="P121" s="6" t="s">
        <v>3168</v>
      </c>
      <c r="Q121" s="6">
        <v>1</v>
      </c>
      <c r="R121" s="6" t="s">
        <v>79</v>
      </c>
      <c r="S121" s="6">
        <v>2012</v>
      </c>
      <c r="T121" s="6">
        <v>7100000</v>
      </c>
      <c r="U121" s="6" t="s">
        <v>167</v>
      </c>
      <c r="V121" s="6">
        <v>210</v>
      </c>
      <c r="W121" s="6" t="s">
        <v>167</v>
      </c>
      <c r="X121" s="6" t="s">
        <v>3169</v>
      </c>
      <c r="Y121" s="6" t="s">
        <v>3170</v>
      </c>
      <c r="Z121" s="6" t="s">
        <v>3171</v>
      </c>
      <c r="AA121" s="6" t="s">
        <v>3172</v>
      </c>
      <c r="AB121" s="6" t="s">
        <v>3173</v>
      </c>
      <c r="AC121" s="6">
        <v>551112</v>
      </c>
      <c r="AD121" s="10" t="str">
        <f>_xlfn.XLOOKUP(AC121,[1]Mapping!B:B,[1]Mapping!C:C,"")</f>
        <v xml:space="preserve">Offices of Other Holding Companies </v>
      </c>
      <c r="AG121" s="6" t="s">
        <v>3174</v>
      </c>
      <c r="AH121" s="6" t="s">
        <v>3175</v>
      </c>
      <c r="AI121" s="6" t="s">
        <v>683</v>
      </c>
      <c r="AJ121" s="6" t="s">
        <v>3176</v>
      </c>
      <c r="AK121" s="6" t="s">
        <v>3177</v>
      </c>
      <c r="AL121" s="6" t="s">
        <v>3150</v>
      </c>
      <c r="AM121" s="6" t="s">
        <v>3151</v>
      </c>
      <c r="AN121" s="6" t="s">
        <v>2585</v>
      </c>
      <c r="AO121" s="6" t="s">
        <v>2586</v>
      </c>
      <c r="AQ121" s="6">
        <v>6719</v>
      </c>
      <c r="AR121" s="6" t="s">
        <v>684</v>
      </c>
      <c r="AT121" s="6">
        <v>6420</v>
      </c>
      <c r="AU121" s="6" t="s">
        <v>686</v>
      </c>
      <c r="AV121" s="6">
        <v>64.2</v>
      </c>
      <c r="AW121" s="6" t="s">
        <v>686</v>
      </c>
      <c r="AY121" s="6" t="s">
        <v>3178</v>
      </c>
      <c r="AZ121" s="6" t="s">
        <v>3179</v>
      </c>
      <c r="BA121" s="6" t="s">
        <v>3180</v>
      </c>
      <c r="BB121" s="6" t="s">
        <v>3181</v>
      </c>
      <c r="BC121" s="6" t="s">
        <v>3182</v>
      </c>
      <c r="BD121" s="6" t="s">
        <v>3183</v>
      </c>
      <c r="BE121" s="6" t="str">
        <f t="shared" si="2"/>
        <v>ds-sundhed.dk</v>
      </c>
      <c r="BF121" s="6" t="str">
        <f t="shared" si="3"/>
        <v>dk</v>
      </c>
      <c r="BG121" s="6" t="s">
        <v>101</v>
      </c>
      <c r="BK121" s="6" t="s">
        <v>3184</v>
      </c>
      <c r="BP121" s="6" t="s">
        <v>3185</v>
      </c>
      <c r="BQ121" s="6" t="s">
        <v>3186</v>
      </c>
      <c r="BR121" s="6" t="s">
        <v>105</v>
      </c>
    </row>
    <row r="122" spans="1:70" ht="45" customHeight="1" x14ac:dyDescent="0.25">
      <c r="A122" s="6">
        <v>122</v>
      </c>
      <c r="B122" s="7" t="s">
        <v>3187</v>
      </c>
      <c r="C122" s="8" t="s">
        <v>3188</v>
      </c>
      <c r="D122" s="6" t="s">
        <v>3189</v>
      </c>
      <c r="E122" s="8" t="s">
        <v>3187</v>
      </c>
      <c r="F122" s="8" t="s">
        <v>3190</v>
      </c>
      <c r="G122" s="6" t="s">
        <v>73</v>
      </c>
      <c r="H122" s="6" t="s">
        <v>74</v>
      </c>
      <c r="J122" s="6" t="s">
        <v>486</v>
      </c>
      <c r="K122" s="9">
        <v>1358</v>
      </c>
      <c r="L122" s="8" t="s">
        <v>3191</v>
      </c>
      <c r="M122" s="9">
        <v>90</v>
      </c>
      <c r="N122" s="6">
        <v>55.683531300000013</v>
      </c>
      <c r="O122" s="6">
        <v>12.572751999999999</v>
      </c>
      <c r="P122" s="6" t="s">
        <v>2395</v>
      </c>
      <c r="Q122" s="6">
        <v>1</v>
      </c>
      <c r="R122" s="6" t="s">
        <v>79</v>
      </c>
      <c r="S122" s="6">
        <v>1871</v>
      </c>
      <c r="T122" s="6">
        <v>2514085</v>
      </c>
      <c r="U122" s="6" t="s">
        <v>80</v>
      </c>
      <c r="V122" s="6">
        <v>19122</v>
      </c>
      <c r="W122" s="6" t="s">
        <v>80</v>
      </c>
      <c r="X122" s="6" t="s">
        <v>3192</v>
      </c>
      <c r="Y122" s="6" t="s">
        <v>3193</v>
      </c>
      <c r="Z122" s="6" t="s">
        <v>3194</v>
      </c>
      <c r="AA122" s="6" t="s">
        <v>3195</v>
      </c>
      <c r="AB122" s="6" t="s">
        <v>3196</v>
      </c>
      <c r="AC122" s="6">
        <v>522110</v>
      </c>
      <c r="AD122" s="10" t="str">
        <f>_xlfn.XLOOKUP(AC122,[1]Mapping!B:B,[1]Mapping!C:C,"")</f>
        <v xml:space="preserve">Commercial Banking </v>
      </c>
      <c r="AE122" s="6">
        <v>512131</v>
      </c>
      <c r="AF122" s="6" t="s">
        <v>3197</v>
      </c>
      <c r="AG122" s="6" t="s">
        <v>3198</v>
      </c>
      <c r="AH122" s="6" t="s">
        <v>3199</v>
      </c>
      <c r="AI122" s="6" t="s">
        <v>683</v>
      </c>
      <c r="AJ122" s="6" t="s">
        <v>3200</v>
      </c>
      <c r="AK122" s="6" t="s">
        <v>3201</v>
      </c>
      <c r="AL122" s="6" t="s">
        <v>3202</v>
      </c>
      <c r="AM122" s="6" t="s">
        <v>3203</v>
      </c>
      <c r="AN122" s="6" t="s">
        <v>764</v>
      </c>
      <c r="AO122" s="6" t="s">
        <v>765</v>
      </c>
      <c r="AQ122" s="6">
        <v>6029</v>
      </c>
      <c r="AR122" s="6" t="s">
        <v>3204</v>
      </c>
      <c r="AT122" s="6">
        <v>6419</v>
      </c>
      <c r="AU122" s="6" t="s">
        <v>1053</v>
      </c>
      <c r="AV122" s="6">
        <v>64.19</v>
      </c>
      <c r="AW122" s="6" t="s">
        <v>1053</v>
      </c>
      <c r="AY122" s="6" t="s">
        <v>3205</v>
      </c>
      <c r="AZ122" s="6" t="s">
        <v>3206</v>
      </c>
      <c r="BA122" s="6" t="s">
        <v>3207</v>
      </c>
      <c r="BD122" s="6" t="s">
        <v>3208</v>
      </c>
      <c r="BE122" s="6" t="str">
        <f t="shared" si="2"/>
        <v>danskebank.dk</v>
      </c>
      <c r="BF122" s="6" t="str">
        <f t="shared" si="3"/>
        <v>dk</v>
      </c>
      <c r="BG122" s="6" t="s">
        <v>101</v>
      </c>
      <c r="BP122" s="6" t="s">
        <v>3209</v>
      </c>
      <c r="BQ122" s="6" t="s">
        <v>3210</v>
      </c>
      <c r="BR122" s="6" t="s">
        <v>105</v>
      </c>
    </row>
    <row r="123" spans="1:70" ht="45" customHeight="1" x14ac:dyDescent="0.25">
      <c r="A123" s="6">
        <v>123</v>
      </c>
      <c r="B123" s="7" t="s">
        <v>3211</v>
      </c>
      <c r="C123" s="8" t="s">
        <v>3212</v>
      </c>
      <c r="D123" s="6" t="s">
        <v>3211</v>
      </c>
      <c r="E123" s="6" t="s">
        <v>3213</v>
      </c>
      <c r="F123" s="8" t="s">
        <v>3214</v>
      </c>
      <c r="G123" s="6" t="s">
        <v>73</v>
      </c>
      <c r="H123" s="6" t="s">
        <v>74</v>
      </c>
      <c r="I123" s="6"/>
      <c r="J123" s="6" t="s">
        <v>3215</v>
      </c>
      <c r="K123" s="9">
        <v>6330</v>
      </c>
      <c r="L123" s="8" t="s">
        <v>3216</v>
      </c>
      <c r="M123" s="9">
        <v>8</v>
      </c>
      <c r="N123" s="6">
        <v>54.832656</v>
      </c>
      <c r="O123" s="6">
        <v>9.3444070000000004</v>
      </c>
      <c r="P123" s="6" t="s">
        <v>3217</v>
      </c>
      <c r="Q123" s="6">
        <v>1</v>
      </c>
      <c r="R123" s="6" t="s">
        <v>79</v>
      </c>
      <c r="S123" s="6">
        <v>2018</v>
      </c>
      <c r="T123" s="6">
        <v>110845936</v>
      </c>
      <c r="U123" s="6" t="s">
        <v>80</v>
      </c>
      <c r="V123" s="6">
        <v>75</v>
      </c>
      <c r="W123" s="6" t="s">
        <v>80</v>
      </c>
      <c r="X123" s="6" t="s">
        <v>3218</v>
      </c>
      <c r="Y123" s="6" t="s">
        <v>3219</v>
      </c>
      <c r="Z123" s="6" t="s">
        <v>3220</v>
      </c>
      <c r="AA123" s="6" t="s">
        <v>3221</v>
      </c>
      <c r="AB123" s="6" t="s">
        <v>3222</v>
      </c>
      <c r="AC123" s="6">
        <v>423840</v>
      </c>
      <c r="AD123" s="10" t="str">
        <f>_xlfn.XLOOKUP(AC123,[1]Mapping!B:B,[1]Mapping!C:C,"")</f>
        <v>Industrial Supplies Merchant Wholesalers</v>
      </c>
      <c r="AG123" s="6" t="s">
        <v>3223</v>
      </c>
      <c r="AH123" s="6" t="s">
        <v>3224</v>
      </c>
      <c r="AI123" s="6" t="s">
        <v>3225</v>
      </c>
      <c r="AJ123" s="6" t="s">
        <v>255</v>
      </c>
      <c r="AK123" s="6" t="s">
        <v>256</v>
      </c>
      <c r="AL123" s="6" t="s">
        <v>257</v>
      </c>
      <c r="AM123" s="6" t="s">
        <v>258</v>
      </c>
      <c r="AN123" s="6" t="s">
        <v>259</v>
      </c>
      <c r="AO123" s="6" t="s">
        <v>260</v>
      </c>
      <c r="AQ123" s="6">
        <v>5085</v>
      </c>
      <c r="AR123" s="6" t="s">
        <v>3226</v>
      </c>
      <c r="AT123" s="6">
        <v>4669</v>
      </c>
      <c r="AU123" s="6" t="s">
        <v>3227</v>
      </c>
      <c r="AV123" s="6">
        <v>46.69</v>
      </c>
      <c r="AW123" s="6" t="s">
        <v>3227</v>
      </c>
      <c r="AY123" s="6" t="s">
        <v>3228</v>
      </c>
      <c r="AZ123" s="6" t="s">
        <v>3229</v>
      </c>
      <c r="BA123" s="6" t="s">
        <v>3230</v>
      </c>
      <c r="BB123" s="6" t="s">
        <v>3230</v>
      </c>
      <c r="BD123" s="6" t="s">
        <v>3231</v>
      </c>
      <c r="BE123" s="6" t="str">
        <f t="shared" si="2"/>
        <v>dantec-nordics.dk</v>
      </c>
      <c r="BF123" s="6" t="str">
        <f t="shared" si="3"/>
        <v>dk</v>
      </c>
      <c r="BG123" s="6" t="s">
        <v>101</v>
      </c>
      <c r="BK123" s="6" t="s">
        <v>3232</v>
      </c>
      <c r="BP123" s="6" t="s">
        <v>543</v>
      </c>
      <c r="BQ123" s="6" t="s">
        <v>3233</v>
      </c>
      <c r="BR123" s="6" t="s">
        <v>105</v>
      </c>
    </row>
    <row r="124" spans="1:70" ht="45" customHeight="1" x14ac:dyDescent="0.25">
      <c r="A124" s="6">
        <v>124</v>
      </c>
      <c r="B124" s="7" t="s">
        <v>3234</v>
      </c>
      <c r="C124" s="8" t="s">
        <v>3235</v>
      </c>
      <c r="D124" s="6" t="s">
        <v>3236</v>
      </c>
      <c r="E124" s="6" t="s">
        <v>3237</v>
      </c>
      <c r="F124" s="8" t="s">
        <v>3238</v>
      </c>
      <c r="G124" s="6" t="s">
        <v>73</v>
      </c>
      <c r="H124" s="6" t="s">
        <v>74</v>
      </c>
      <c r="I124" s="6"/>
      <c r="J124" s="6" t="s">
        <v>486</v>
      </c>
      <c r="K124" s="9">
        <v>2500</v>
      </c>
      <c r="L124" s="8" t="s">
        <v>3239</v>
      </c>
      <c r="M124" s="9">
        <v>20</v>
      </c>
      <c r="N124" s="6">
        <v>55.654864799999999</v>
      </c>
      <c r="O124" s="6">
        <v>12.509719</v>
      </c>
      <c r="P124" s="6" t="s">
        <v>3240</v>
      </c>
      <c r="Q124" s="6">
        <v>5</v>
      </c>
      <c r="R124" s="6" t="s">
        <v>79</v>
      </c>
      <c r="S124" s="6">
        <v>1989</v>
      </c>
      <c r="T124" s="6">
        <v>27074638</v>
      </c>
      <c r="U124" s="6" t="s">
        <v>80</v>
      </c>
      <c r="V124" s="6">
        <v>80</v>
      </c>
      <c r="W124" s="6" t="s">
        <v>167</v>
      </c>
      <c r="X124" s="6" t="s">
        <v>3241</v>
      </c>
      <c r="Y124" s="6" t="s">
        <v>3242</v>
      </c>
      <c r="Z124" s="6" t="s">
        <v>3243</v>
      </c>
      <c r="AA124" s="6" t="s">
        <v>3244</v>
      </c>
      <c r="AB124" s="6" t="s">
        <v>3245</v>
      </c>
      <c r="AC124" s="6">
        <v>531311</v>
      </c>
      <c r="AD124" s="10" t="str">
        <f>_xlfn.XLOOKUP(AC124,[1]Mapping!B:B,[1]Mapping!C:C,"")</f>
        <v xml:space="preserve">Residential Property Managers </v>
      </c>
      <c r="AE124" s="6" t="s">
        <v>2316</v>
      </c>
      <c r="AF124" s="6" t="s">
        <v>2317</v>
      </c>
      <c r="AG124" s="6" t="s">
        <v>3246</v>
      </c>
      <c r="AH124" s="6" t="s">
        <v>3247</v>
      </c>
      <c r="AI124" s="6" t="s">
        <v>2321</v>
      </c>
      <c r="AJ124" s="6" t="s">
        <v>3065</v>
      </c>
      <c r="AK124" s="6" t="s">
        <v>3066</v>
      </c>
      <c r="AL124" s="6" t="s">
        <v>2321</v>
      </c>
      <c r="AM124" s="6" t="s">
        <v>2323</v>
      </c>
      <c r="AN124" s="6" t="s">
        <v>655</v>
      </c>
      <c r="AO124" s="6" t="s">
        <v>657</v>
      </c>
      <c r="AQ124" s="6">
        <v>6531</v>
      </c>
      <c r="AR124" s="6" t="s">
        <v>2324</v>
      </c>
      <c r="AS124" s="6" t="s">
        <v>3248</v>
      </c>
      <c r="AT124" s="6">
        <v>6820</v>
      </c>
      <c r="AU124" s="6" t="s">
        <v>3069</v>
      </c>
      <c r="AV124" s="6">
        <v>68.319999999999993</v>
      </c>
      <c r="AW124" s="6" t="s">
        <v>3249</v>
      </c>
      <c r="AX124" s="6" t="s">
        <v>3250</v>
      </c>
      <c r="AY124" s="6" t="s">
        <v>3251</v>
      </c>
      <c r="AZ124" s="6" t="s">
        <v>3252</v>
      </c>
      <c r="BA124" s="6" t="s">
        <v>3253</v>
      </c>
      <c r="BB124" s="6" t="s">
        <v>3253</v>
      </c>
      <c r="BC124" s="6" t="s">
        <v>3254</v>
      </c>
      <c r="BD124" s="6" t="s">
        <v>3255</v>
      </c>
      <c r="BE124" s="6" t="str">
        <f t="shared" si="2"/>
        <v>deas.dk</v>
      </c>
      <c r="BF124" s="6" t="str">
        <f t="shared" si="3"/>
        <v>dk</v>
      </c>
      <c r="BG124" s="6" t="s">
        <v>101</v>
      </c>
      <c r="BK124" s="6" t="s">
        <v>3256</v>
      </c>
      <c r="BP124" s="6" t="s">
        <v>3257</v>
      </c>
      <c r="BQ124" s="6" t="s">
        <v>3258</v>
      </c>
      <c r="BR124" s="6" t="s">
        <v>105</v>
      </c>
    </row>
    <row r="125" spans="1:70" ht="45" customHeight="1" x14ac:dyDescent="0.25">
      <c r="A125" s="6">
        <v>125</v>
      </c>
      <c r="B125" s="7" t="s">
        <v>3259</v>
      </c>
      <c r="C125" s="8" t="s">
        <v>3260</v>
      </c>
      <c r="D125" s="6" t="s">
        <v>3261</v>
      </c>
      <c r="E125" s="8" t="s">
        <v>3262</v>
      </c>
      <c r="F125" s="8" t="s">
        <v>3263</v>
      </c>
      <c r="G125" s="6" t="s">
        <v>73</v>
      </c>
      <c r="H125" s="6" t="s">
        <v>74</v>
      </c>
      <c r="J125" s="6" t="s">
        <v>3264</v>
      </c>
      <c r="K125" s="9">
        <v>8250</v>
      </c>
      <c r="L125" s="8" t="s">
        <v>3265</v>
      </c>
      <c r="M125" s="9">
        <v>7</v>
      </c>
      <c r="N125" s="6">
        <v>56.232780299999988</v>
      </c>
      <c r="O125" s="6">
        <v>10.329308599999999</v>
      </c>
      <c r="P125" s="6" t="s">
        <v>3266</v>
      </c>
      <c r="Q125" s="6">
        <v>3</v>
      </c>
      <c r="R125" s="6" t="s">
        <v>79</v>
      </c>
      <c r="S125" s="6">
        <v>1998</v>
      </c>
      <c r="T125" s="6">
        <v>2833310</v>
      </c>
      <c r="U125" s="6" t="s">
        <v>80</v>
      </c>
      <c r="V125" s="6">
        <v>20</v>
      </c>
      <c r="W125" s="6" t="s">
        <v>167</v>
      </c>
      <c r="X125" s="6" t="s">
        <v>3267</v>
      </c>
      <c r="Y125" s="6" t="s">
        <v>3268</v>
      </c>
      <c r="Z125" s="6" t="s">
        <v>3269</v>
      </c>
      <c r="AA125" s="6" t="s">
        <v>3270</v>
      </c>
      <c r="AB125" s="6" t="s">
        <v>3271</v>
      </c>
      <c r="AC125" s="6">
        <v>541810</v>
      </c>
      <c r="AD125" s="10" t="str">
        <f>_xlfn.XLOOKUP(AC125,[1]Mapping!B:B,[1]Mapping!C:C,"")</f>
        <v>Advertising Agencies</v>
      </c>
      <c r="AG125" s="6" t="s">
        <v>3272</v>
      </c>
      <c r="AH125" s="6" t="s">
        <v>3273</v>
      </c>
      <c r="AI125" s="6" t="s">
        <v>652</v>
      </c>
      <c r="AJ125" s="6" t="s">
        <v>500</v>
      </c>
      <c r="AK125" s="6" t="s">
        <v>501</v>
      </c>
      <c r="AL125" s="6" t="s">
        <v>502</v>
      </c>
      <c r="AM125" s="6" t="s">
        <v>503</v>
      </c>
      <c r="AN125" s="6" t="s">
        <v>297</v>
      </c>
      <c r="AO125" s="6" t="s">
        <v>298</v>
      </c>
      <c r="AQ125" s="6">
        <v>7311</v>
      </c>
      <c r="AR125" s="6" t="s">
        <v>1121</v>
      </c>
      <c r="AS125" s="6" t="s">
        <v>3274</v>
      </c>
      <c r="AT125" s="6">
        <v>7310</v>
      </c>
      <c r="AU125" s="6" t="s">
        <v>1123</v>
      </c>
      <c r="AV125" s="6">
        <v>73.11</v>
      </c>
      <c r="AW125" s="6" t="s">
        <v>1124</v>
      </c>
      <c r="AX125" s="6" t="s">
        <v>3275</v>
      </c>
      <c r="AY125" s="6" t="s">
        <v>3276</v>
      </c>
      <c r="AZ125" s="6" t="s">
        <v>3277</v>
      </c>
      <c r="BA125" s="6" t="s">
        <v>3278</v>
      </c>
      <c r="BD125" s="6" t="s">
        <v>3279</v>
      </c>
      <c r="BE125" s="6" t="str">
        <f t="shared" si="2"/>
        <v>dekostyle.dk</v>
      </c>
      <c r="BF125" s="6" t="str">
        <f t="shared" si="3"/>
        <v>dk</v>
      </c>
      <c r="BG125" s="6" t="s">
        <v>123</v>
      </c>
      <c r="BJ125" s="6" t="s">
        <v>3280</v>
      </c>
      <c r="BP125" s="6" t="s">
        <v>3281</v>
      </c>
      <c r="BQ125" s="6" t="s">
        <v>3282</v>
      </c>
      <c r="BR125" s="6" t="s">
        <v>105</v>
      </c>
    </row>
    <row r="126" spans="1:70" ht="45" customHeight="1" x14ac:dyDescent="0.25">
      <c r="A126" s="6">
        <v>126</v>
      </c>
      <c r="B126" s="7" t="s">
        <v>3283</v>
      </c>
      <c r="C126" s="8" t="s">
        <v>3284</v>
      </c>
      <c r="D126" s="6" t="s">
        <v>3285</v>
      </c>
      <c r="E126" s="6" t="s">
        <v>3286</v>
      </c>
      <c r="F126" s="8" t="s">
        <v>3287</v>
      </c>
      <c r="G126" s="6" t="s">
        <v>73</v>
      </c>
      <c r="H126" s="6" t="s">
        <v>74</v>
      </c>
      <c r="I126" s="6"/>
      <c r="J126" s="6" t="s">
        <v>3139</v>
      </c>
      <c r="K126" s="9">
        <v>4600</v>
      </c>
      <c r="L126" s="8" t="s">
        <v>3288</v>
      </c>
      <c r="M126" s="9">
        <v>11</v>
      </c>
      <c r="N126" s="6">
        <v>55.478342899999987</v>
      </c>
      <c r="O126" s="6">
        <v>12.1934752</v>
      </c>
      <c r="P126" s="6" t="s">
        <v>3289</v>
      </c>
      <c r="Q126" s="6">
        <v>8</v>
      </c>
      <c r="R126" s="6" t="s">
        <v>79</v>
      </c>
      <c r="S126" s="6">
        <v>1988</v>
      </c>
      <c r="T126" s="6">
        <v>16500000</v>
      </c>
      <c r="U126" s="6" t="s">
        <v>167</v>
      </c>
      <c r="V126" s="6">
        <v>170</v>
      </c>
      <c r="W126" s="6" t="s">
        <v>167</v>
      </c>
      <c r="X126" s="6" t="s">
        <v>3290</v>
      </c>
      <c r="Y126" s="6" t="s">
        <v>3291</v>
      </c>
      <c r="Z126" s="6" t="s">
        <v>3292</v>
      </c>
      <c r="AA126" s="6" t="s">
        <v>3293</v>
      </c>
      <c r="AB126" s="6" t="s">
        <v>3294</v>
      </c>
      <c r="AC126" s="6">
        <v>423430</v>
      </c>
      <c r="AD126" s="10" t="str">
        <f>_xlfn.XLOOKUP(AC126,[1]Mapping!B:B,[1]Mapping!C:C,"")</f>
        <v xml:space="preserve">Computer and Computer Peripheral Equipment and Software Merchant Wholesalers </v>
      </c>
      <c r="AE126" s="6" t="s">
        <v>3295</v>
      </c>
      <c r="AF126" s="6" t="s">
        <v>3296</v>
      </c>
      <c r="AG126" s="6" t="s">
        <v>3297</v>
      </c>
      <c r="AH126" s="6" t="s">
        <v>3298</v>
      </c>
      <c r="AI126" s="6" t="s">
        <v>499</v>
      </c>
      <c r="AJ126" s="6" t="s">
        <v>174</v>
      </c>
      <c r="AK126" s="6" t="s">
        <v>175</v>
      </c>
      <c r="AL126" s="6" t="s">
        <v>176</v>
      </c>
      <c r="AM126" s="6" t="s">
        <v>177</v>
      </c>
      <c r="AN126" s="6" t="s">
        <v>91</v>
      </c>
      <c r="AO126" s="6" t="s">
        <v>92</v>
      </c>
      <c r="AQ126" s="6">
        <v>5045</v>
      </c>
      <c r="AR126" s="6" t="s">
        <v>1294</v>
      </c>
      <c r="AT126" s="6">
        <v>4651</v>
      </c>
      <c r="AU126" s="6" t="s">
        <v>1296</v>
      </c>
      <c r="AV126" s="6">
        <v>46.51</v>
      </c>
      <c r="AW126" s="6" t="s">
        <v>1296</v>
      </c>
      <c r="AY126" s="6" t="s">
        <v>3299</v>
      </c>
      <c r="AZ126" s="6" t="s">
        <v>3300</v>
      </c>
      <c r="BA126" s="6" t="s">
        <v>3301</v>
      </c>
      <c r="BB126" s="6" t="s">
        <v>3302</v>
      </c>
      <c r="BD126" s="6" t="s">
        <v>3303</v>
      </c>
      <c r="BE126" s="6" t="str">
        <f t="shared" si="2"/>
        <v>delfi.com</v>
      </c>
      <c r="BF126" s="6" t="str">
        <f t="shared" si="3"/>
        <v>com</v>
      </c>
      <c r="BG126" s="6" t="s">
        <v>101</v>
      </c>
      <c r="BH126" s="6" t="s">
        <v>3304</v>
      </c>
      <c r="BI126" s="6" t="s">
        <v>3305</v>
      </c>
      <c r="BJ126" s="6" t="s">
        <v>3306</v>
      </c>
      <c r="BK126" s="6" t="s">
        <v>3307</v>
      </c>
      <c r="BN126" s="6" t="s">
        <v>3308</v>
      </c>
      <c r="BP126" s="6" t="s">
        <v>3309</v>
      </c>
      <c r="BQ126" s="6" t="s">
        <v>3310</v>
      </c>
      <c r="BR126" s="6" t="s">
        <v>105</v>
      </c>
    </row>
    <row r="127" spans="1:70" ht="45" customHeight="1" x14ac:dyDescent="0.25">
      <c r="A127" s="6">
        <v>127</v>
      </c>
      <c r="B127" s="7" t="s">
        <v>3311</v>
      </c>
      <c r="C127" s="8" t="s">
        <v>3312</v>
      </c>
      <c r="D127" s="6" t="s">
        <v>3313</v>
      </c>
      <c r="E127" s="6" t="s">
        <v>3314</v>
      </c>
      <c r="F127" s="8" t="s">
        <v>3313</v>
      </c>
      <c r="G127" s="6" t="s">
        <v>130</v>
      </c>
      <c r="H127" s="6" t="s">
        <v>131</v>
      </c>
      <c r="I127" s="6" t="s">
        <v>132</v>
      </c>
      <c r="J127" s="6" t="s">
        <v>132</v>
      </c>
      <c r="K127" s="9">
        <v>283</v>
      </c>
      <c r="L127" s="8" t="s">
        <v>641</v>
      </c>
      <c r="M127" s="9" t="s">
        <v>2748</v>
      </c>
      <c r="N127" s="6">
        <v>59.914592200000001</v>
      </c>
      <c r="O127" s="6">
        <v>10.637979</v>
      </c>
      <c r="P127" s="6" t="s">
        <v>3315</v>
      </c>
      <c r="Q127" s="6">
        <v>2</v>
      </c>
      <c r="S127" s="6">
        <v>1991</v>
      </c>
      <c r="T127" s="6"/>
      <c r="X127" s="6" t="s">
        <v>3316</v>
      </c>
      <c r="Y127" s="6" t="s">
        <v>3317</v>
      </c>
      <c r="Z127" s="6" t="s">
        <v>3318</v>
      </c>
      <c r="AA127" s="6" t="s">
        <v>3319</v>
      </c>
      <c r="AB127" s="6" t="s">
        <v>3320</v>
      </c>
      <c r="AC127" s="6">
        <v>423430</v>
      </c>
      <c r="AD127" s="10" t="str">
        <f>_xlfn.XLOOKUP(AC127,[1]Mapping!B:B,[1]Mapping!C:C,"")</f>
        <v xml:space="preserve">Computer and Computer Peripheral Equipment and Software Merchant Wholesalers </v>
      </c>
      <c r="AG127" s="6" t="s">
        <v>3321</v>
      </c>
      <c r="AH127" s="6" t="s">
        <v>3322</v>
      </c>
      <c r="AI127" s="6" t="s">
        <v>3323</v>
      </c>
      <c r="AQ127" s="6">
        <v>5045</v>
      </c>
      <c r="AR127" s="6" t="s">
        <v>1294</v>
      </c>
      <c r="AT127" s="6">
        <v>4651</v>
      </c>
      <c r="AU127" s="6" t="s">
        <v>1296</v>
      </c>
      <c r="AV127" s="6">
        <v>46.51</v>
      </c>
      <c r="AW127" s="6" t="s">
        <v>1296</v>
      </c>
      <c r="AY127" s="6" t="s">
        <v>3324</v>
      </c>
      <c r="AZ127" s="6" t="s">
        <v>3325</v>
      </c>
      <c r="BD127" s="6" t="s">
        <v>3326</v>
      </c>
      <c r="BE127" s="6" t="str">
        <f t="shared" si="2"/>
        <v>dell.no</v>
      </c>
      <c r="BF127" s="6" t="str">
        <f t="shared" si="3"/>
        <v>no</v>
      </c>
      <c r="BG127" s="6" t="s">
        <v>150</v>
      </c>
      <c r="BQ127" s="6" t="s">
        <v>3327</v>
      </c>
      <c r="BR127" s="6" t="s">
        <v>105</v>
      </c>
    </row>
    <row r="128" spans="1:70" ht="45" customHeight="1" x14ac:dyDescent="0.25">
      <c r="A128" s="6">
        <v>128</v>
      </c>
      <c r="B128" s="7" t="s">
        <v>3328</v>
      </c>
      <c r="C128" s="8" t="s">
        <v>3329</v>
      </c>
      <c r="D128" s="6" t="s">
        <v>3330</v>
      </c>
      <c r="E128" s="8" t="s">
        <v>3331</v>
      </c>
      <c r="F128" s="8" t="s">
        <v>3332</v>
      </c>
      <c r="G128" s="6" t="s">
        <v>1324</v>
      </c>
      <c r="H128" s="6" t="s">
        <v>1325</v>
      </c>
      <c r="I128" s="8" t="s">
        <v>1326</v>
      </c>
      <c r="J128" s="6" t="s">
        <v>1327</v>
      </c>
      <c r="K128" s="9">
        <v>10120</v>
      </c>
      <c r="L128" s="8" t="s">
        <v>3333</v>
      </c>
      <c r="N128" s="6">
        <v>13.7203146</v>
      </c>
      <c r="O128" s="6">
        <v>100.53057889999999</v>
      </c>
      <c r="P128" s="6" t="s">
        <v>3334</v>
      </c>
      <c r="Q128" s="6">
        <v>1</v>
      </c>
      <c r="R128" s="6" t="s">
        <v>79</v>
      </c>
      <c r="T128" s="6">
        <v>1972454</v>
      </c>
      <c r="U128" s="6" t="s">
        <v>80</v>
      </c>
      <c r="V128" s="6">
        <v>75</v>
      </c>
      <c r="W128" s="6" t="s">
        <v>80</v>
      </c>
      <c r="X128" s="6" t="s">
        <v>3335</v>
      </c>
      <c r="Y128" s="6" t="s">
        <v>3336</v>
      </c>
      <c r="Z128" s="6" t="s">
        <v>3337</v>
      </c>
      <c r="AB128" s="6" t="s">
        <v>3338</v>
      </c>
      <c r="AC128" s="6">
        <v>449210</v>
      </c>
      <c r="AD128" s="10" t="str">
        <f>_xlfn.XLOOKUP(AC128,[1]Mapping!B:B,[1]Mapping!C:C,"")</f>
        <v xml:space="preserve">Electronics and Appliance Retailers </v>
      </c>
      <c r="AG128" s="6" t="s">
        <v>1719</v>
      </c>
      <c r="AH128" s="6" t="s">
        <v>965</v>
      </c>
      <c r="AI128" s="6" t="s">
        <v>733</v>
      </c>
      <c r="AJ128" s="6" t="s">
        <v>1502</v>
      </c>
      <c r="AK128" s="6" t="s">
        <v>1503</v>
      </c>
      <c r="AL128" s="6" t="s">
        <v>176</v>
      </c>
      <c r="AM128" s="6" t="s">
        <v>177</v>
      </c>
      <c r="AN128" s="6" t="s">
        <v>91</v>
      </c>
      <c r="AO128" s="6" t="s">
        <v>92</v>
      </c>
      <c r="AQ128" s="6" t="s">
        <v>3339</v>
      </c>
      <c r="AR128" s="6" t="s">
        <v>3340</v>
      </c>
      <c r="AT128" s="6" t="s">
        <v>3341</v>
      </c>
      <c r="AU128" s="6" t="s">
        <v>3342</v>
      </c>
      <c r="AV128" s="6" t="s">
        <v>3343</v>
      </c>
      <c r="AW128" s="6" t="s">
        <v>3344</v>
      </c>
      <c r="AY128" s="6" t="s">
        <v>3345</v>
      </c>
      <c r="AZ128" s="6">
        <v>6629476240</v>
      </c>
      <c r="BA128" s="6" t="s">
        <v>3346</v>
      </c>
      <c r="BD128" s="6" t="s">
        <v>3347</v>
      </c>
      <c r="BE128" s="6" t="str">
        <f t="shared" si="2"/>
        <v>dell.com</v>
      </c>
      <c r="BF128" s="6" t="str">
        <f t="shared" si="3"/>
        <v>com</v>
      </c>
      <c r="BG128" s="6" t="s">
        <v>101</v>
      </c>
      <c r="BH128" s="6" t="s">
        <v>3348</v>
      </c>
      <c r="BI128" s="6" t="s">
        <v>3349</v>
      </c>
      <c r="BJ128" s="6" t="s">
        <v>3350</v>
      </c>
      <c r="BK128" s="6" t="s">
        <v>3351</v>
      </c>
      <c r="BN128" s="6" t="s">
        <v>3352</v>
      </c>
      <c r="BQ128" s="6" t="s">
        <v>3353</v>
      </c>
      <c r="BR128" s="6" t="s">
        <v>105</v>
      </c>
    </row>
    <row r="129" spans="1:70" ht="45" customHeight="1" x14ac:dyDescent="0.25">
      <c r="A129" s="6">
        <v>129</v>
      </c>
      <c r="B129" s="7" t="s">
        <v>3354</v>
      </c>
      <c r="C129" s="8" t="s">
        <v>3355</v>
      </c>
      <c r="D129" s="6" t="s">
        <v>3356</v>
      </c>
      <c r="E129" s="8" t="s">
        <v>3354</v>
      </c>
      <c r="F129" s="8" t="s">
        <v>3357</v>
      </c>
      <c r="G129" s="6" t="s">
        <v>570</v>
      </c>
      <c r="H129" s="6" t="s">
        <v>571</v>
      </c>
      <c r="I129" s="8" t="s">
        <v>572</v>
      </c>
      <c r="J129" s="6" t="s">
        <v>3358</v>
      </c>
      <c r="L129" s="8" t="s">
        <v>3359</v>
      </c>
      <c r="N129" s="6">
        <v>53.244487100000001</v>
      </c>
      <c r="O129" s="6">
        <v>-6.1399296999999997</v>
      </c>
      <c r="P129" s="6" t="s">
        <v>3360</v>
      </c>
      <c r="Q129" s="6">
        <v>111</v>
      </c>
      <c r="R129" s="6" t="s">
        <v>906</v>
      </c>
      <c r="S129" s="6">
        <v>2016</v>
      </c>
      <c r="T129" s="6"/>
      <c r="X129" s="6" t="s">
        <v>3361</v>
      </c>
      <c r="Y129" s="6" t="s">
        <v>3362</v>
      </c>
      <c r="Z129" s="6" t="s">
        <v>3363</v>
      </c>
      <c r="AA129" s="6" t="s">
        <v>3335</v>
      </c>
      <c r="AC129" s="6">
        <v>541512</v>
      </c>
      <c r="AD129" s="10" t="str">
        <f>_xlfn.XLOOKUP(AC129,[1]Mapping!B:B,[1]Mapping!C:C,"")</f>
        <v xml:space="preserve">Computer Systems Design Services </v>
      </c>
      <c r="AG129" s="6" t="s">
        <v>581</v>
      </c>
      <c r="AH129" s="6" t="s">
        <v>174</v>
      </c>
      <c r="AI129" s="6" t="s">
        <v>87</v>
      </c>
      <c r="AJ129" s="6" t="s">
        <v>1502</v>
      </c>
      <c r="AK129" s="6" t="s">
        <v>1503</v>
      </c>
      <c r="AL129" s="6" t="s">
        <v>176</v>
      </c>
      <c r="AM129" s="6" t="s">
        <v>177</v>
      </c>
      <c r="AN129" s="6" t="s">
        <v>91</v>
      </c>
      <c r="AO129" s="6" t="s">
        <v>92</v>
      </c>
      <c r="AQ129" s="6" t="s">
        <v>582</v>
      </c>
      <c r="AR129" s="6" t="s">
        <v>583</v>
      </c>
      <c r="AT129" s="6">
        <v>6202</v>
      </c>
      <c r="AU129" s="6" t="s">
        <v>584</v>
      </c>
      <c r="AV129" s="6" t="s">
        <v>585</v>
      </c>
      <c r="AW129" s="6" t="s">
        <v>586</v>
      </c>
      <c r="AY129" s="6" t="s">
        <v>3364</v>
      </c>
      <c r="AZ129" s="6" t="s">
        <v>3365</v>
      </c>
      <c r="BA129" s="6" t="s">
        <v>3366</v>
      </c>
      <c r="BD129" s="6" t="s">
        <v>3367</v>
      </c>
      <c r="BE129" s="6" t="str">
        <f t="shared" si="2"/>
        <v>dell.ie</v>
      </c>
      <c r="BF129" s="6" t="str">
        <f t="shared" si="3"/>
        <v>ie</v>
      </c>
      <c r="BG129" s="6" t="s">
        <v>101</v>
      </c>
      <c r="BH129" s="6" t="s">
        <v>3368</v>
      </c>
      <c r="BI129" s="6" t="s">
        <v>3369</v>
      </c>
      <c r="BK129" s="6" t="s">
        <v>3370</v>
      </c>
      <c r="BN129" s="6" t="s">
        <v>3371</v>
      </c>
      <c r="BP129" s="6" t="s">
        <v>3372</v>
      </c>
      <c r="BQ129" s="6" t="s">
        <v>3373</v>
      </c>
      <c r="BR129" s="6" t="s">
        <v>105</v>
      </c>
    </row>
    <row r="130" spans="1:70" ht="45" customHeight="1" x14ac:dyDescent="0.25">
      <c r="A130" s="6">
        <v>130</v>
      </c>
      <c r="B130" s="7" t="s">
        <v>3374</v>
      </c>
      <c r="C130" s="8" t="s">
        <v>3375</v>
      </c>
      <c r="D130" s="6" t="s">
        <v>3376</v>
      </c>
      <c r="E130" s="8" t="s">
        <v>3374</v>
      </c>
      <c r="F130" s="8" t="s">
        <v>3377</v>
      </c>
      <c r="G130" s="6" t="s">
        <v>130</v>
      </c>
      <c r="H130" s="6" t="s">
        <v>131</v>
      </c>
      <c r="I130" s="8" t="s">
        <v>132</v>
      </c>
      <c r="J130" s="6" t="s">
        <v>132</v>
      </c>
      <c r="K130" s="9">
        <v>191</v>
      </c>
      <c r="L130" s="8" t="s">
        <v>1041</v>
      </c>
      <c r="M130" s="9">
        <v>14</v>
      </c>
      <c r="N130" s="6">
        <v>59.9083307</v>
      </c>
      <c r="O130" s="6">
        <v>10.758194700000001</v>
      </c>
      <c r="P130" s="6" t="s">
        <v>3378</v>
      </c>
      <c r="Q130" s="6">
        <v>1</v>
      </c>
      <c r="R130" s="6" t="s">
        <v>79</v>
      </c>
      <c r="T130" s="6"/>
      <c r="X130" s="6" t="s">
        <v>3379</v>
      </c>
      <c r="Y130" s="6" t="s">
        <v>3380</v>
      </c>
      <c r="Z130" s="6" t="s">
        <v>3381</v>
      </c>
      <c r="AA130" s="6" t="s">
        <v>3382</v>
      </c>
      <c r="AC130" s="6">
        <v>541219</v>
      </c>
      <c r="AD130" s="10" t="str">
        <f>_xlfn.XLOOKUP(AC130,[1]Mapping!B:B,[1]Mapping!C:C,"")</f>
        <v xml:space="preserve">Other Accounting Services </v>
      </c>
      <c r="AG130" s="6" t="s">
        <v>1094</v>
      </c>
      <c r="AH130" s="6" t="s">
        <v>1095</v>
      </c>
      <c r="AI130" s="6" t="s">
        <v>119</v>
      </c>
      <c r="AQ130" s="6">
        <v>8721</v>
      </c>
      <c r="AR130" s="6" t="s">
        <v>1096</v>
      </c>
      <c r="AT130" s="6">
        <v>6920</v>
      </c>
      <c r="AU130" s="6" t="s">
        <v>1098</v>
      </c>
      <c r="AV130" s="6">
        <v>69.2</v>
      </c>
      <c r="AW130" s="6" t="s">
        <v>1098</v>
      </c>
      <c r="AY130" s="6" t="s">
        <v>3383</v>
      </c>
      <c r="AZ130" s="6">
        <v>4723279000</v>
      </c>
      <c r="BB130" s="6" t="s">
        <v>3384</v>
      </c>
      <c r="BD130" s="6" t="s">
        <v>3385</v>
      </c>
      <c r="BE130" s="6" t="str">
        <f t="shared" si="2"/>
        <v>deloitte.com</v>
      </c>
      <c r="BF130" s="6" t="str">
        <f t="shared" si="3"/>
        <v>com</v>
      </c>
      <c r="BG130" s="6" t="s">
        <v>101</v>
      </c>
      <c r="BH130" s="6" t="s">
        <v>3386</v>
      </c>
      <c r="BJ130" s="6" t="s">
        <v>3387</v>
      </c>
      <c r="BK130" s="6" t="s">
        <v>3388</v>
      </c>
      <c r="BN130" s="6" t="s">
        <v>3389</v>
      </c>
      <c r="BQ130" s="6" t="s">
        <v>3390</v>
      </c>
      <c r="BR130" s="6" t="s">
        <v>105</v>
      </c>
    </row>
    <row r="131" spans="1:70" ht="45" customHeight="1" x14ac:dyDescent="0.25">
      <c r="A131" s="6">
        <v>131</v>
      </c>
      <c r="B131" s="7" t="s">
        <v>3391</v>
      </c>
      <c r="C131" s="8" t="s">
        <v>3375</v>
      </c>
      <c r="D131" s="6" t="s">
        <v>3377</v>
      </c>
      <c r="E131" s="8" t="s">
        <v>3391</v>
      </c>
      <c r="F131" s="8" t="s">
        <v>3377</v>
      </c>
      <c r="G131" s="6" t="s">
        <v>130</v>
      </c>
      <c r="H131" s="6" t="s">
        <v>131</v>
      </c>
      <c r="I131" s="8" t="s">
        <v>132</v>
      </c>
      <c r="J131" s="6" t="s">
        <v>132</v>
      </c>
      <c r="K131" s="9">
        <v>191</v>
      </c>
      <c r="L131" s="8" t="s">
        <v>1041</v>
      </c>
      <c r="M131" s="9">
        <v>14</v>
      </c>
      <c r="N131" s="6">
        <v>59.908177899999998</v>
      </c>
      <c r="O131" s="6">
        <v>10.758058800000001</v>
      </c>
      <c r="P131" s="6" t="s">
        <v>3378</v>
      </c>
      <c r="Q131" s="6">
        <v>1</v>
      </c>
      <c r="R131" s="6" t="s">
        <v>79</v>
      </c>
      <c r="T131" s="6"/>
      <c r="X131" s="6" t="s">
        <v>3392</v>
      </c>
      <c r="Y131" s="6" t="s">
        <v>3380</v>
      </c>
      <c r="Z131" s="6" t="s">
        <v>3381</v>
      </c>
      <c r="AA131" s="6" t="s">
        <v>3382</v>
      </c>
      <c r="AC131" s="6">
        <v>541219</v>
      </c>
      <c r="AD131" s="10" t="str">
        <f>_xlfn.XLOOKUP(AC131,[1]Mapping!B:B,[1]Mapping!C:C,"")</f>
        <v xml:space="preserve">Other Accounting Services </v>
      </c>
      <c r="AG131" s="6" t="s">
        <v>1094</v>
      </c>
      <c r="AH131" s="6" t="s">
        <v>1095</v>
      </c>
      <c r="AI131" s="6" t="s">
        <v>119</v>
      </c>
      <c r="AQ131" s="6">
        <v>8721</v>
      </c>
      <c r="AR131" s="6" t="s">
        <v>1096</v>
      </c>
      <c r="AT131" s="6">
        <v>6920</v>
      </c>
      <c r="AU131" s="6" t="s">
        <v>1098</v>
      </c>
      <c r="AV131" s="6">
        <v>69.2</v>
      </c>
      <c r="AW131" s="6" t="s">
        <v>1098</v>
      </c>
      <c r="AY131" s="6" t="s">
        <v>3383</v>
      </c>
      <c r="AZ131" s="6">
        <v>4723279000</v>
      </c>
      <c r="BD131" s="6" t="s">
        <v>3393</v>
      </c>
      <c r="BE131" s="6" t="str">
        <f t="shared" ref="BE131:BE194" si="4">LEFT(
  SUBSTITUTE(SUBSTITUTE(SUBSTITUTE(BD131,"https://",""),"http://",""),"www.",""),
  IFERROR(
    FIND("/",SUBSTITUTE(SUBSTITUTE(SUBSTITUTE(BD131,"https://",""),"http://",""),"www.","")&amp;"/")-1,
    LEN(SUBSTITUTE(SUBSTITUTE(SUBSTITUTE(BD131,"https://",""),"http://",""),"www.",""))
  )
)</f>
        <v>deloitte.no</v>
      </c>
      <c r="BF131" s="6" t="str">
        <f t="shared" ref="BF131:BF194" si="5">_xlfn.TEXTAFTER(BE131,".",-1)</f>
        <v>no</v>
      </c>
      <c r="BG131" s="6" t="s">
        <v>150</v>
      </c>
      <c r="BH131" s="6" t="s">
        <v>3386</v>
      </c>
      <c r="BJ131" s="6" t="s">
        <v>3387</v>
      </c>
      <c r="BK131" s="6" t="s">
        <v>3394</v>
      </c>
      <c r="BN131" s="6" t="s">
        <v>3389</v>
      </c>
      <c r="BQ131" s="6" t="s">
        <v>3390</v>
      </c>
      <c r="BR131" s="6" t="s">
        <v>105</v>
      </c>
    </row>
    <row r="132" spans="1:70" ht="45" customHeight="1" x14ac:dyDescent="0.25">
      <c r="A132" s="6">
        <v>132</v>
      </c>
      <c r="B132" s="7" t="s">
        <v>3395</v>
      </c>
      <c r="C132" s="8" t="s">
        <v>3396</v>
      </c>
      <c r="D132" s="6" t="s">
        <v>3397</v>
      </c>
      <c r="E132" s="8" t="s">
        <v>3398</v>
      </c>
      <c r="F132" s="8" t="s">
        <v>3398</v>
      </c>
      <c r="G132" s="6" t="s">
        <v>612</v>
      </c>
      <c r="H132" s="6" t="s">
        <v>613</v>
      </c>
      <c r="I132" s="6" t="s">
        <v>1305</v>
      </c>
      <c r="J132" s="6" t="s">
        <v>752</v>
      </c>
      <c r="K132" s="9">
        <v>60000</v>
      </c>
      <c r="L132" s="8" t="s">
        <v>3399</v>
      </c>
      <c r="N132" s="6">
        <v>3.1378849</v>
      </c>
      <c r="O132" s="6">
        <v>101.62946700000001</v>
      </c>
      <c r="P132" s="6" t="s">
        <v>3400</v>
      </c>
      <c r="Q132" s="6">
        <v>1</v>
      </c>
      <c r="R132" s="6" t="s">
        <v>79</v>
      </c>
      <c r="T132" s="6"/>
      <c r="X132" s="6" t="s">
        <v>3379</v>
      </c>
      <c r="Y132" s="6" t="s">
        <v>3401</v>
      </c>
      <c r="Z132" s="6" t="s">
        <v>3402</v>
      </c>
      <c r="AC132" s="6">
        <v>541611</v>
      </c>
      <c r="AD132" s="10" t="str">
        <f>_xlfn.XLOOKUP(AC132,[1]Mapping!B:B,[1]Mapping!C:C,"")</f>
        <v xml:space="preserve">Administrative Management and General Management Consulting Services </v>
      </c>
      <c r="AG132" s="6" t="s">
        <v>376</v>
      </c>
      <c r="AH132" s="6" t="s">
        <v>376</v>
      </c>
      <c r="AI132" s="6" t="s">
        <v>141</v>
      </c>
      <c r="AQ132" s="6">
        <v>8742</v>
      </c>
      <c r="AR132" s="6" t="s">
        <v>377</v>
      </c>
      <c r="AT132" s="6">
        <v>7020</v>
      </c>
      <c r="AU132" s="6" t="s">
        <v>378</v>
      </c>
      <c r="AV132" s="6" t="s">
        <v>379</v>
      </c>
      <c r="AW132" s="6" t="s">
        <v>380</v>
      </c>
      <c r="AY132" s="6" t="s">
        <v>3403</v>
      </c>
      <c r="AZ132" s="6">
        <v>60376109000</v>
      </c>
      <c r="BB132" s="6" t="s">
        <v>3384</v>
      </c>
      <c r="BD132" s="6" t="s">
        <v>3404</v>
      </c>
      <c r="BE132" s="6" t="str">
        <f t="shared" si="4"/>
        <v>deloitte.com</v>
      </c>
      <c r="BF132" s="6" t="str">
        <f t="shared" si="5"/>
        <v>com</v>
      </c>
      <c r="BG132" s="6" t="s">
        <v>101</v>
      </c>
      <c r="BH132" s="6" t="s">
        <v>3386</v>
      </c>
      <c r="BJ132" s="6" t="s">
        <v>3387</v>
      </c>
      <c r="BK132" s="6" t="s">
        <v>3388</v>
      </c>
      <c r="BN132" s="6" t="s">
        <v>3389</v>
      </c>
      <c r="BQ132" s="6" t="s">
        <v>3405</v>
      </c>
      <c r="BR132" s="6" t="s">
        <v>105</v>
      </c>
    </row>
    <row r="133" spans="1:70" ht="45" customHeight="1" x14ac:dyDescent="0.25">
      <c r="A133" s="6">
        <v>133</v>
      </c>
      <c r="B133" s="7" t="s">
        <v>3406</v>
      </c>
      <c r="C133" s="8" t="s">
        <v>3407</v>
      </c>
      <c r="D133" s="6" t="s">
        <v>3408</v>
      </c>
      <c r="E133" s="8" t="s">
        <v>3406</v>
      </c>
      <c r="F133" s="8" t="s">
        <v>3409</v>
      </c>
      <c r="G133" s="6" t="s">
        <v>73</v>
      </c>
      <c r="H133" s="6" t="s">
        <v>74</v>
      </c>
      <c r="J133" s="6" t="s">
        <v>486</v>
      </c>
      <c r="K133" s="9">
        <v>2300</v>
      </c>
      <c r="L133" s="8" t="s">
        <v>3410</v>
      </c>
      <c r="M133" s="9">
        <v>6</v>
      </c>
      <c r="N133" s="6">
        <v>55.667218800000008</v>
      </c>
      <c r="O133" s="6">
        <v>12.583924700000001</v>
      </c>
      <c r="P133" s="6" t="s">
        <v>3411</v>
      </c>
      <c r="Q133" s="6">
        <v>3</v>
      </c>
      <c r="R133" s="6" t="s">
        <v>79</v>
      </c>
      <c r="S133" s="6">
        <v>2011</v>
      </c>
      <c r="T133" s="6">
        <v>133771</v>
      </c>
      <c r="U133" s="6" t="s">
        <v>80</v>
      </c>
      <c r="V133" s="6">
        <v>1</v>
      </c>
      <c r="W133" s="6" t="s">
        <v>167</v>
      </c>
      <c r="X133" s="6" t="s">
        <v>3379</v>
      </c>
      <c r="Y133" s="6" t="s">
        <v>3412</v>
      </c>
      <c r="Z133" s="6" t="s">
        <v>3413</v>
      </c>
      <c r="AB133" s="6" t="s">
        <v>3414</v>
      </c>
      <c r="AC133" s="6">
        <v>621391</v>
      </c>
      <c r="AD133" s="10" t="str">
        <f>_xlfn.XLOOKUP(AC133,[1]Mapping!B:B,[1]Mapping!C:C,"")</f>
        <v xml:space="preserve">Offices of Podiatrists </v>
      </c>
      <c r="AG133" s="6" t="s">
        <v>3146</v>
      </c>
      <c r="AH133" s="6" t="s">
        <v>3147</v>
      </c>
      <c r="AI133" s="6" t="s">
        <v>1164</v>
      </c>
      <c r="AJ133" s="6" t="s">
        <v>3148</v>
      </c>
      <c r="AK133" s="6" t="s">
        <v>3149</v>
      </c>
      <c r="AL133" s="6" t="s">
        <v>3150</v>
      </c>
      <c r="AM133" s="6" t="s">
        <v>3151</v>
      </c>
      <c r="AN133" s="6" t="s">
        <v>2585</v>
      </c>
      <c r="AO133" s="6" t="s">
        <v>2586</v>
      </c>
      <c r="AQ133" s="6">
        <v>8043</v>
      </c>
      <c r="AR133" s="6" t="s">
        <v>3152</v>
      </c>
      <c r="AT133" s="6">
        <v>8690</v>
      </c>
      <c r="AU133" s="6" t="s">
        <v>1166</v>
      </c>
      <c r="AV133" s="6">
        <v>86.9</v>
      </c>
      <c r="AW133" s="6" t="s">
        <v>1166</v>
      </c>
      <c r="AY133" s="6" t="s">
        <v>3415</v>
      </c>
      <c r="AZ133" s="6">
        <v>4522107071</v>
      </c>
      <c r="BA133" s="6" t="s">
        <v>3416</v>
      </c>
      <c r="BB133" s="6" t="s">
        <v>3384</v>
      </c>
      <c r="BD133" s="6" t="s">
        <v>3417</v>
      </c>
      <c r="BE133" s="6" t="str">
        <f t="shared" si="4"/>
        <v>deloitte.com</v>
      </c>
      <c r="BF133" s="6" t="str">
        <f t="shared" si="5"/>
        <v>com</v>
      </c>
      <c r="BG133" s="6" t="s">
        <v>123</v>
      </c>
      <c r="BH133" s="6" t="s">
        <v>3386</v>
      </c>
      <c r="BJ133" s="6" t="s">
        <v>3387</v>
      </c>
      <c r="BK133" s="6" t="s">
        <v>3388</v>
      </c>
      <c r="BN133" s="6" t="s">
        <v>3389</v>
      </c>
      <c r="BP133" s="6" t="s">
        <v>3418</v>
      </c>
      <c r="BQ133" s="6" t="s">
        <v>3419</v>
      </c>
      <c r="BR133" s="6" t="s">
        <v>105</v>
      </c>
    </row>
    <row r="134" spans="1:70" ht="45" customHeight="1" x14ac:dyDescent="0.25">
      <c r="A134" s="6">
        <v>134</v>
      </c>
      <c r="B134" s="7" t="s">
        <v>3420</v>
      </c>
      <c r="C134" s="8" t="s">
        <v>3421</v>
      </c>
      <c r="D134" s="6" t="s">
        <v>3422</v>
      </c>
      <c r="E134" s="6" t="s">
        <v>3423</v>
      </c>
      <c r="F134" s="8" t="s">
        <v>3424</v>
      </c>
      <c r="G134" s="6" t="s">
        <v>73</v>
      </c>
      <c r="H134" s="6" t="s">
        <v>74</v>
      </c>
      <c r="I134" s="6"/>
      <c r="J134" s="6" t="s">
        <v>76</v>
      </c>
      <c r="K134" s="9">
        <v>9000</v>
      </c>
      <c r="L134" s="8" t="s">
        <v>3425</v>
      </c>
      <c r="M134" s="9">
        <v>11</v>
      </c>
      <c r="N134" s="6">
        <v>57.046439900000003</v>
      </c>
      <c r="O134" s="6">
        <v>9.9195070999999988</v>
      </c>
      <c r="P134" s="6" t="s">
        <v>3426</v>
      </c>
      <c r="Q134" s="6">
        <v>1</v>
      </c>
      <c r="R134" s="6" t="s">
        <v>79</v>
      </c>
      <c r="S134" s="6">
        <v>1992</v>
      </c>
      <c r="T134" s="6">
        <v>18242446</v>
      </c>
      <c r="U134" s="6" t="s">
        <v>80</v>
      </c>
      <c r="V134" s="6">
        <v>75</v>
      </c>
      <c r="W134" s="6" t="s">
        <v>80</v>
      </c>
      <c r="X134" s="6" t="s">
        <v>3427</v>
      </c>
      <c r="Y134" s="6" t="s">
        <v>3428</v>
      </c>
      <c r="Z134" s="6" t="s">
        <v>3429</v>
      </c>
      <c r="AA134" s="6" t="s">
        <v>3430</v>
      </c>
      <c r="AB134" s="6" t="s">
        <v>3431</v>
      </c>
      <c r="AC134" s="6">
        <v>541512</v>
      </c>
      <c r="AD134" s="10" t="str">
        <f>_xlfn.XLOOKUP(AC134,[1]Mapping!B:B,[1]Mapping!C:C,"")</f>
        <v xml:space="preserve">Computer Systems Design Services </v>
      </c>
      <c r="AG134" s="6" t="s">
        <v>581</v>
      </c>
      <c r="AH134" s="6" t="s">
        <v>174</v>
      </c>
      <c r="AI134" s="6" t="s">
        <v>87</v>
      </c>
      <c r="AQ134" s="6" t="s">
        <v>582</v>
      </c>
      <c r="AR134" s="6" t="s">
        <v>583</v>
      </c>
      <c r="AT134" s="6">
        <v>6202</v>
      </c>
      <c r="AU134" s="6" t="s">
        <v>584</v>
      </c>
      <c r="AV134" s="6" t="s">
        <v>585</v>
      </c>
      <c r="AW134" s="6" t="s">
        <v>586</v>
      </c>
      <c r="AY134" s="6">
        <v>4521206633</v>
      </c>
      <c r="AZ134" s="6">
        <v>4521206633</v>
      </c>
      <c r="BA134" s="6" t="s">
        <v>3432</v>
      </c>
      <c r="BD134" s="6" t="s">
        <v>3433</v>
      </c>
      <c r="BE134" s="6" t="str">
        <f t="shared" si="4"/>
        <v>deltadata.dk</v>
      </c>
      <c r="BF134" s="6" t="str">
        <f t="shared" si="5"/>
        <v>dk</v>
      </c>
      <c r="BG134" s="6" t="s">
        <v>123</v>
      </c>
      <c r="BP134" s="6" t="s">
        <v>3434</v>
      </c>
      <c r="BQ134" s="6" t="s">
        <v>3435</v>
      </c>
      <c r="BR134" s="6" t="s">
        <v>105</v>
      </c>
    </row>
    <row r="135" spans="1:70" ht="45" customHeight="1" x14ac:dyDescent="0.25">
      <c r="A135" s="6">
        <v>135</v>
      </c>
      <c r="B135" s="7" t="s">
        <v>3436</v>
      </c>
      <c r="C135" s="8" t="s">
        <v>3437</v>
      </c>
      <c r="D135" s="6" t="s">
        <v>3438</v>
      </c>
      <c r="E135" s="6" t="s">
        <v>3439</v>
      </c>
      <c r="F135" s="8" t="s">
        <v>3440</v>
      </c>
      <c r="G135" s="6" t="s">
        <v>130</v>
      </c>
      <c r="H135" s="6" t="s">
        <v>131</v>
      </c>
      <c r="I135" s="6" t="s">
        <v>3441</v>
      </c>
      <c r="J135" s="6" t="s">
        <v>3442</v>
      </c>
      <c r="K135" s="9">
        <v>3036</v>
      </c>
      <c r="L135" s="8" t="s">
        <v>3443</v>
      </c>
      <c r="M135" s="9">
        <v>8</v>
      </c>
      <c r="N135" s="6">
        <v>59.696680700000002</v>
      </c>
      <c r="O135" s="6">
        <v>10.2513738</v>
      </c>
      <c r="P135" s="6" t="s">
        <v>3444</v>
      </c>
      <c r="Q135" s="6">
        <v>45</v>
      </c>
      <c r="R135" s="6" t="s">
        <v>79</v>
      </c>
      <c r="S135" s="6">
        <v>1970</v>
      </c>
      <c r="T135" s="6">
        <v>389697728</v>
      </c>
      <c r="U135" s="6" t="s">
        <v>167</v>
      </c>
      <c r="V135" s="6">
        <v>2378</v>
      </c>
      <c r="W135" s="6" t="s">
        <v>167</v>
      </c>
      <c r="X135" s="6" t="s">
        <v>3445</v>
      </c>
      <c r="Y135" s="6" t="s">
        <v>3446</v>
      </c>
      <c r="Z135" s="6" t="s">
        <v>3447</v>
      </c>
      <c r="AA135" s="6" t="s">
        <v>3448</v>
      </c>
      <c r="AB135" s="6" t="s">
        <v>3449</v>
      </c>
      <c r="AC135" s="6">
        <v>335999</v>
      </c>
      <c r="AD135" s="10" t="str">
        <f>_xlfn.XLOOKUP(AC135,[1]Mapping!B:B,[1]Mapping!C:C,"")</f>
        <v xml:space="preserve">All Other Miscellaneous Electrical Equipment and Component Manufacturing </v>
      </c>
      <c r="AE135" s="6">
        <v>334515</v>
      </c>
      <c r="AF135" s="6" t="s">
        <v>3450</v>
      </c>
      <c r="AG135" s="6" t="s">
        <v>3451</v>
      </c>
      <c r="AH135" s="6" t="s">
        <v>3452</v>
      </c>
      <c r="AI135" s="6" t="s">
        <v>431</v>
      </c>
      <c r="AJ135" s="6" t="s">
        <v>174</v>
      </c>
      <c r="AK135" s="6" t="s">
        <v>175</v>
      </c>
      <c r="AL135" s="6" t="s">
        <v>176</v>
      </c>
      <c r="AM135" s="6" t="s">
        <v>177</v>
      </c>
      <c r="AN135" s="6" t="s">
        <v>91</v>
      </c>
      <c r="AO135" s="6" t="s">
        <v>92</v>
      </c>
      <c r="AQ135" s="6">
        <v>3629</v>
      </c>
      <c r="AR135" s="6" t="s">
        <v>3453</v>
      </c>
      <c r="AS135" s="6" t="s">
        <v>3454</v>
      </c>
      <c r="AT135" s="6">
        <v>2710</v>
      </c>
      <c r="AU135" s="6" t="s">
        <v>737</v>
      </c>
      <c r="AV135" s="6">
        <v>27.11</v>
      </c>
      <c r="AW135" s="6" t="s">
        <v>3455</v>
      </c>
      <c r="AX135" s="6" t="s">
        <v>3456</v>
      </c>
      <c r="AY135" s="6" t="s">
        <v>3457</v>
      </c>
      <c r="AZ135" s="6" t="s">
        <v>3458</v>
      </c>
      <c r="BA135" s="6" t="s">
        <v>3459</v>
      </c>
      <c r="BB135" s="6" t="s">
        <v>3460</v>
      </c>
      <c r="BC135" s="6" t="s">
        <v>3461</v>
      </c>
      <c r="BD135" s="6" t="s">
        <v>3462</v>
      </c>
      <c r="BE135" s="6" t="str">
        <f t="shared" si="4"/>
        <v>eltek.com</v>
      </c>
      <c r="BF135" s="6" t="str">
        <f t="shared" si="5"/>
        <v>com</v>
      </c>
      <c r="BG135" s="6" t="s">
        <v>101</v>
      </c>
      <c r="BH135" s="6" t="s">
        <v>3463</v>
      </c>
      <c r="BI135" s="6" t="s">
        <v>3464</v>
      </c>
      <c r="BJ135" s="6" t="s">
        <v>3465</v>
      </c>
      <c r="BK135" s="6" t="s">
        <v>3466</v>
      </c>
      <c r="BN135" s="6" t="s">
        <v>3467</v>
      </c>
      <c r="BP135" s="6" t="s">
        <v>3468</v>
      </c>
      <c r="BQ135" s="6" t="s">
        <v>3469</v>
      </c>
      <c r="BR135" s="6" t="s">
        <v>105</v>
      </c>
    </row>
    <row r="136" spans="1:70" ht="45" customHeight="1" x14ac:dyDescent="0.25">
      <c r="A136" s="6">
        <v>136</v>
      </c>
      <c r="B136" s="7" t="s">
        <v>3470</v>
      </c>
      <c r="C136" s="8" t="s">
        <v>3471</v>
      </c>
      <c r="D136" s="6" t="s">
        <v>3472</v>
      </c>
      <c r="E136" s="6" t="s">
        <v>3473</v>
      </c>
      <c r="F136" s="8" t="s">
        <v>3474</v>
      </c>
      <c r="G136" s="6" t="s">
        <v>315</v>
      </c>
      <c r="H136" s="6" t="s">
        <v>316</v>
      </c>
      <c r="I136" s="6"/>
      <c r="J136" s="6" t="s">
        <v>316</v>
      </c>
      <c r="K136" s="9">
        <v>339274</v>
      </c>
      <c r="L136" s="8" t="s">
        <v>3475</v>
      </c>
      <c r="M136" s="9">
        <v>17</v>
      </c>
      <c r="N136" s="6">
        <v>1.3137799999999999</v>
      </c>
      <c r="O136" s="6">
        <v>103.865599</v>
      </c>
      <c r="P136" s="6" t="s">
        <v>3476</v>
      </c>
      <c r="Q136" s="6">
        <v>2</v>
      </c>
      <c r="R136" s="6" t="s">
        <v>79</v>
      </c>
      <c r="S136" s="6">
        <v>2010</v>
      </c>
      <c r="T136" s="6">
        <v>23570136</v>
      </c>
      <c r="U136" s="6" t="s">
        <v>80</v>
      </c>
      <c r="V136" s="6">
        <v>59</v>
      </c>
      <c r="W136" s="6" t="s">
        <v>167</v>
      </c>
      <c r="X136" s="6" t="s">
        <v>3477</v>
      </c>
      <c r="Y136" s="6" t="s">
        <v>3478</v>
      </c>
      <c r="Z136" s="6" t="s">
        <v>3479</v>
      </c>
      <c r="AA136" s="6" t="s">
        <v>3480</v>
      </c>
      <c r="AB136" s="6" t="s">
        <v>3481</v>
      </c>
      <c r="AC136" s="6">
        <v>335999</v>
      </c>
      <c r="AD136" s="10" t="str">
        <f>_xlfn.XLOOKUP(AC136,[1]Mapping!B:B,[1]Mapping!C:C,"")</f>
        <v xml:space="preserve">All Other Miscellaneous Electrical Equipment and Component Manufacturing </v>
      </c>
      <c r="AG136" s="6" t="s">
        <v>732</v>
      </c>
      <c r="AH136" s="6" t="s">
        <v>432</v>
      </c>
      <c r="AI136" s="6" t="s">
        <v>733</v>
      </c>
      <c r="AJ136" s="6" t="s">
        <v>3482</v>
      </c>
      <c r="AK136" s="6" t="s">
        <v>3483</v>
      </c>
      <c r="AL136" s="6" t="s">
        <v>3484</v>
      </c>
      <c r="AM136" s="6" t="s">
        <v>3485</v>
      </c>
      <c r="AN136" s="6" t="s">
        <v>655</v>
      </c>
      <c r="AO136" s="6" t="s">
        <v>657</v>
      </c>
      <c r="AQ136" s="6" t="s">
        <v>1947</v>
      </c>
      <c r="AR136" s="6" t="s">
        <v>1948</v>
      </c>
      <c r="AT136" s="6">
        <v>2790</v>
      </c>
      <c r="AU136" s="6" t="s">
        <v>1949</v>
      </c>
      <c r="AV136" s="6">
        <v>27.9</v>
      </c>
      <c r="AW136" s="6" t="s">
        <v>1949</v>
      </c>
      <c r="AY136" s="6" t="s">
        <v>3486</v>
      </c>
      <c r="AZ136" s="6" t="s">
        <v>3487</v>
      </c>
      <c r="BA136" s="6" t="s">
        <v>3488</v>
      </c>
      <c r="BD136" s="6" t="s">
        <v>3489</v>
      </c>
      <c r="BE136" s="6" t="str">
        <f t="shared" si="4"/>
        <v>delta-singapore.com</v>
      </c>
      <c r="BF136" s="6" t="str">
        <f t="shared" si="5"/>
        <v>com</v>
      </c>
      <c r="BG136" s="6" t="s">
        <v>101</v>
      </c>
      <c r="BH136" s="6" t="s">
        <v>3490</v>
      </c>
      <c r="BJ136" s="6" t="s">
        <v>3491</v>
      </c>
      <c r="BK136" s="6" t="s">
        <v>3492</v>
      </c>
      <c r="BN136" s="6" t="s">
        <v>3493</v>
      </c>
      <c r="BP136" s="6" t="s">
        <v>3494</v>
      </c>
      <c r="BQ136" s="6" t="s">
        <v>3495</v>
      </c>
      <c r="BR136" s="6" t="s">
        <v>105</v>
      </c>
    </row>
    <row r="137" spans="1:70" ht="45" customHeight="1" x14ac:dyDescent="0.25">
      <c r="A137" s="6">
        <v>137</v>
      </c>
      <c r="B137" s="7" t="s">
        <v>3496</v>
      </c>
      <c r="C137" s="8" t="s">
        <v>3497</v>
      </c>
      <c r="D137" s="6" t="s">
        <v>3498</v>
      </c>
      <c r="E137" s="8" t="s">
        <v>3496</v>
      </c>
      <c r="F137" s="8" t="s">
        <v>3499</v>
      </c>
      <c r="G137" s="6" t="s">
        <v>315</v>
      </c>
      <c r="H137" s="6" t="s">
        <v>316</v>
      </c>
      <c r="J137" s="6" t="s">
        <v>316</v>
      </c>
      <c r="K137" s="9">
        <v>535215</v>
      </c>
      <c r="L137" s="8" t="s">
        <v>3500</v>
      </c>
      <c r="M137" s="9">
        <v>1</v>
      </c>
      <c r="N137" s="6">
        <v>1.3371511</v>
      </c>
      <c r="O137" s="6">
        <v>103.8926676</v>
      </c>
      <c r="P137" s="6" t="s">
        <v>3501</v>
      </c>
      <c r="Q137" s="6">
        <v>69</v>
      </c>
      <c r="R137" s="6" t="s">
        <v>79</v>
      </c>
      <c r="S137" s="6">
        <v>2002</v>
      </c>
      <c r="T137" s="6">
        <v>7000000</v>
      </c>
      <c r="U137" s="6" t="s">
        <v>167</v>
      </c>
      <c r="V137" s="6">
        <v>54</v>
      </c>
      <c r="W137" s="6" t="s">
        <v>167</v>
      </c>
      <c r="X137" s="6" t="s">
        <v>3502</v>
      </c>
      <c r="Y137" s="6" t="s">
        <v>3503</v>
      </c>
      <c r="Z137" s="6" t="s">
        <v>3504</v>
      </c>
      <c r="AA137" s="6" t="s">
        <v>3505</v>
      </c>
      <c r="AB137" s="6" t="s">
        <v>3506</v>
      </c>
      <c r="AC137" s="6">
        <v>722511</v>
      </c>
      <c r="AD137" s="10" t="str">
        <f>_xlfn.XLOOKUP(AC137,[1]Mapping!B:B,[1]Mapping!C:C,"")</f>
        <v xml:space="preserve">Full-Service Restaurants </v>
      </c>
      <c r="AE137" s="6">
        <v>722513</v>
      </c>
      <c r="AF137" s="6" t="s">
        <v>3507</v>
      </c>
      <c r="AG137" s="6" t="s">
        <v>3508</v>
      </c>
      <c r="AH137" s="6" t="s">
        <v>1022</v>
      </c>
      <c r="AI137" s="6" t="s">
        <v>325</v>
      </c>
      <c r="AJ137" s="6" t="s">
        <v>1022</v>
      </c>
      <c r="AK137" s="6" t="s">
        <v>3509</v>
      </c>
      <c r="AL137" s="6" t="s">
        <v>1022</v>
      </c>
      <c r="AM137" s="6" t="s">
        <v>3510</v>
      </c>
      <c r="AN137" s="6" t="s">
        <v>1027</v>
      </c>
      <c r="AO137" s="6" t="s">
        <v>1028</v>
      </c>
      <c r="AQ137" s="6">
        <v>5812</v>
      </c>
      <c r="AR137" s="6" t="s">
        <v>1029</v>
      </c>
      <c r="AS137" s="6" t="s">
        <v>3511</v>
      </c>
      <c r="AT137" s="6">
        <v>5610</v>
      </c>
      <c r="AU137" s="6" t="s">
        <v>1031</v>
      </c>
      <c r="AV137" s="6">
        <v>56.1</v>
      </c>
      <c r="AW137" s="6" t="s">
        <v>1031</v>
      </c>
      <c r="AX137" s="6" t="s">
        <v>3512</v>
      </c>
      <c r="AY137" s="6" t="s">
        <v>3513</v>
      </c>
      <c r="AZ137" s="6" t="s">
        <v>3514</v>
      </c>
      <c r="BA137" s="6" t="s">
        <v>3515</v>
      </c>
      <c r="BB137" s="6" t="s">
        <v>3515</v>
      </c>
      <c r="BD137" s="6" t="s">
        <v>3516</v>
      </c>
      <c r="BE137" s="6" t="str">
        <f t="shared" si="4"/>
        <v>locator.dhl.com</v>
      </c>
      <c r="BF137" s="6" t="str">
        <f t="shared" si="5"/>
        <v>com</v>
      </c>
      <c r="BG137" s="6" t="s">
        <v>101</v>
      </c>
      <c r="BH137" s="6" t="s">
        <v>3517</v>
      </c>
      <c r="BJ137" s="6" t="s">
        <v>3518</v>
      </c>
      <c r="BK137" s="6" t="s">
        <v>3519</v>
      </c>
      <c r="BP137" s="6" t="s">
        <v>3520</v>
      </c>
      <c r="BQ137" s="6" t="s">
        <v>3521</v>
      </c>
      <c r="BR137" s="6" t="s">
        <v>105</v>
      </c>
    </row>
    <row r="138" spans="1:70" ht="45" customHeight="1" x14ac:dyDescent="0.25">
      <c r="A138" s="6">
        <v>138</v>
      </c>
      <c r="B138" s="7" t="s">
        <v>3522</v>
      </c>
      <c r="C138" s="8" t="s">
        <v>3523</v>
      </c>
      <c r="D138" s="6" t="s">
        <v>3524</v>
      </c>
      <c r="E138" s="8" t="s">
        <v>3522</v>
      </c>
      <c r="F138" s="8" t="s">
        <v>3525</v>
      </c>
      <c r="G138" s="6" t="s">
        <v>1400</v>
      </c>
      <c r="H138" s="6" t="s">
        <v>1401</v>
      </c>
      <c r="I138" s="8" t="s">
        <v>1402</v>
      </c>
      <c r="J138" s="6" t="s">
        <v>1403</v>
      </c>
      <c r="K138" s="9">
        <v>75500</v>
      </c>
      <c r="L138" s="8" t="s">
        <v>3526</v>
      </c>
      <c r="N138" s="6">
        <v>24.815741200000001</v>
      </c>
      <c r="O138" s="6">
        <v>67.042602799999997</v>
      </c>
      <c r="P138" s="6" t="s">
        <v>3527</v>
      </c>
      <c r="Q138" s="6">
        <v>1</v>
      </c>
      <c r="R138" s="6" t="s">
        <v>79</v>
      </c>
      <c r="S138" s="6">
        <v>2020</v>
      </c>
      <c r="T138" s="6">
        <v>91829</v>
      </c>
      <c r="U138" s="6" t="s">
        <v>80</v>
      </c>
      <c r="V138" s="6">
        <v>19</v>
      </c>
      <c r="W138" s="6" t="s">
        <v>167</v>
      </c>
      <c r="X138" s="6" t="s">
        <v>3528</v>
      </c>
      <c r="Y138" s="6" t="s">
        <v>3529</v>
      </c>
      <c r="Z138" s="6" t="s">
        <v>3530</v>
      </c>
      <c r="AA138" s="6" t="s">
        <v>3531</v>
      </c>
      <c r="AB138" s="6" t="s">
        <v>3532</v>
      </c>
      <c r="AC138" s="6">
        <v>541810</v>
      </c>
      <c r="AD138" s="10" t="str">
        <f>_xlfn.XLOOKUP(AC138,[1]Mapping!B:B,[1]Mapping!C:C,"")</f>
        <v>Advertising Agencies</v>
      </c>
      <c r="AG138" s="6" t="s">
        <v>1142</v>
      </c>
      <c r="AH138" s="6" t="s">
        <v>1143</v>
      </c>
      <c r="AI138" s="6" t="s">
        <v>500</v>
      </c>
      <c r="AJ138" s="6" t="s">
        <v>174</v>
      </c>
      <c r="AK138" s="6" t="s">
        <v>175</v>
      </c>
      <c r="AL138" s="6" t="s">
        <v>176</v>
      </c>
      <c r="AM138" s="6" t="s">
        <v>177</v>
      </c>
      <c r="AN138" s="6" t="s">
        <v>91</v>
      </c>
      <c r="AO138" s="6" t="s">
        <v>92</v>
      </c>
      <c r="AQ138" s="6">
        <v>7311</v>
      </c>
      <c r="AR138" s="6" t="s">
        <v>1121</v>
      </c>
      <c r="AT138" s="6">
        <v>7310</v>
      </c>
      <c r="AU138" s="6" t="s">
        <v>1123</v>
      </c>
      <c r="AV138" s="6" t="s">
        <v>1144</v>
      </c>
      <c r="AW138" s="6" t="s">
        <v>1145</v>
      </c>
      <c r="AY138" s="6" t="s">
        <v>3533</v>
      </c>
      <c r="BA138" s="6" t="s">
        <v>3534</v>
      </c>
      <c r="BB138" s="6" t="s">
        <v>3534</v>
      </c>
      <c r="BD138" s="6" t="s">
        <v>3535</v>
      </c>
      <c r="BE138" s="6" t="str">
        <f t="shared" si="4"/>
        <v>dialzero.pk</v>
      </c>
      <c r="BF138" s="6" t="str">
        <f t="shared" si="5"/>
        <v>pk</v>
      </c>
      <c r="BG138" s="6" t="s">
        <v>101</v>
      </c>
      <c r="BH138" s="6" t="s">
        <v>3536</v>
      </c>
      <c r="BJ138" s="6" t="s">
        <v>3537</v>
      </c>
      <c r="BK138" s="6" t="s">
        <v>3538</v>
      </c>
      <c r="BN138" s="6" t="s">
        <v>3539</v>
      </c>
      <c r="BP138" s="6" t="s">
        <v>3540</v>
      </c>
      <c r="BQ138" s="6" t="s">
        <v>3541</v>
      </c>
      <c r="BR138" s="6" t="s">
        <v>105</v>
      </c>
    </row>
    <row r="139" spans="1:70" ht="45" customHeight="1" x14ac:dyDescent="0.25">
      <c r="A139" s="6">
        <v>139</v>
      </c>
      <c r="B139" s="7" t="s">
        <v>3542</v>
      </c>
      <c r="C139" s="8" t="s">
        <v>3543</v>
      </c>
      <c r="D139" s="6" t="s">
        <v>3544</v>
      </c>
      <c r="E139" s="6" t="s">
        <v>3545</v>
      </c>
      <c r="F139" s="8" t="s">
        <v>3546</v>
      </c>
      <c r="G139" s="6" t="s">
        <v>73</v>
      </c>
      <c r="H139" s="6" t="s">
        <v>74</v>
      </c>
      <c r="I139" s="6"/>
      <c r="J139" s="6" t="s">
        <v>1494</v>
      </c>
      <c r="K139" s="9">
        <v>2750</v>
      </c>
      <c r="L139" s="8" t="s">
        <v>3547</v>
      </c>
      <c r="M139" s="9">
        <v>601</v>
      </c>
      <c r="N139" s="6">
        <v>55.738339799999999</v>
      </c>
      <c r="O139" s="6">
        <v>12.3984329</v>
      </c>
      <c r="P139" s="6" t="s">
        <v>3548</v>
      </c>
      <c r="Q139" s="6">
        <v>6</v>
      </c>
      <c r="R139" s="6" t="s">
        <v>79</v>
      </c>
      <c r="S139" s="6">
        <v>1997</v>
      </c>
      <c r="T139" s="6">
        <v>914499968</v>
      </c>
      <c r="U139" s="6" t="s">
        <v>167</v>
      </c>
      <c r="V139" s="6">
        <v>2700</v>
      </c>
      <c r="W139" s="6" t="s">
        <v>167</v>
      </c>
      <c r="X139" s="6" t="s">
        <v>3549</v>
      </c>
      <c r="Y139" s="6" t="s">
        <v>3550</v>
      </c>
      <c r="Z139" s="6" t="s">
        <v>3551</v>
      </c>
      <c r="AA139" s="6" t="s">
        <v>3552</v>
      </c>
      <c r="AB139" s="6" t="s">
        <v>3553</v>
      </c>
      <c r="AC139" s="6">
        <v>522320</v>
      </c>
      <c r="AD139" s="10" t="str">
        <f>_xlfn.XLOOKUP(AC139,[1]Mapping!B:B,[1]Mapping!C:C,"")</f>
        <v xml:space="preserve">Financial Transactions Processing, Reserve, and Clearinghouse Activities </v>
      </c>
      <c r="AG139" s="6" t="s">
        <v>3554</v>
      </c>
      <c r="AH139" s="6" t="s">
        <v>3555</v>
      </c>
      <c r="AI139" s="6" t="s">
        <v>3556</v>
      </c>
      <c r="AJ139" s="6" t="s">
        <v>174</v>
      </c>
      <c r="AK139" s="6" t="s">
        <v>175</v>
      </c>
      <c r="AL139" s="6" t="s">
        <v>176</v>
      </c>
      <c r="AM139" s="6" t="s">
        <v>177</v>
      </c>
      <c r="AN139" s="6" t="s">
        <v>91</v>
      </c>
      <c r="AO139" s="6" t="s">
        <v>92</v>
      </c>
      <c r="AQ139" s="6">
        <v>7389</v>
      </c>
      <c r="AR139" s="6" t="s">
        <v>3557</v>
      </c>
      <c r="AT139" s="6">
        <v>6619</v>
      </c>
      <c r="AU139" s="6" t="s">
        <v>3558</v>
      </c>
      <c r="AV139" s="6">
        <v>66.19</v>
      </c>
      <c r="AW139" s="6" t="s">
        <v>3559</v>
      </c>
      <c r="AY139" s="6" t="s">
        <v>3560</v>
      </c>
      <c r="AZ139" s="6" t="s">
        <v>3561</v>
      </c>
      <c r="BA139" s="6" t="s">
        <v>3562</v>
      </c>
      <c r="BB139" s="6" t="s">
        <v>3563</v>
      </c>
      <c r="BC139" s="6" t="s">
        <v>3564</v>
      </c>
      <c r="BD139" s="6" t="s">
        <v>3565</v>
      </c>
      <c r="BE139" s="6" t="str">
        <f t="shared" si="4"/>
        <v>nets.dk</v>
      </c>
      <c r="BF139" s="6" t="str">
        <f t="shared" si="5"/>
        <v>dk</v>
      </c>
      <c r="BG139" s="6" t="s">
        <v>101</v>
      </c>
      <c r="BH139" s="6" t="s">
        <v>3566</v>
      </c>
      <c r="BI139" s="6" t="s">
        <v>3567</v>
      </c>
      <c r="BK139" s="6" t="s">
        <v>3568</v>
      </c>
      <c r="BP139" s="6" t="s">
        <v>3569</v>
      </c>
      <c r="BQ139" s="6" t="s">
        <v>3570</v>
      </c>
      <c r="BR139" s="6" t="s">
        <v>105</v>
      </c>
    </row>
    <row r="140" spans="1:70" ht="45" customHeight="1" x14ac:dyDescent="0.25">
      <c r="A140" s="6">
        <v>140</v>
      </c>
      <c r="B140" s="7" t="s">
        <v>3571</v>
      </c>
      <c r="C140" s="8" t="s">
        <v>3572</v>
      </c>
      <c r="D140" s="6" t="s">
        <v>3573</v>
      </c>
      <c r="E140" s="6" t="s">
        <v>3574</v>
      </c>
      <c r="F140" s="8" t="s">
        <v>3575</v>
      </c>
      <c r="G140" s="6" t="s">
        <v>612</v>
      </c>
      <c r="H140" s="6" t="s">
        <v>613</v>
      </c>
      <c r="I140" s="6" t="s">
        <v>614</v>
      </c>
      <c r="J140" s="6" t="s">
        <v>2652</v>
      </c>
      <c r="K140" s="9">
        <v>40000</v>
      </c>
      <c r="L140" s="8" t="s">
        <v>3576</v>
      </c>
      <c r="M140" s="9">
        <v>10</v>
      </c>
      <c r="N140" s="6">
        <v>3.0684809999999998</v>
      </c>
      <c r="O140" s="6">
        <v>101.57053500000001</v>
      </c>
      <c r="P140" s="6" t="s">
        <v>3577</v>
      </c>
      <c r="Q140" s="6">
        <v>152</v>
      </c>
      <c r="R140" s="6" t="s">
        <v>906</v>
      </c>
      <c r="S140" s="6">
        <v>1990</v>
      </c>
      <c r="T140" s="6">
        <v>1396809088</v>
      </c>
      <c r="U140" s="6" t="s">
        <v>167</v>
      </c>
      <c r="V140" s="6">
        <v>1473</v>
      </c>
      <c r="W140" s="6" t="s">
        <v>167</v>
      </c>
      <c r="X140" s="6" t="s">
        <v>3578</v>
      </c>
      <c r="Y140" s="6" t="s">
        <v>3579</v>
      </c>
      <c r="Z140" s="6" t="s">
        <v>3580</v>
      </c>
      <c r="AA140" s="6" t="s">
        <v>3581</v>
      </c>
      <c r="AB140" s="6" t="s">
        <v>3582</v>
      </c>
      <c r="AC140" s="6">
        <v>517112</v>
      </c>
      <c r="AD140" s="10" t="str">
        <f>_xlfn.XLOOKUP(AC140,[1]Mapping!B:B,[1]Mapping!C:C,"")</f>
        <v>Wireless Telecommunications Carriers (except Satellite)</v>
      </c>
      <c r="AE140" s="6">
        <v>517111</v>
      </c>
      <c r="AF140" s="6" t="s">
        <v>2510</v>
      </c>
      <c r="AG140" s="6" t="s">
        <v>89</v>
      </c>
      <c r="AH140" s="6" t="s">
        <v>86</v>
      </c>
      <c r="AI140" s="6" t="s">
        <v>87</v>
      </c>
      <c r="AQ140" s="6" t="s">
        <v>1697</v>
      </c>
      <c r="AR140" s="6" t="s">
        <v>1698</v>
      </c>
      <c r="AS140" s="6" t="s">
        <v>3583</v>
      </c>
      <c r="AT140" s="6">
        <v>6120</v>
      </c>
      <c r="AU140" s="6" t="s">
        <v>1699</v>
      </c>
      <c r="AV140" s="6">
        <v>61.2</v>
      </c>
      <c r="AW140" s="6" t="s">
        <v>1699</v>
      </c>
      <c r="AX140" s="6" t="s">
        <v>3584</v>
      </c>
      <c r="AY140" s="6">
        <v>60162211800</v>
      </c>
      <c r="AZ140" s="6">
        <v>60162211800</v>
      </c>
      <c r="BD140" s="6" t="s">
        <v>3585</v>
      </c>
      <c r="BE140" s="6" t="str">
        <f t="shared" si="4"/>
        <v>celcomdigi.com</v>
      </c>
      <c r="BF140" s="6" t="str">
        <f t="shared" si="5"/>
        <v>com</v>
      </c>
      <c r="BG140" s="6" t="s">
        <v>101</v>
      </c>
      <c r="BH140" s="6" t="s">
        <v>3586</v>
      </c>
      <c r="BI140" s="6" t="s">
        <v>3587</v>
      </c>
      <c r="BJ140" s="6" t="s">
        <v>3588</v>
      </c>
      <c r="BK140" s="6" t="s">
        <v>3589</v>
      </c>
      <c r="BN140" s="6" t="s">
        <v>3590</v>
      </c>
      <c r="BP140" s="6" t="s">
        <v>3591</v>
      </c>
      <c r="BQ140" s="6" t="s">
        <v>3592</v>
      </c>
      <c r="BR140" s="6" t="s">
        <v>105</v>
      </c>
    </row>
    <row r="141" spans="1:70" ht="45" customHeight="1" x14ac:dyDescent="0.25">
      <c r="A141" s="6">
        <v>141</v>
      </c>
      <c r="B141" s="7" t="s">
        <v>3574</v>
      </c>
      <c r="C141" s="8" t="s">
        <v>3572</v>
      </c>
      <c r="D141" s="6" t="s">
        <v>3593</v>
      </c>
      <c r="E141" s="6" t="s">
        <v>3574</v>
      </c>
      <c r="F141" s="8" t="s">
        <v>3575</v>
      </c>
      <c r="G141" s="6" t="s">
        <v>612</v>
      </c>
      <c r="H141" s="6" t="s">
        <v>613</v>
      </c>
      <c r="I141" s="6" t="s">
        <v>614</v>
      </c>
      <c r="J141" s="6" t="s">
        <v>1763</v>
      </c>
      <c r="K141" s="9">
        <v>46200</v>
      </c>
      <c r="L141" s="8" t="s">
        <v>3594</v>
      </c>
      <c r="M141" s="9">
        <v>6</v>
      </c>
      <c r="N141" s="6">
        <v>3.1035643999999998</v>
      </c>
      <c r="O141" s="6">
        <v>101.6426295</v>
      </c>
      <c r="P141" s="6" t="s">
        <v>3577</v>
      </c>
      <c r="Q141" s="6">
        <v>152</v>
      </c>
      <c r="R141" s="6" t="s">
        <v>906</v>
      </c>
      <c r="S141" s="6">
        <v>1990</v>
      </c>
      <c r="T141" s="6">
        <v>1396809088</v>
      </c>
      <c r="U141" s="6" t="s">
        <v>167</v>
      </c>
      <c r="V141" s="6">
        <v>1473</v>
      </c>
      <c r="W141" s="6" t="s">
        <v>167</v>
      </c>
      <c r="X141" s="6" t="s">
        <v>3578</v>
      </c>
      <c r="Y141" s="6" t="s">
        <v>3579</v>
      </c>
      <c r="Z141" s="6" t="s">
        <v>3580</v>
      </c>
      <c r="AA141" s="6" t="s">
        <v>3581</v>
      </c>
      <c r="AB141" s="6" t="s">
        <v>3582</v>
      </c>
      <c r="AC141" s="6">
        <v>517112</v>
      </c>
      <c r="AD141" s="10" t="str">
        <f>_xlfn.XLOOKUP(AC141,[1]Mapping!B:B,[1]Mapping!C:C,"")</f>
        <v>Wireless Telecommunications Carriers (except Satellite)</v>
      </c>
      <c r="AE141" s="6">
        <v>517111</v>
      </c>
      <c r="AF141" s="6" t="s">
        <v>2510</v>
      </c>
      <c r="AG141" s="6" t="s">
        <v>89</v>
      </c>
      <c r="AH141" s="6" t="s">
        <v>86</v>
      </c>
      <c r="AI141" s="6" t="s">
        <v>87</v>
      </c>
      <c r="AQ141" s="6" t="s">
        <v>1697</v>
      </c>
      <c r="AR141" s="6" t="s">
        <v>1698</v>
      </c>
      <c r="AS141" s="6" t="s">
        <v>3583</v>
      </c>
      <c r="AT141" s="6">
        <v>6120</v>
      </c>
      <c r="AU141" s="6" t="s">
        <v>1699</v>
      </c>
      <c r="AV141" s="6">
        <v>61.2</v>
      </c>
      <c r="AW141" s="6" t="s">
        <v>1699</v>
      </c>
      <c r="AX141" s="6" t="s">
        <v>3584</v>
      </c>
      <c r="AY141" s="6" t="s">
        <v>3595</v>
      </c>
      <c r="AZ141" s="6">
        <v>60162211800</v>
      </c>
      <c r="BD141" s="6" t="s">
        <v>3585</v>
      </c>
      <c r="BE141" s="6" t="str">
        <f t="shared" si="4"/>
        <v>celcomdigi.com</v>
      </c>
      <c r="BF141" s="6" t="str">
        <f t="shared" si="5"/>
        <v>com</v>
      </c>
      <c r="BG141" s="6" t="s">
        <v>101</v>
      </c>
      <c r="BH141" s="6" t="s">
        <v>3586</v>
      </c>
      <c r="BI141" s="6" t="s">
        <v>3587</v>
      </c>
      <c r="BJ141" s="6" t="s">
        <v>3588</v>
      </c>
      <c r="BK141" s="6" t="s">
        <v>3589</v>
      </c>
      <c r="BN141" s="6" t="s">
        <v>3590</v>
      </c>
      <c r="BP141" s="6" t="s">
        <v>3591</v>
      </c>
      <c r="BQ141" s="6" t="s">
        <v>3592</v>
      </c>
      <c r="BR141" s="6" t="s">
        <v>105</v>
      </c>
    </row>
    <row r="142" spans="1:70" ht="45" customHeight="1" x14ac:dyDescent="0.25">
      <c r="A142" s="6">
        <v>142</v>
      </c>
      <c r="B142" s="7" t="s">
        <v>3596</v>
      </c>
      <c r="C142" s="8" t="s">
        <v>3597</v>
      </c>
      <c r="D142" s="6" t="s">
        <v>3598</v>
      </c>
      <c r="E142" s="8" t="s">
        <v>3599</v>
      </c>
      <c r="F142" s="8" t="s">
        <v>3600</v>
      </c>
      <c r="G142" s="6" t="s">
        <v>73</v>
      </c>
      <c r="H142" s="6" t="s">
        <v>74</v>
      </c>
      <c r="J142" s="6" t="s">
        <v>76</v>
      </c>
      <c r="K142" s="9">
        <v>9000</v>
      </c>
      <c r="L142" s="8" t="s">
        <v>3601</v>
      </c>
      <c r="M142" s="9">
        <v>2</v>
      </c>
      <c r="N142" s="6">
        <v>57.0360692</v>
      </c>
      <c r="O142" s="6">
        <v>9.7891276999999999</v>
      </c>
      <c r="P142" s="6" t="s">
        <v>3602</v>
      </c>
      <c r="Q142" s="6">
        <v>1</v>
      </c>
      <c r="R142" s="6" t="s">
        <v>79</v>
      </c>
      <c r="S142" s="6">
        <v>1999</v>
      </c>
      <c r="T142" s="6">
        <v>4780660</v>
      </c>
      <c r="U142" s="6" t="s">
        <v>80</v>
      </c>
      <c r="V142" s="6">
        <v>35</v>
      </c>
      <c r="W142" s="6" t="s">
        <v>80</v>
      </c>
      <c r="X142" s="6" t="s">
        <v>3603</v>
      </c>
      <c r="Y142" s="6" t="s">
        <v>3604</v>
      </c>
      <c r="Z142" s="6" t="s">
        <v>3605</v>
      </c>
      <c r="AA142" s="6" t="s">
        <v>3606</v>
      </c>
      <c r="AB142" s="6" t="s">
        <v>3607</v>
      </c>
      <c r="AC142" s="6">
        <v>711130</v>
      </c>
      <c r="AD142" s="10" t="str">
        <f>_xlfn.XLOOKUP(AC142,[1]Mapping!B:B,[1]Mapping!C:C,"")</f>
        <v xml:space="preserve">Musical Groups and Artists </v>
      </c>
      <c r="AG142" s="6" t="s">
        <v>3608</v>
      </c>
      <c r="AH142" s="6" t="s">
        <v>3609</v>
      </c>
      <c r="AI142" s="6" t="s">
        <v>3610</v>
      </c>
      <c r="AJ142" s="6" t="s">
        <v>1413</v>
      </c>
      <c r="AK142" s="6" t="s">
        <v>1414</v>
      </c>
      <c r="AL142" s="6" t="s">
        <v>502</v>
      </c>
      <c r="AM142" s="6" t="s">
        <v>503</v>
      </c>
      <c r="AN142" s="6" t="s">
        <v>297</v>
      </c>
      <c r="AO142" s="6" t="s">
        <v>298</v>
      </c>
      <c r="AQ142" s="6">
        <v>7929</v>
      </c>
      <c r="AR142" s="6" t="s">
        <v>3611</v>
      </c>
      <c r="AT142" s="6">
        <v>9000</v>
      </c>
      <c r="AU142" s="6" t="s">
        <v>3612</v>
      </c>
      <c r="AV142" s="6" t="s">
        <v>3613</v>
      </c>
      <c r="AW142" s="6" t="s">
        <v>3614</v>
      </c>
      <c r="AY142" s="6" t="s">
        <v>3615</v>
      </c>
      <c r="AZ142" s="6" t="s">
        <v>3616</v>
      </c>
      <c r="BD142" s="6" t="s">
        <v>3617</v>
      </c>
      <c r="BE142" s="6" t="str">
        <f t="shared" si="4"/>
        <v>aalbra.dk</v>
      </c>
      <c r="BF142" s="6" t="str">
        <f t="shared" si="5"/>
        <v>dk</v>
      </c>
      <c r="BG142" s="6" t="s">
        <v>123</v>
      </c>
      <c r="BH142" s="6" t="s">
        <v>3618</v>
      </c>
      <c r="BP142" s="6" t="s">
        <v>3619</v>
      </c>
      <c r="BQ142" s="6" t="s">
        <v>3620</v>
      </c>
      <c r="BR142" s="6" t="s">
        <v>105</v>
      </c>
    </row>
    <row r="143" spans="1:70" ht="45" customHeight="1" x14ac:dyDescent="0.25">
      <c r="A143" s="6">
        <v>143</v>
      </c>
      <c r="B143" s="7" t="s">
        <v>3621</v>
      </c>
      <c r="C143" s="8" t="s">
        <v>3622</v>
      </c>
      <c r="D143" s="6" t="s">
        <v>3623</v>
      </c>
      <c r="E143" s="6" t="s">
        <v>3624</v>
      </c>
      <c r="F143" s="8" t="s">
        <v>3625</v>
      </c>
      <c r="G143" s="6" t="s">
        <v>243</v>
      </c>
      <c r="H143" s="6" t="s">
        <v>244</v>
      </c>
      <c r="I143" s="6" t="s">
        <v>245</v>
      </c>
      <c r="J143" s="6" t="s">
        <v>246</v>
      </c>
      <c r="K143" s="9">
        <v>240</v>
      </c>
      <c r="L143" s="8" t="s">
        <v>3626</v>
      </c>
      <c r="M143" s="9">
        <v>4</v>
      </c>
      <c r="N143" s="6">
        <v>60.207511300000007</v>
      </c>
      <c r="O143" s="6">
        <v>24.918791899999999</v>
      </c>
      <c r="P143" s="6" t="s">
        <v>3627</v>
      </c>
      <c r="Q143" s="6">
        <v>1</v>
      </c>
      <c r="R143" s="6" t="s">
        <v>79</v>
      </c>
      <c r="S143" s="6">
        <v>2000</v>
      </c>
      <c r="T143" s="6">
        <v>11813433</v>
      </c>
      <c r="U143" s="6" t="s">
        <v>80</v>
      </c>
      <c r="V143" s="6">
        <v>1427</v>
      </c>
      <c r="W143" s="6" t="s">
        <v>80</v>
      </c>
      <c r="X143" s="6" t="s">
        <v>3628</v>
      </c>
      <c r="Y143" s="6" t="s">
        <v>3629</v>
      </c>
      <c r="Z143" s="6" t="s">
        <v>3630</v>
      </c>
      <c r="AA143" s="6" t="s">
        <v>3631</v>
      </c>
      <c r="AC143" s="6">
        <v>621511</v>
      </c>
      <c r="AD143" s="10" t="str">
        <f>_xlfn.XLOOKUP(AC143,[1]Mapping!B:B,[1]Mapping!C:C,"")</f>
        <v xml:space="preserve">Medical Laboratories </v>
      </c>
      <c r="AG143" s="6" t="s">
        <v>3632</v>
      </c>
      <c r="AH143" s="6" t="s">
        <v>3147</v>
      </c>
      <c r="AI143" s="6" t="s">
        <v>1164</v>
      </c>
      <c r="AQ143" s="6">
        <v>8071</v>
      </c>
      <c r="AR143" s="6" t="s">
        <v>3633</v>
      </c>
      <c r="AT143" s="6">
        <v>8690</v>
      </c>
      <c r="AU143" s="6" t="s">
        <v>1166</v>
      </c>
      <c r="AV143" s="6">
        <v>86.9</v>
      </c>
      <c r="AW143" s="6" t="s">
        <v>1166</v>
      </c>
      <c r="AY143" s="6" t="s">
        <v>3634</v>
      </c>
      <c r="BA143" s="6" t="s">
        <v>3635</v>
      </c>
      <c r="BB143" s="6" t="s">
        <v>3635</v>
      </c>
      <c r="BC143" s="6" t="s">
        <v>3636</v>
      </c>
      <c r="BD143" s="6" t="s">
        <v>3637</v>
      </c>
      <c r="BE143" s="6" t="str">
        <f t="shared" si="4"/>
        <v>dna.fi</v>
      </c>
      <c r="BF143" s="6" t="str">
        <f t="shared" si="5"/>
        <v>fi</v>
      </c>
      <c r="BG143" s="6" t="s">
        <v>3638</v>
      </c>
      <c r="BH143" s="6" t="s">
        <v>3639</v>
      </c>
      <c r="BJ143" s="6" t="s">
        <v>3640</v>
      </c>
      <c r="BK143" s="6" t="s">
        <v>3641</v>
      </c>
      <c r="BN143" s="6" t="s">
        <v>3642</v>
      </c>
      <c r="BQ143" s="6" t="s">
        <v>3643</v>
      </c>
      <c r="BR143" s="6" t="s">
        <v>105</v>
      </c>
    </row>
    <row r="144" spans="1:70" ht="45" customHeight="1" x14ac:dyDescent="0.25">
      <c r="A144" s="6">
        <v>144</v>
      </c>
      <c r="B144" s="7" t="s">
        <v>3644</v>
      </c>
      <c r="C144" s="8" t="s">
        <v>3645</v>
      </c>
      <c r="D144" s="6" t="s">
        <v>3646</v>
      </c>
      <c r="E144" s="6" t="s">
        <v>3647</v>
      </c>
      <c r="F144" s="8" t="s">
        <v>3648</v>
      </c>
      <c r="G144" s="6" t="s">
        <v>130</v>
      </c>
      <c r="H144" s="6" t="s">
        <v>131</v>
      </c>
      <c r="I144" s="6" t="s">
        <v>132</v>
      </c>
      <c r="J144" s="6" t="s">
        <v>132</v>
      </c>
      <c r="K144" s="9">
        <v>159</v>
      </c>
      <c r="L144" s="8" t="s">
        <v>3649</v>
      </c>
      <c r="M144" s="9">
        <v>27</v>
      </c>
      <c r="N144" s="6">
        <v>59.913685899999997</v>
      </c>
      <c r="O144" s="6">
        <v>10.740137499999999</v>
      </c>
      <c r="P144" s="6" t="s">
        <v>3650</v>
      </c>
      <c r="Q144" s="6">
        <v>3</v>
      </c>
      <c r="R144" s="6" t="s">
        <v>79</v>
      </c>
      <c r="S144" s="6">
        <v>1966</v>
      </c>
      <c r="T144" s="6">
        <v>98011040</v>
      </c>
      <c r="U144" s="6" t="s">
        <v>80</v>
      </c>
      <c r="V144" s="6">
        <v>160</v>
      </c>
      <c r="W144" s="6" t="s">
        <v>167</v>
      </c>
      <c r="X144" s="6" t="s">
        <v>3651</v>
      </c>
      <c r="Y144" s="6" t="s">
        <v>3652</v>
      </c>
      <c r="Z144" s="6" t="s">
        <v>3653</v>
      </c>
      <c r="AA144" s="6" t="s">
        <v>3654</v>
      </c>
      <c r="AB144" s="6" t="s">
        <v>3655</v>
      </c>
      <c r="AC144" s="6">
        <v>523999</v>
      </c>
      <c r="AD144" s="10" t="str">
        <f>_xlfn.XLOOKUP(AC144,[1]Mapping!B:B,[1]Mapping!C:C,"")</f>
        <v xml:space="preserve">Miscellaneous Financial Investment Activities </v>
      </c>
      <c r="AE144" s="6">
        <v>525910</v>
      </c>
      <c r="AF144" s="6" t="s">
        <v>1577</v>
      </c>
      <c r="AG144" s="6" t="s">
        <v>3656</v>
      </c>
      <c r="AH144" s="6" t="s">
        <v>1579</v>
      </c>
      <c r="AI144" s="6" t="s">
        <v>119</v>
      </c>
      <c r="AJ144" s="6" t="s">
        <v>1580</v>
      </c>
      <c r="AK144" s="6" t="s">
        <v>1581</v>
      </c>
      <c r="AL144" s="6" t="s">
        <v>1582</v>
      </c>
      <c r="AM144" s="6" t="s">
        <v>1583</v>
      </c>
      <c r="AN144" s="6" t="s">
        <v>764</v>
      </c>
      <c r="AO144" s="6" t="s">
        <v>765</v>
      </c>
      <c r="AQ144" s="6" t="s">
        <v>3657</v>
      </c>
      <c r="AR144" s="6" t="s">
        <v>3658</v>
      </c>
      <c r="AT144" s="6" t="s">
        <v>3659</v>
      </c>
      <c r="AU144" s="6" t="s">
        <v>3660</v>
      </c>
      <c r="AV144" s="6" t="s">
        <v>3661</v>
      </c>
      <c r="AW144" s="6" t="s">
        <v>3662</v>
      </c>
      <c r="AY144" s="6" t="s">
        <v>3663</v>
      </c>
      <c r="AZ144" s="6" t="s">
        <v>3664</v>
      </c>
      <c r="BA144" s="6" t="s">
        <v>3665</v>
      </c>
      <c r="BD144" s="6" t="s">
        <v>3666</v>
      </c>
      <c r="BE144" s="6" t="str">
        <f t="shared" si="4"/>
        <v>dnb.no</v>
      </c>
      <c r="BF144" s="6" t="str">
        <f t="shared" si="5"/>
        <v>no</v>
      </c>
      <c r="BG144" s="6" t="s">
        <v>101</v>
      </c>
      <c r="BH144" s="6" t="s">
        <v>3667</v>
      </c>
      <c r="BI144" s="6" t="s">
        <v>3668</v>
      </c>
      <c r="BK144" s="6" t="s">
        <v>3669</v>
      </c>
      <c r="BN144" s="6" t="s">
        <v>3670</v>
      </c>
      <c r="BP144" s="6" t="s">
        <v>3671</v>
      </c>
      <c r="BQ144" s="6" t="s">
        <v>3672</v>
      </c>
      <c r="BR144" s="6" t="s">
        <v>105</v>
      </c>
    </row>
    <row r="145" spans="1:70" ht="45" customHeight="1" x14ac:dyDescent="0.25">
      <c r="A145" s="6">
        <v>145</v>
      </c>
      <c r="B145" s="7" t="s">
        <v>3673</v>
      </c>
      <c r="C145" s="8" t="s">
        <v>3674</v>
      </c>
      <c r="D145" s="6" t="s">
        <v>3675</v>
      </c>
      <c r="E145" s="8" t="s">
        <v>3676</v>
      </c>
      <c r="F145" s="8" t="s">
        <v>3677</v>
      </c>
      <c r="G145" s="6" t="s">
        <v>73</v>
      </c>
      <c r="H145" s="6" t="s">
        <v>74</v>
      </c>
      <c r="J145" s="6" t="s">
        <v>1802</v>
      </c>
      <c r="K145" s="9">
        <v>2900</v>
      </c>
      <c r="L145" s="8" t="s">
        <v>3678</v>
      </c>
      <c r="M145" s="9">
        <v>8</v>
      </c>
      <c r="N145" s="6">
        <v>55.728190599999998</v>
      </c>
      <c r="O145" s="6">
        <v>12.5777983</v>
      </c>
      <c r="P145" s="6" t="s">
        <v>3679</v>
      </c>
      <c r="Q145" s="6">
        <v>1</v>
      </c>
      <c r="R145" s="6" t="s">
        <v>79</v>
      </c>
      <c r="S145" s="6">
        <v>1988</v>
      </c>
      <c r="T145" s="6">
        <v>32691556</v>
      </c>
      <c r="U145" s="6" t="s">
        <v>80</v>
      </c>
      <c r="V145" s="6">
        <v>158</v>
      </c>
      <c r="W145" s="6" t="s">
        <v>80</v>
      </c>
      <c r="X145" s="6" t="s">
        <v>3680</v>
      </c>
      <c r="Y145" s="6" t="s">
        <v>3681</v>
      </c>
      <c r="Z145" s="6" t="s">
        <v>3682</v>
      </c>
      <c r="AA145" s="6" t="s">
        <v>3683</v>
      </c>
      <c r="AB145" s="6" t="s">
        <v>3684</v>
      </c>
      <c r="AC145" s="6">
        <v>813920</v>
      </c>
      <c r="AD145" s="10" t="str">
        <f>_xlfn.XLOOKUP(AC145,[1]Mapping!B:B,[1]Mapping!C:C,"")</f>
        <v xml:space="preserve">Professional Organizations </v>
      </c>
      <c r="AG145" s="6" t="s">
        <v>3685</v>
      </c>
      <c r="AH145" s="6" t="s">
        <v>3686</v>
      </c>
      <c r="AI145" s="6" t="s">
        <v>3687</v>
      </c>
      <c r="AJ145" s="6" t="s">
        <v>2582</v>
      </c>
      <c r="AK145" s="6" t="s">
        <v>2583</v>
      </c>
      <c r="AL145" s="6" t="s">
        <v>2582</v>
      </c>
      <c r="AM145" s="6" t="s">
        <v>2584</v>
      </c>
      <c r="AN145" s="6" t="s">
        <v>2585</v>
      </c>
      <c r="AO145" s="6" t="s">
        <v>2586</v>
      </c>
      <c r="AQ145" s="6">
        <v>8621</v>
      </c>
      <c r="AR145" s="6" t="s">
        <v>3688</v>
      </c>
      <c r="AS145" s="6" t="s">
        <v>3689</v>
      </c>
      <c r="AT145" s="6">
        <v>9412</v>
      </c>
      <c r="AU145" s="6" t="s">
        <v>3690</v>
      </c>
      <c r="AV145" s="6">
        <v>94.12</v>
      </c>
      <c r="AW145" s="6" t="s">
        <v>3691</v>
      </c>
      <c r="AX145" s="6" t="s">
        <v>3692</v>
      </c>
      <c r="AY145" s="6" t="s">
        <v>3693</v>
      </c>
      <c r="BA145" s="6" t="s">
        <v>3694</v>
      </c>
      <c r="BD145" s="6" t="s">
        <v>3695</v>
      </c>
      <c r="BE145" s="6" t="str">
        <f t="shared" si="4"/>
        <v>dnv.com</v>
      </c>
      <c r="BF145" s="6" t="str">
        <f t="shared" si="5"/>
        <v>com</v>
      </c>
      <c r="BG145" s="6" t="s">
        <v>101</v>
      </c>
      <c r="BH145" s="6" t="s">
        <v>3696</v>
      </c>
      <c r="BK145" s="6" t="s">
        <v>3697</v>
      </c>
      <c r="BP145" s="6" t="s">
        <v>3698</v>
      </c>
      <c r="BQ145" s="6" t="s">
        <v>3699</v>
      </c>
      <c r="BR145" s="6" t="s">
        <v>105</v>
      </c>
    </row>
    <row r="146" spans="1:70" ht="45" customHeight="1" x14ac:dyDescent="0.25">
      <c r="A146" s="6">
        <v>146</v>
      </c>
      <c r="B146" s="7" t="s">
        <v>3700</v>
      </c>
      <c r="C146" s="8" t="s">
        <v>3701</v>
      </c>
      <c r="D146" s="6" t="s">
        <v>3702</v>
      </c>
      <c r="E146" s="8" t="s">
        <v>3703</v>
      </c>
      <c r="F146" s="8" t="s">
        <v>3704</v>
      </c>
      <c r="G146" s="6" t="s">
        <v>1324</v>
      </c>
      <c r="H146" s="6" t="s">
        <v>1325</v>
      </c>
      <c r="I146" s="8" t="s">
        <v>1326</v>
      </c>
      <c r="J146" s="6" t="s">
        <v>1327</v>
      </c>
      <c r="K146" s="9">
        <v>10110</v>
      </c>
      <c r="L146" s="8" t="s">
        <v>3705</v>
      </c>
      <c r="M146" s="9">
        <v>88</v>
      </c>
      <c r="N146" s="6">
        <v>13.7374472</v>
      </c>
      <c r="O146" s="6">
        <v>100.56042429999999</v>
      </c>
      <c r="P146" s="6" t="s">
        <v>3706</v>
      </c>
      <c r="Q146" s="6">
        <v>1</v>
      </c>
      <c r="R146" s="6" t="s">
        <v>79</v>
      </c>
      <c r="T146" s="6"/>
      <c r="X146" s="6" t="s">
        <v>3707</v>
      </c>
      <c r="Y146" s="6" t="s">
        <v>3708</v>
      </c>
      <c r="Z146" s="6" t="s">
        <v>3709</v>
      </c>
      <c r="AC146" s="6">
        <v>517810</v>
      </c>
      <c r="AD146" s="10" t="str">
        <f>_xlfn.XLOOKUP(AC146,[1]Mapping!B:B,[1]Mapping!C:C,"")</f>
        <v xml:space="preserve">All Other Telecommunications </v>
      </c>
      <c r="AG146" s="6" t="s">
        <v>89</v>
      </c>
      <c r="AH146" s="6" t="s">
        <v>86</v>
      </c>
      <c r="AI146" s="6" t="s">
        <v>87</v>
      </c>
      <c r="AQ146" s="6" t="s">
        <v>1384</v>
      </c>
      <c r="AR146" s="6" t="s">
        <v>1385</v>
      </c>
      <c r="AT146" s="6">
        <v>6190</v>
      </c>
      <c r="AU146" s="6" t="s">
        <v>96</v>
      </c>
      <c r="AV146" s="6">
        <v>61.9</v>
      </c>
      <c r="AW146" s="6" t="s">
        <v>96</v>
      </c>
      <c r="AY146" s="6">
        <v>66629825513</v>
      </c>
      <c r="AZ146" s="6">
        <v>66629825513</v>
      </c>
      <c r="BD146" s="6" t="s">
        <v>3710</v>
      </c>
      <c r="BE146" s="6" t="str">
        <f t="shared" si="4"/>
        <v>dtac.co.th</v>
      </c>
      <c r="BF146" s="6" t="str">
        <f t="shared" si="5"/>
        <v>th</v>
      </c>
      <c r="BG146" s="6" t="s">
        <v>1851</v>
      </c>
      <c r="BH146" s="6" t="s">
        <v>3711</v>
      </c>
      <c r="BI146" s="6" t="s">
        <v>3712</v>
      </c>
      <c r="BJ146" s="6" t="s">
        <v>3713</v>
      </c>
      <c r="BK146" s="6" t="s">
        <v>3714</v>
      </c>
      <c r="BQ146" s="6" t="s">
        <v>3715</v>
      </c>
      <c r="BR146" s="6" t="s">
        <v>105</v>
      </c>
    </row>
    <row r="147" spans="1:70" ht="45" customHeight="1" x14ac:dyDescent="0.25">
      <c r="A147" s="6">
        <v>147</v>
      </c>
      <c r="B147" s="7" t="s">
        <v>3716</v>
      </c>
      <c r="C147" s="8" t="s">
        <v>3717</v>
      </c>
      <c r="D147" s="6" t="s">
        <v>3718</v>
      </c>
      <c r="E147" s="6" t="s">
        <v>3719</v>
      </c>
      <c r="F147" s="8" t="s">
        <v>3720</v>
      </c>
      <c r="G147" s="6" t="s">
        <v>73</v>
      </c>
      <c r="H147" s="6" t="s">
        <v>74</v>
      </c>
      <c r="I147" s="6"/>
      <c r="J147" s="6" t="s">
        <v>2091</v>
      </c>
      <c r="K147" s="9">
        <v>2600</v>
      </c>
      <c r="L147" s="8" t="s">
        <v>3721</v>
      </c>
      <c r="M147" s="9">
        <v>11</v>
      </c>
      <c r="N147" s="6">
        <v>55.680919099999997</v>
      </c>
      <c r="O147" s="6">
        <v>12.3897227</v>
      </c>
      <c r="P147" s="6" t="s">
        <v>3722</v>
      </c>
      <c r="Q147" s="6">
        <v>3</v>
      </c>
      <c r="R147" s="6" t="s">
        <v>79</v>
      </c>
      <c r="S147" s="6">
        <v>1997</v>
      </c>
      <c r="T147" s="6">
        <v>12000000</v>
      </c>
      <c r="U147" s="6" t="s">
        <v>167</v>
      </c>
      <c r="V147" s="6">
        <v>70</v>
      </c>
      <c r="W147" s="6" t="s">
        <v>167</v>
      </c>
      <c r="X147" s="6" t="s">
        <v>3723</v>
      </c>
      <c r="Y147" s="6" t="s">
        <v>3724</v>
      </c>
      <c r="Z147" s="6" t="s">
        <v>3725</v>
      </c>
      <c r="AA147" s="6" t="s">
        <v>3726</v>
      </c>
      <c r="AB147" s="6" t="s">
        <v>3727</v>
      </c>
      <c r="AC147" s="6">
        <v>541512</v>
      </c>
      <c r="AD147" s="10" t="str">
        <f>_xlfn.XLOOKUP(AC147,[1]Mapping!B:B,[1]Mapping!C:C,"")</f>
        <v xml:space="preserve">Computer Systems Design Services </v>
      </c>
      <c r="AE147" s="6" t="s">
        <v>3728</v>
      </c>
      <c r="AF147" s="6" t="s">
        <v>3729</v>
      </c>
      <c r="AG147" s="6" t="s">
        <v>3730</v>
      </c>
      <c r="AH147" s="6" t="s">
        <v>3731</v>
      </c>
      <c r="AI147" s="6" t="s">
        <v>499</v>
      </c>
      <c r="AJ147" s="6" t="s">
        <v>174</v>
      </c>
      <c r="AK147" s="6" t="s">
        <v>175</v>
      </c>
      <c r="AL147" s="6" t="s">
        <v>176</v>
      </c>
      <c r="AM147" s="6" t="s">
        <v>177</v>
      </c>
      <c r="AN147" s="6" t="s">
        <v>91</v>
      </c>
      <c r="AO147" s="6" t="s">
        <v>92</v>
      </c>
      <c r="AQ147" s="6">
        <v>7379</v>
      </c>
      <c r="AR147" s="6" t="s">
        <v>3732</v>
      </c>
      <c r="AS147" s="6" t="s">
        <v>3733</v>
      </c>
      <c r="AT147" s="6">
        <v>6202</v>
      </c>
      <c r="AU147" s="6" t="s">
        <v>2821</v>
      </c>
      <c r="AV147" s="6">
        <v>62.02</v>
      </c>
      <c r="AW147" s="6" t="s">
        <v>2822</v>
      </c>
      <c r="AX147" s="6" t="s">
        <v>3734</v>
      </c>
      <c r="AY147" s="6" t="s">
        <v>3735</v>
      </c>
      <c r="AZ147" s="6" t="s">
        <v>3736</v>
      </c>
      <c r="BA147" s="6" t="s">
        <v>3737</v>
      </c>
      <c r="BB147" s="6" t="s">
        <v>3738</v>
      </c>
      <c r="BC147" s="6" t="s">
        <v>3739</v>
      </c>
      <c r="BD147" s="6" t="s">
        <v>3740</v>
      </c>
      <c r="BE147" s="6" t="str">
        <f t="shared" si="4"/>
        <v>dubex.dk</v>
      </c>
      <c r="BF147" s="6" t="str">
        <f t="shared" si="5"/>
        <v>dk</v>
      </c>
      <c r="BG147" s="6" t="s">
        <v>123</v>
      </c>
      <c r="BH147" s="6" t="s">
        <v>3741</v>
      </c>
      <c r="BI147" s="6" t="s">
        <v>3742</v>
      </c>
      <c r="BK147" s="6" t="s">
        <v>3743</v>
      </c>
      <c r="BP147" s="6" t="s">
        <v>3744</v>
      </c>
      <c r="BQ147" s="6" t="s">
        <v>3745</v>
      </c>
      <c r="BR147" s="6" t="s">
        <v>105</v>
      </c>
    </row>
    <row r="148" spans="1:70" ht="45" customHeight="1" x14ac:dyDescent="0.25">
      <c r="A148" s="6">
        <v>148</v>
      </c>
      <c r="B148" s="7" t="s">
        <v>3746</v>
      </c>
      <c r="C148" s="8" t="s">
        <v>3747</v>
      </c>
      <c r="D148" s="6" t="s">
        <v>3748</v>
      </c>
      <c r="E148" s="6" t="s">
        <v>3749</v>
      </c>
      <c r="F148" s="8" t="s">
        <v>3750</v>
      </c>
      <c r="G148" s="6" t="s">
        <v>130</v>
      </c>
      <c r="H148" s="6" t="s">
        <v>131</v>
      </c>
      <c r="I148" s="6" t="s">
        <v>3751</v>
      </c>
      <c r="J148" s="6" t="s">
        <v>3752</v>
      </c>
      <c r="K148" s="9">
        <v>5147</v>
      </c>
      <c r="L148" s="8" t="s">
        <v>3753</v>
      </c>
      <c r="M148" s="9">
        <v>38</v>
      </c>
      <c r="N148" s="6">
        <v>60.351323000000001</v>
      </c>
      <c r="O148" s="6">
        <v>5.2892156999999997</v>
      </c>
      <c r="P148" s="6" t="s">
        <v>3754</v>
      </c>
      <c r="Q148" s="6">
        <v>7</v>
      </c>
      <c r="R148" s="6" t="s">
        <v>79</v>
      </c>
      <c r="S148" s="6">
        <v>1996</v>
      </c>
      <c r="T148" s="6">
        <v>459184288</v>
      </c>
      <c r="U148" s="6" t="s">
        <v>167</v>
      </c>
      <c r="V148" s="6">
        <v>195</v>
      </c>
      <c r="W148" s="6" t="s">
        <v>167</v>
      </c>
      <c r="X148" s="6" t="s">
        <v>3755</v>
      </c>
      <c r="Y148" s="6" t="s">
        <v>3756</v>
      </c>
      <c r="Z148" s="6" t="s">
        <v>3757</v>
      </c>
      <c r="AA148" s="6" t="s">
        <v>3758</v>
      </c>
      <c r="AB148" s="6" t="s">
        <v>3759</v>
      </c>
      <c r="AC148" s="6">
        <v>221115</v>
      </c>
      <c r="AD148" s="10" t="str">
        <f>_xlfn.XLOOKUP(AC148,[1]Mapping!B:B,[1]Mapping!C:C,"")</f>
        <v xml:space="preserve">Wind Electric Power Generation </v>
      </c>
      <c r="AE148" s="6">
        <v>221118</v>
      </c>
      <c r="AF148" s="6" t="s">
        <v>213</v>
      </c>
      <c r="AG148" s="6" t="s">
        <v>3760</v>
      </c>
      <c r="AH148" s="6" t="s">
        <v>3761</v>
      </c>
      <c r="AI148" s="6" t="s">
        <v>3762</v>
      </c>
      <c r="AJ148" s="6" t="s">
        <v>3482</v>
      </c>
      <c r="AK148" s="6" t="s">
        <v>3483</v>
      </c>
      <c r="AL148" s="6" t="s">
        <v>3484</v>
      </c>
      <c r="AM148" s="6" t="s">
        <v>3485</v>
      </c>
      <c r="AN148" s="6" t="s">
        <v>655</v>
      </c>
      <c r="AO148" s="6" t="s">
        <v>657</v>
      </c>
      <c r="AQ148" s="6" t="s">
        <v>3763</v>
      </c>
      <c r="AR148" s="6" t="s">
        <v>3764</v>
      </c>
      <c r="AS148" s="6" t="s">
        <v>3765</v>
      </c>
      <c r="AT148" s="6">
        <v>3510</v>
      </c>
      <c r="AU148" s="6" t="s">
        <v>3766</v>
      </c>
      <c r="AV148" s="6" t="s">
        <v>3767</v>
      </c>
      <c r="AW148" s="6" t="s">
        <v>3768</v>
      </c>
      <c r="AX148" s="6" t="s">
        <v>3769</v>
      </c>
      <c r="AY148" s="6" t="s">
        <v>3770</v>
      </c>
      <c r="AZ148" s="6" t="s">
        <v>3771</v>
      </c>
      <c r="BA148" s="6" t="s">
        <v>3772</v>
      </c>
      <c r="BD148" s="6" t="s">
        <v>3773</v>
      </c>
      <c r="BE148" s="6" t="str">
        <f t="shared" si="4"/>
        <v>fjordkraft.no</v>
      </c>
      <c r="BF148" s="6" t="str">
        <f t="shared" si="5"/>
        <v>no</v>
      </c>
      <c r="BG148" s="6" t="s">
        <v>150</v>
      </c>
      <c r="BH148" s="6" t="s">
        <v>3774</v>
      </c>
      <c r="BI148" s="6" t="s">
        <v>3775</v>
      </c>
      <c r="BJ148" s="6" t="s">
        <v>3776</v>
      </c>
      <c r="BK148" s="6" t="s">
        <v>3777</v>
      </c>
      <c r="BN148" s="6" t="s">
        <v>3778</v>
      </c>
      <c r="BP148" s="6" t="s">
        <v>3779</v>
      </c>
      <c r="BQ148" s="6" t="s">
        <v>3780</v>
      </c>
      <c r="BR148" s="6" t="s">
        <v>105</v>
      </c>
    </row>
    <row r="149" spans="1:70" ht="45" customHeight="1" x14ac:dyDescent="0.25">
      <c r="A149" s="6">
        <v>149</v>
      </c>
      <c r="B149" s="7" t="s">
        <v>548</v>
      </c>
      <c r="C149" s="8" t="s">
        <v>3781</v>
      </c>
      <c r="D149" s="6" t="s">
        <v>548</v>
      </c>
      <c r="E149" s="8" t="s">
        <v>548</v>
      </c>
      <c r="F149" s="8" t="s">
        <v>548</v>
      </c>
      <c r="G149" s="6" t="s">
        <v>160</v>
      </c>
      <c r="H149" s="6" t="s">
        <v>161</v>
      </c>
      <c r="I149" s="6" t="s">
        <v>281</v>
      </c>
      <c r="J149" s="6" t="s">
        <v>1350</v>
      </c>
      <c r="K149" s="9" t="s">
        <v>3782</v>
      </c>
      <c r="L149" s="8" t="s">
        <v>3783</v>
      </c>
      <c r="M149" s="9">
        <v>12</v>
      </c>
      <c r="N149" s="6">
        <v>59.376444300000003</v>
      </c>
      <c r="O149" s="6">
        <v>18.013263500000001</v>
      </c>
      <c r="P149" s="6" t="s">
        <v>3784</v>
      </c>
      <c r="Q149" s="6">
        <v>1</v>
      </c>
      <c r="R149" s="6" t="s">
        <v>79</v>
      </c>
      <c r="S149" s="6">
        <v>2012</v>
      </c>
      <c r="V149" s="15">
        <v>20</v>
      </c>
      <c r="X149" s="6" t="s">
        <v>3785</v>
      </c>
      <c r="Y149" s="6" t="s">
        <v>3786</v>
      </c>
      <c r="AC149" s="10">
        <v>541512</v>
      </c>
      <c r="AD149" s="10" t="str">
        <f>_xlfn.XLOOKUP(AC149,[1]Mapping!B:B,[1]Mapping!C:C,"")</f>
        <v xml:space="preserve">Computer Systems Design Services </v>
      </c>
      <c r="AE149" s="6">
        <v>518210</v>
      </c>
      <c r="AF149" s="6" t="s">
        <v>3787</v>
      </c>
      <c r="AG149" s="6" t="s">
        <v>3788</v>
      </c>
      <c r="AH149" s="6" t="s">
        <v>3789</v>
      </c>
      <c r="AI149" s="6" t="s">
        <v>1290</v>
      </c>
      <c r="AJ149" s="6" t="s">
        <v>504</v>
      </c>
      <c r="AK149" s="6">
        <v>7371</v>
      </c>
      <c r="AL149" s="6" t="s">
        <v>3790</v>
      </c>
      <c r="AM149" s="6">
        <v>737100</v>
      </c>
      <c r="AN149" s="6" t="s">
        <v>176</v>
      </c>
      <c r="AO149" s="6">
        <v>4500</v>
      </c>
      <c r="AQ149" s="6">
        <v>7373</v>
      </c>
      <c r="AR149" s="6" t="s">
        <v>2820</v>
      </c>
      <c r="AS149" s="6" t="s">
        <v>3791</v>
      </c>
      <c r="AX149" s="6" t="s">
        <v>3792</v>
      </c>
      <c r="AY149" s="6" t="s">
        <v>3793</v>
      </c>
      <c r="AZ149" s="6">
        <v>46850240800</v>
      </c>
      <c r="BD149" s="6" t="s">
        <v>3794</v>
      </c>
      <c r="BE149" s="6" t="str">
        <f t="shared" si="4"/>
        <v>dxc.com</v>
      </c>
      <c r="BF149" s="6" t="str">
        <f t="shared" si="5"/>
        <v>com</v>
      </c>
      <c r="BG149" s="6" t="s">
        <v>101</v>
      </c>
      <c r="BH149" s="6" t="s">
        <v>3795</v>
      </c>
      <c r="BI149" s="6" t="s">
        <v>3796</v>
      </c>
      <c r="BJ149" s="6" t="s">
        <v>3797</v>
      </c>
      <c r="BK149" s="6" t="s">
        <v>3798</v>
      </c>
      <c r="BQ149" s="6" t="s">
        <v>3799</v>
      </c>
      <c r="BR149" s="6" t="s">
        <v>105</v>
      </c>
    </row>
    <row r="150" spans="1:70" ht="45" customHeight="1" x14ac:dyDescent="0.25">
      <c r="A150" s="6">
        <v>150</v>
      </c>
      <c r="B150" s="7" t="s">
        <v>3800</v>
      </c>
      <c r="C150" s="8" t="s">
        <v>3801</v>
      </c>
      <c r="D150" s="6" t="s">
        <v>3800</v>
      </c>
      <c r="E150" s="8" t="s">
        <v>3802</v>
      </c>
      <c r="F150" s="8" t="s">
        <v>3802</v>
      </c>
      <c r="G150" s="6" t="s">
        <v>612</v>
      </c>
      <c r="H150" s="6" t="s">
        <v>613</v>
      </c>
      <c r="I150" s="6" t="s">
        <v>3803</v>
      </c>
      <c r="J150" s="6" t="s">
        <v>3804</v>
      </c>
      <c r="K150" s="9">
        <v>81800</v>
      </c>
      <c r="L150" s="8" t="s">
        <v>3805</v>
      </c>
      <c r="M150" s="9" t="s">
        <v>3806</v>
      </c>
      <c r="N150" s="6">
        <v>1.5771261999999999</v>
      </c>
      <c r="O150" s="6">
        <v>103.7984271</v>
      </c>
      <c r="P150" s="6" t="s">
        <v>3807</v>
      </c>
      <c r="Q150" s="6">
        <v>2</v>
      </c>
      <c r="R150" s="6" t="s">
        <v>79</v>
      </c>
      <c r="S150" s="6">
        <v>1995</v>
      </c>
      <c r="T150" s="6">
        <v>6341352</v>
      </c>
      <c r="U150" s="6" t="s">
        <v>80</v>
      </c>
      <c r="V150" s="6">
        <v>75</v>
      </c>
      <c r="W150" s="6" t="s">
        <v>80</v>
      </c>
      <c r="X150" s="6" t="s">
        <v>3808</v>
      </c>
      <c r="Y150" s="6" t="s">
        <v>3809</v>
      </c>
      <c r="Z150" s="6" t="s">
        <v>3810</v>
      </c>
      <c r="AA150" s="6" t="s">
        <v>3811</v>
      </c>
      <c r="AB150" s="6" t="s">
        <v>3812</v>
      </c>
      <c r="AC150" s="6">
        <v>237130</v>
      </c>
      <c r="AD150" s="10" t="str">
        <f>_xlfn.XLOOKUP(AC150,[1]Mapping!B:B,[1]Mapping!C:C,"")</f>
        <v xml:space="preserve">Power and Communication Line and Related Structures Construction </v>
      </c>
      <c r="AG150" s="6" t="s">
        <v>3813</v>
      </c>
      <c r="AH150" s="6" t="s">
        <v>3814</v>
      </c>
      <c r="AI150" s="6" t="s">
        <v>292</v>
      </c>
      <c r="AJ150" s="6" t="s">
        <v>86</v>
      </c>
      <c r="AK150" s="6" t="s">
        <v>88</v>
      </c>
      <c r="AL150" s="6" t="s">
        <v>89</v>
      </c>
      <c r="AM150" s="6" t="s">
        <v>90</v>
      </c>
      <c r="AN150" s="6" t="s">
        <v>91</v>
      </c>
      <c r="AO150" s="6" t="s">
        <v>92</v>
      </c>
      <c r="AQ150" s="6">
        <v>1623</v>
      </c>
      <c r="AR150" s="6" t="s">
        <v>2707</v>
      </c>
      <c r="AT150" s="6">
        <v>4220</v>
      </c>
      <c r="AU150" s="6" t="s">
        <v>2708</v>
      </c>
      <c r="AV150" s="6">
        <v>42.22</v>
      </c>
      <c r="AW150" s="6" t="s">
        <v>2709</v>
      </c>
      <c r="AY150" s="6" t="s">
        <v>3815</v>
      </c>
      <c r="AZ150" s="6" t="s">
        <v>3816</v>
      </c>
      <c r="BD150" s="6" t="s">
        <v>3817</v>
      </c>
      <c r="BE150" s="6" t="str">
        <f t="shared" si="4"/>
        <v>dynagroup.my</v>
      </c>
      <c r="BF150" s="6" t="str">
        <f t="shared" si="5"/>
        <v>my</v>
      </c>
      <c r="BG150" s="6" t="s">
        <v>101</v>
      </c>
      <c r="BP150" s="6" t="s">
        <v>3818</v>
      </c>
      <c r="BQ150" s="6" t="s">
        <v>3819</v>
      </c>
      <c r="BR150" s="6" t="s">
        <v>105</v>
      </c>
    </row>
    <row r="151" spans="1:70" ht="45" customHeight="1" x14ac:dyDescent="0.25">
      <c r="A151" s="6">
        <v>151</v>
      </c>
      <c r="B151" s="7" t="s">
        <v>3820</v>
      </c>
      <c r="C151" s="8" t="s">
        <v>3821</v>
      </c>
      <c r="D151" s="6" t="s">
        <v>3822</v>
      </c>
      <c r="E151" s="8" t="s">
        <v>3820</v>
      </c>
      <c r="F151" s="8" t="s">
        <v>3823</v>
      </c>
      <c r="G151" s="6" t="s">
        <v>315</v>
      </c>
      <c r="H151" s="6" t="s">
        <v>316</v>
      </c>
      <c r="J151" s="6" t="s">
        <v>316</v>
      </c>
      <c r="K151" s="9">
        <v>569880</v>
      </c>
      <c r="L151" s="8" t="s">
        <v>3824</v>
      </c>
      <c r="M151" s="9">
        <v>7030</v>
      </c>
      <c r="N151" s="6">
        <v>1.3779842</v>
      </c>
      <c r="O151" s="6">
        <v>103.87537210000001</v>
      </c>
      <c r="P151" s="6" t="s">
        <v>3825</v>
      </c>
      <c r="Q151" s="6">
        <v>5</v>
      </c>
      <c r="R151" s="6" t="s">
        <v>79</v>
      </c>
      <c r="T151" s="6"/>
      <c r="X151" s="6" t="s">
        <v>3826</v>
      </c>
      <c r="Y151" s="6" t="s">
        <v>3827</v>
      </c>
      <c r="Z151" s="6" t="s">
        <v>3828</v>
      </c>
      <c r="AA151" s="6" t="s">
        <v>3829</v>
      </c>
      <c r="AB151" s="6" t="s">
        <v>3830</v>
      </c>
      <c r="AC151" s="6">
        <v>334210</v>
      </c>
      <c r="AD151" s="10" t="str">
        <f>_xlfn.XLOOKUP(AC151,[1]Mapping!B:B,[1]Mapping!C:C,"")</f>
        <v>Telephone Apparatus Manufacturing</v>
      </c>
      <c r="AE151" s="6">
        <v>517121</v>
      </c>
      <c r="AF151" s="6" t="s">
        <v>3831</v>
      </c>
      <c r="AG151" s="6" t="s">
        <v>964</v>
      </c>
      <c r="AH151" s="6" t="s">
        <v>965</v>
      </c>
      <c r="AI151" s="6" t="s">
        <v>733</v>
      </c>
      <c r="AJ151" s="6" t="s">
        <v>174</v>
      </c>
      <c r="AK151" s="6" t="s">
        <v>175</v>
      </c>
      <c r="AL151" s="6" t="s">
        <v>176</v>
      </c>
      <c r="AM151" s="6" t="s">
        <v>177</v>
      </c>
      <c r="AN151" s="6" t="s">
        <v>91</v>
      </c>
      <c r="AO151" s="6" t="s">
        <v>92</v>
      </c>
      <c r="AQ151" s="6">
        <v>3661</v>
      </c>
      <c r="AR151" s="6" t="s">
        <v>3832</v>
      </c>
      <c r="AS151" s="6" t="s">
        <v>3833</v>
      </c>
      <c r="AT151" s="6">
        <v>2630</v>
      </c>
      <c r="AU151" s="6" t="s">
        <v>2684</v>
      </c>
      <c r="AV151" s="6">
        <v>26.3</v>
      </c>
      <c r="AW151" s="6" t="s">
        <v>2684</v>
      </c>
      <c r="AX151" s="6" t="s">
        <v>3834</v>
      </c>
      <c r="AY151" s="6" t="s">
        <v>3835</v>
      </c>
      <c r="AZ151" s="6" t="s">
        <v>3836</v>
      </c>
      <c r="BA151" s="6" t="s">
        <v>3837</v>
      </c>
      <c r="BD151" s="6" t="s">
        <v>3838</v>
      </c>
      <c r="BE151" s="6" t="str">
        <f t="shared" si="4"/>
        <v>worldclasslighting.com</v>
      </c>
      <c r="BF151" s="6" t="str">
        <f t="shared" si="5"/>
        <v>com</v>
      </c>
      <c r="BG151" s="6" t="s">
        <v>744</v>
      </c>
      <c r="BP151" s="6" t="s">
        <v>3839</v>
      </c>
      <c r="BQ151" s="6" t="s">
        <v>3840</v>
      </c>
      <c r="BR151" s="6" t="s">
        <v>105</v>
      </c>
    </row>
    <row r="152" spans="1:70" ht="45" customHeight="1" x14ac:dyDescent="0.25">
      <c r="A152" s="6">
        <v>152</v>
      </c>
      <c r="B152" s="7" t="s">
        <v>3841</v>
      </c>
      <c r="C152" s="8" t="s">
        <v>3842</v>
      </c>
      <c r="D152" s="6" t="s">
        <v>3843</v>
      </c>
      <c r="E152" s="6" t="s">
        <v>3844</v>
      </c>
      <c r="F152" s="8" t="s">
        <v>3823</v>
      </c>
      <c r="G152" s="6" t="s">
        <v>1659</v>
      </c>
      <c r="H152" s="6" t="s">
        <v>1660</v>
      </c>
      <c r="I152" s="6" t="s">
        <v>3845</v>
      </c>
      <c r="J152" s="6" t="s">
        <v>3846</v>
      </c>
      <c r="K152" s="9">
        <v>1230</v>
      </c>
      <c r="L152" s="8" t="s">
        <v>3847</v>
      </c>
      <c r="N152" s="6">
        <v>23.880907300000001</v>
      </c>
      <c r="O152" s="6">
        <v>90.439726399999998</v>
      </c>
      <c r="P152" s="6" t="s">
        <v>3848</v>
      </c>
      <c r="Q152" s="6">
        <v>2</v>
      </c>
      <c r="R152" s="6" t="s">
        <v>79</v>
      </c>
      <c r="S152" s="6">
        <v>1998</v>
      </c>
      <c r="T152" s="6">
        <v>218800000</v>
      </c>
      <c r="U152" s="6" t="s">
        <v>167</v>
      </c>
      <c r="V152" s="6">
        <v>200</v>
      </c>
      <c r="W152" s="6" t="s">
        <v>167</v>
      </c>
      <c r="X152" s="6" t="s">
        <v>3849</v>
      </c>
      <c r="Y152" s="6" t="s">
        <v>3850</v>
      </c>
      <c r="Z152" s="6" t="s">
        <v>3851</v>
      </c>
      <c r="AA152" s="6" t="s">
        <v>3852</v>
      </c>
      <c r="AB152" s="6" t="s">
        <v>3853</v>
      </c>
      <c r="AC152" s="6">
        <v>522320</v>
      </c>
      <c r="AD152" s="10" t="str">
        <f>_xlfn.XLOOKUP(AC152,[1]Mapping!B:B,[1]Mapping!C:C,"")</f>
        <v xml:space="preserve">Financial Transactions Processing, Reserve, and Clearinghouse Activities </v>
      </c>
      <c r="AG152" s="6" t="s">
        <v>3854</v>
      </c>
      <c r="AH152" s="6" t="s">
        <v>118</v>
      </c>
      <c r="AI152" s="6" t="s">
        <v>119</v>
      </c>
      <c r="AJ152" s="6" t="s">
        <v>174</v>
      </c>
      <c r="AK152" s="6" t="s">
        <v>175</v>
      </c>
      <c r="AL152" s="6" t="s">
        <v>176</v>
      </c>
      <c r="AM152" s="6" t="s">
        <v>177</v>
      </c>
      <c r="AN152" s="6" t="s">
        <v>91</v>
      </c>
      <c r="AO152" s="6" t="s">
        <v>92</v>
      </c>
      <c r="AQ152" s="6" t="s">
        <v>3855</v>
      </c>
      <c r="AR152" s="6" t="s">
        <v>3856</v>
      </c>
      <c r="AT152" s="6">
        <v>6619</v>
      </c>
      <c r="AU152" s="6" t="s">
        <v>3558</v>
      </c>
      <c r="AV152" s="6">
        <v>66.19</v>
      </c>
      <c r="AW152" s="6" t="s">
        <v>3559</v>
      </c>
      <c r="AY152" s="6" t="s">
        <v>3857</v>
      </c>
      <c r="BD152" s="6" t="s">
        <v>3858</v>
      </c>
      <c r="BE152" s="6" t="str">
        <f t="shared" si="4"/>
        <v>eastcompeace.com</v>
      </c>
      <c r="BF152" s="6" t="str">
        <f t="shared" si="5"/>
        <v>com</v>
      </c>
      <c r="BG152" s="6" t="s">
        <v>101</v>
      </c>
      <c r="BK152" s="6" t="s">
        <v>3859</v>
      </c>
      <c r="BP152" s="6" t="s">
        <v>3860</v>
      </c>
      <c r="BQ152" s="6" t="s">
        <v>3861</v>
      </c>
      <c r="BR152" s="6" t="s">
        <v>105</v>
      </c>
    </row>
    <row r="153" spans="1:70" ht="45" customHeight="1" x14ac:dyDescent="0.25">
      <c r="A153" s="6">
        <v>153</v>
      </c>
      <c r="B153" s="7" t="s">
        <v>3862</v>
      </c>
      <c r="C153" s="8" t="s">
        <v>3863</v>
      </c>
      <c r="D153" s="6" t="s">
        <v>3862</v>
      </c>
      <c r="E153" s="8" t="s">
        <v>3862</v>
      </c>
      <c r="F153" s="8" t="s">
        <v>3823</v>
      </c>
      <c r="G153" s="6" t="e">
        <f>#REF!</f>
        <v>#REF!</v>
      </c>
      <c r="H153" s="6" t="e">
        <f>#REF!</f>
        <v>#REF!</v>
      </c>
      <c r="I153" s="6" t="e">
        <f>#REF!</f>
        <v>#REF!</v>
      </c>
      <c r="J153" s="6" t="e">
        <f>#REF!</f>
        <v>#REF!</v>
      </c>
      <c r="L153" s="8" t="s">
        <v>3864</v>
      </c>
      <c r="M153" s="9">
        <v>8</v>
      </c>
      <c r="P153" s="6" t="s">
        <v>3865</v>
      </c>
      <c r="Q153" s="6">
        <v>5</v>
      </c>
      <c r="R153" s="6" t="s">
        <v>79</v>
      </c>
      <c r="S153" s="6">
        <v>1998</v>
      </c>
      <c r="T153" s="6">
        <v>29372260</v>
      </c>
      <c r="U153" s="6" t="s">
        <v>80</v>
      </c>
      <c r="V153" s="6">
        <v>200</v>
      </c>
      <c r="W153" s="6" t="s">
        <v>167</v>
      </c>
      <c r="X153" s="6" t="s">
        <v>3866</v>
      </c>
      <c r="Y153" s="6" t="s">
        <v>3867</v>
      </c>
      <c r="Z153" s="6" t="s">
        <v>3868</v>
      </c>
      <c r="AA153" s="6" t="s">
        <v>3869</v>
      </c>
      <c r="AB153" s="6" t="s">
        <v>3870</v>
      </c>
      <c r="AC153" s="6">
        <v>334418</v>
      </c>
      <c r="AD153" s="10" t="str">
        <f>_xlfn.XLOOKUP(AC153,[1]Mapping!B:B,[1]Mapping!C:C,"")</f>
        <v xml:space="preserve">Printed Circuit Assembly (Electronic Assembly) Manufacturing </v>
      </c>
      <c r="AE153" s="6" t="s">
        <v>3871</v>
      </c>
      <c r="AF153" s="6" t="s">
        <v>3872</v>
      </c>
      <c r="AG153" s="6" t="s">
        <v>3873</v>
      </c>
      <c r="AH153" s="6" t="s">
        <v>3874</v>
      </c>
      <c r="AI153" s="6" t="s">
        <v>628</v>
      </c>
      <c r="AJ153" s="6" t="s">
        <v>174</v>
      </c>
      <c r="AK153" s="6" t="s">
        <v>175</v>
      </c>
      <c r="AL153" s="6" t="s">
        <v>176</v>
      </c>
      <c r="AM153" s="6" t="s">
        <v>177</v>
      </c>
      <c r="AN153" s="6" t="s">
        <v>91</v>
      </c>
      <c r="AO153" s="6" t="s">
        <v>92</v>
      </c>
      <c r="AQ153" s="6">
        <v>3577</v>
      </c>
      <c r="AR153" s="6" t="s">
        <v>3875</v>
      </c>
      <c r="AT153" s="6">
        <v>2610</v>
      </c>
      <c r="AU153" s="6" t="s">
        <v>630</v>
      </c>
      <c r="AV153" s="6">
        <v>26.11</v>
      </c>
      <c r="AW153" s="6" t="s">
        <v>630</v>
      </c>
      <c r="AY153" s="6">
        <v>867569000000</v>
      </c>
      <c r="AZ153" s="6" t="s">
        <v>3876</v>
      </c>
      <c r="BA153" s="6" t="s">
        <v>3837</v>
      </c>
      <c r="BD153" s="6" t="s">
        <v>3877</v>
      </c>
      <c r="BE153" s="6" t="str">
        <f t="shared" si="4"/>
        <v>eastcompeace.com</v>
      </c>
      <c r="BF153" s="6" t="str">
        <f t="shared" si="5"/>
        <v>com</v>
      </c>
      <c r="BG153" s="6" t="s">
        <v>101</v>
      </c>
      <c r="BQ153" s="6" t="s">
        <v>3878</v>
      </c>
      <c r="BR153" s="6" t="s">
        <v>105</v>
      </c>
    </row>
    <row r="154" spans="1:70" ht="45" customHeight="1" x14ac:dyDescent="0.25">
      <c r="A154" s="6">
        <v>154</v>
      </c>
      <c r="B154" s="7" t="s">
        <v>3879</v>
      </c>
      <c r="C154" s="8" t="s">
        <v>3880</v>
      </c>
      <c r="D154" s="6" t="s">
        <v>3881</v>
      </c>
      <c r="E154" s="6" t="s">
        <v>3882</v>
      </c>
      <c r="F154" s="8" t="s">
        <v>3883</v>
      </c>
      <c r="G154" s="6" t="s">
        <v>73</v>
      </c>
      <c r="H154" s="6" t="s">
        <v>74</v>
      </c>
      <c r="I154" s="6"/>
      <c r="J154" s="6" t="s">
        <v>486</v>
      </c>
      <c r="K154" s="9">
        <v>1437</v>
      </c>
      <c r="L154" s="8" t="s">
        <v>3884</v>
      </c>
      <c r="M154" s="9">
        <v>2</v>
      </c>
      <c r="N154" s="6">
        <v>55.679282000000001</v>
      </c>
      <c r="O154" s="6">
        <v>12.6066491</v>
      </c>
      <c r="P154" s="6" t="s">
        <v>3885</v>
      </c>
      <c r="Q154" s="6">
        <v>2</v>
      </c>
      <c r="R154" s="6" t="s">
        <v>79</v>
      </c>
      <c r="S154" s="6">
        <v>2007</v>
      </c>
      <c r="T154" s="6">
        <v>5100000</v>
      </c>
      <c r="U154" s="6" t="s">
        <v>167</v>
      </c>
      <c r="V154" s="6">
        <v>3</v>
      </c>
      <c r="W154" s="6" t="s">
        <v>167</v>
      </c>
      <c r="X154" s="6" t="s">
        <v>3886</v>
      </c>
      <c r="Y154" s="6" t="s">
        <v>3887</v>
      </c>
      <c r="Z154" s="6" t="s">
        <v>3888</v>
      </c>
      <c r="AA154" s="6" t="s">
        <v>3889</v>
      </c>
      <c r="AB154" s="6" t="s">
        <v>3890</v>
      </c>
      <c r="AC154" s="6">
        <v>541613</v>
      </c>
      <c r="AD154" s="10" t="str">
        <f>_xlfn.XLOOKUP(AC154,[1]Mapping!B:B,[1]Mapping!C:C,"")</f>
        <v xml:space="preserve">Marketing Consulting Services </v>
      </c>
      <c r="AE154" s="6" t="s">
        <v>3891</v>
      </c>
      <c r="AF154" s="6" t="s">
        <v>1971</v>
      </c>
      <c r="AG154" s="6" t="s">
        <v>3892</v>
      </c>
      <c r="AH154" s="6" t="s">
        <v>3893</v>
      </c>
      <c r="AI154" s="6" t="s">
        <v>652</v>
      </c>
      <c r="AJ154" s="6" t="s">
        <v>174</v>
      </c>
      <c r="AK154" s="6" t="s">
        <v>175</v>
      </c>
      <c r="AL154" s="6" t="s">
        <v>176</v>
      </c>
      <c r="AM154" s="6" t="s">
        <v>177</v>
      </c>
      <c r="AN154" s="6" t="s">
        <v>91</v>
      </c>
      <c r="AO154" s="6" t="s">
        <v>92</v>
      </c>
      <c r="AQ154" s="6">
        <v>8742</v>
      </c>
      <c r="AR154" s="6" t="s">
        <v>2846</v>
      </c>
      <c r="AS154" s="6" t="s">
        <v>3894</v>
      </c>
      <c r="AT154" s="6">
        <v>7020</v>
      </c>
      <c r="AU154" s="6" t="s">
        <v>2847</v>
      </c>
      <c r="AV154" s="6">
        <v>70.22</v>
      </c>
      <c r="AW154" s="6" t="s">
        <v>659</v>
      </c>
      <c r="AX154" s="6" t="s">
        <v>3895</v>
      </c>
      <c r="AY154" s="6" t="s">
        <v>3896</v>
      </c>
      <c r="AZ154" s="6" t="s">
        <v>3897</v>
      </c>
      <c r="BA154" s="6" t="s">
        <v>3898</v>
      </c>
      <c r="BD154" s="6" t="s">
        <v>3899</v>
      </c>
      <c r="BE154" s="6" t="str">
        <f t="shared" si="4"/>
        <v>valtech.com</v>
      </c>
      <c r="BF154" s="6" t="str">
        <f t="shared" si="5"/>
        <v>com</v>
      </c>
      <c r="BG154" s="6" t="s">
        <v>123</v>
      </c>
      <c r="BH154" s="6" t="s">
        <v>3900</v>
      </c>
      <c r="BI154" s="6" t="s">
        <v>3901</v>
      </c>
      <c r="BK154" s="6" t="s">
        <v>3902</v>
      </c>
      <c r="BP154" s="6" t="s">
        <v>3903</v>
      </c>
      <c r="BQ154" s="6" t="s">
        <v>3904</v>
      </c>
      <c r="BR154" s="6" t="s">
        <v>105</v>
      </c>
    </row>
    <row r="155" spans="1:70" ht="45" customHeight="1" x14ac:dyDescent="0.25">
      <c r="A155" s="6">
        <v>155</v>
      </c>
      <c r="B155" s="7" t="s">
        <v>3905</v>
      </c>
      <c r="C155" s="8" t="s">
        <v>3906</v>
      </c>
      <c r="D155" s="6" t="s">
        <v>3907</v>
      </c>
      <c r="E155" s="6" t="s">
        <v>3908</v>
      </c>
      <c r="F155" s="8" t="s">
        <v>3907</v>
      </c>
      <c r="G155" s="6" t="s">
        <v>160</v>
      </c>
      <c r="H155" s="6" t="s">
        <v>161</v>
      </c>
      <c r="I155" s="6" t="s">
        <v>281</v>
      </c>
      <c r="J155" s="6" t="s">
        <v>282</v>
      </c>
      <c r="K155" s="9" t="s">
        <v>3909</v>
      </c>
      <c r="L155" s="8" t="s">
        <v>3910</v>
      </c>
      <c r="M155" s="9">
        <v>83</v>
      </c>
      <c r="N155" s="6">
        <v>59.314860299999999</v>
      </c>
      <c r="O155" s="6">
        <v>18.054240700000001</v>
      </c>
      <c r="P155" s="6" t="s">
        <v>3911</v>
      </c>
      <c r="Q155" s="6">
        <v>7</v>
      </c>
      <c r="R155" s="6" t="s">
        <v>79</v>
      </c>
      <c r="S155" s="6">
        <v>2011</v>
      </c>
      <c r="T155" s="6">
        <v>4900000</v>
      </c>
      <c r="U155" s="6" t="s">
        <v>167</v>
      </c>
      <c r="V155" s="6">
        <v>82</v>
      </c>
      <c r="W155" s="6" t="s">
        <v>167</v>
      </c>
      <c r="X155" s="6" t="s">
        <v>3912</v>
      </c>
      <c r="Y155" s="6" t="s">
        <v>3913</v>
      </c>
      <c r="Z155" s="6" t="s">
        <v>3914</v>
      </c>
      <c r="AA155" s="6" t="s">
        <v>3915</v>
      </c>
      <c r="AB155" s="6" t="s">
        <v>3916</v>
      </c>
      <c r="AC155" s="6">
        <v>541613</v>
      </c>
      <c r="AD155" s="10" t="str">
        <f>_xlfn.XLOOKUP(AC155,[1]Mapping!B:B,[1]Mapping!C:C,"")</f>
        <v xml:space="preserve">Marketing Consulting Services </v>
      </c>
      <c r="AG155" s="6" t="s">
        <v>3917</v>
      </c>
      <c r="AH155" s="6" t="s">
        <v>3918</v>
      </c>
      <c r="AI155" s="6" t="s">
        <v>652</v>
      </c>
      <c r="AJ155" s="6" t="s">
        <v>500</v>
      </c>
      <c r="AK155" s="6" t="s">
        <v>501</v>
      </c>
      <c r="AL155" s="6" t="s">
        <v>502</v>
      </c>
      <c r="AM155" s="6" t="s">
        <v>503</v>
      </c>
      <c r="AN155" s="6" t="s">
        <v>297</v>
      </c>
      <c r="AO155" s="6" t="s">
        <v>298</v>
      </c>
      <c r="AQ155" s="6">
        <v>7311</v>
      </c>
      <c r="AR155" s="6" t="s">
        <v>1121</v>
      </c>
      <c r="AS155" s="6" t="s">
        <v>3919</v>
      </c>
      <c r="AT155" s="6">
        <v>7310</v>
      </c>
      <c r="AU155" s="6" t="s">
        <v>1123</v>
      </c>
      <c r="AV155" s="6">
        <v>73.11</v>
      </c>
      <c r="AW155" s="6" t="s">
        <v>1124</v>
      </c>
      <c r="AX155" s="6" t="s">
        <v>3920</v>
      </c>
      <c r="AY155" s="6" t="s">
        <v>3921</v>
      </c>
      <c r="AZ155" s="6" t="s">
        <v>3922</v>
      </c>
      <c r="BA155" s="6" t="s">
        <v>3923</v>
      </c>
      <c r="BD155" s="6" t="s">
        <v>3924</v>
      </c>
      <c r="BE155" s="6" t="str">
        <f t="shared" si="4"/>
        <v>ecimediamanagement.com</v>
      </c>
      <c r="BF155" s="6" t="str">
        <f t="shared" si="5"/>
        <v>com</v>
      </c>
      <c r="BG155" s="6" t="s">
        <v>101</v>
      </c>
      <c r="BI155" s="6" t="s">
        <v>3925</v>
      </c>
      <c r="BK155" s="6" t="s">
        <v>3926</v>
      </c>
      <c r="BP155" s="6" t="s">
        <v>3927</v>
      </c>
      <c r="BQ155" s="6" t="s">
        <v>3928</v>
      </c>
      <c r="BR155" s="6" t="s">
        <v>105</v>
      </c>
    </row>
    <row r="156" spans="1:70" ht="45" customHeight="1" x14ac:dyDescent="0.25">
      <c r="A156" s="6">
        <v>156</v>
      </c>
      <c r="B156" s="7" t="s">
        <v>3929</v>
      </c>
      <c r="C156" s="8" t="s">
        <v>3906</v>
      </c>
      <c r="D156" s="6" t="s">
        <v>3907</v>
      </c>
      <c r="E156" s="6" t="s">
        <v>3908</v>
      </c>
      <c r="F156" s="8" t="s">
        <v>3907</v>
      </c>
      <c r="G156" s="6" t="s">
        <v>160</v>
      </c>
      <c r="H156" s="6" t="s">
        <v>161</v>
      </c>
      <c r="I156" s="6" t="s">
        <v>3930</v>
      </c>
      <c r="J156" s="6" t="s">
        <v>282</v>
      </c>
      <c r="K156" s="9" t="s">
        <v>3909</v>
      </c>
      <c r="L156" s="8" t="s">
        <v>3910</v>
      </c>
      <c r="M156" s="9">
        <v>83</v>
      </c>
      <c r="N156" s="6">
        <v>59.314857699999997</v>
      </c>
      <c r="O156" s="6">
        <v>18.054130300000001</v>
      </c>
      <c r="P156" s="6" t="s">
        <v>3911</v>
      </c>
      <c r="Q156" s="6">
        <v>7</v>
      </c>
      <c r="R156" s="6" t="s">
        <v>79</v>
      </c>
      <c r="S156" s="6">
        <v>2001</v>
      </c>
      <c r="T156" s="6">
        <v>4900000</v>
      </c>
      <c r="U156" s="6" t="s">
        <v>167</v>
      </c>
      <c r="V156" s="6">
        <v>82</v>
      </c>
      <c r="W156" s="6" t="s">
        <v>167</v>
      </c>
      <c r="X156" s="6" t="s">
        <v>3931</v>
      </c>
      <c r="Y156" s="6" t="s">
        <v>3932</v>
      </c>
      <c r="Z156" s="6" t="s">
        <v>3933</v>
      </c>
      <c r="AA156" s="6" t="s">
        <v>3934</v>
      </c>
      <c r="AB156" s="6" t="s">
        <v>3935</v>
      </c>
      <c r="AC156" s="6">
        <v>541840</v>
      </c>
      <c r="AD156" s="10" t="str">
        <f>_xlfn.XLOOKUP(AC156,[1]Mapping!B:B,[1]Mapping!C:C,"")</f>
        <v>Media Representatives</v>
      </c>
      <c r="AG156" s="6" t="s">
        <v>1142</v>
      </c>
      <c r="AH156" s="6" t="s">
        <v>1143</v>
      </c>
      <c r="AI156" s="6" t="s">
        <v>500</v>
      </c>
      <c r="AJ156" s="6" t="s">
        <v>500</v>
      </c>
      <c r="AK156" s="6" t="s">
        <v>501</v>
      </c>
      <c r="AL156" s="6" t="s">
        <v>502</v>
      </c>
      <c r="AM156" s="6" t="s">
        <v>503</v>
      </c>
      <c r="AN156" s="6" t="s">
        <v>297</v>
      </c>
      <c r="AO156" s="6" t="s">
        <v>298</v>
      </c>
      <c r="AQ156" s="6">
        <v>7313</v>
      </c>
      <c r="AR156" s="6" t="s">
        <v>3936</v>
      </c>
      <c r="AS156" s="6" t="s">
        <v>3919</v>
      </c>
      <c r="AT156" s="6">
        <v>7310</v>
      </c>
      <c r="AU156" s="6" t="s">
        <v>1123</v>
      </c>
      <c r="AV156" s="6" t="s">
        <v>1144</v>
      </c>
      <c r="AW156" s="6" t="s">
        <v>1145</v>
      </c>
      <c r="AX156" s="6" t="s">
        <v>3920</v>
      </c>
      <c r="AY156" s="6">
        <v>46733777800</v>
      </c>
      <c r="AZ156" s="6">
        <v>46733777800</v>
      </c>
      <c r="BA156" s="6" t="s">
        <v>3923</v>
      </c>
      <c r="BD156" s="6" t="s">
        <v>3937</v>
      </c>
      <c r="BE156" s="6" t="str">
        <f t="shared" si="4"/>
        <v>ecimediamanagement.com</v>
      </c>
      <c r="BF156" s="6" t="str">
        <f t="shared" si="5"/>
        <v>com</v>
      </c>
      <c r="BG156" s="6" t="s">
        <v>101</v>
      </c>
      <c r="BI156" s="6" t="s">
        <v>3925</v>
      </c>
      <c r="BK156" s="6" t="s">
        <v>3938</v>
      </c>
      <c r="BP156" s="6" t="s">
        <v>3927</v>
      </c>
      <c r="BQ156" s="6" t="s">
        <v>3928</v>
      </c>
      <c r="BR156" s="6" t="s">
        <v>105</v>
      </c>
    </row>
    <row r="157" spans="1:70" ht="45" customHeight="1" x14ac:dyDescent="0.25">
      <c r="A157" s="6">
        <v>157</v>
      </c>
      <c r="B157" s="7" t="s">
        <v>3939</v>
      </c>
      <c r="C157" s="8" t="s">
        <v>3940</v>
      </c>
      <c r="D157" s="6" t="s">
        <v>3941</v>
      </c>
      <c r="E157" s="8" t="s">
        <v>3942</v>
      </c>
      <c r="F157" s="8" t="s">
        <v>3942</v>
      </c>
      <c r="G157" s="6" t="s">
        <v>612</v>
      </c>
      <c r="H157" s="6" t="s">
        <v>613</v>
      </c>
      <c r="I157" s="6" t="s">
        <v>614</v>
      </c>
      <c r="J157" s="6" t="s">
        <v>615</v>
      </c>
      <c r="K157" s="9">
        <v>40150</v>
      </c>
      <c r="L157" s="8" t="s">
        <v>3943</v>
      </c>
      <c r="M157" s="9">
        <v>15</v>
      </c>
      <c r="N157" s="6">
        <v>3.1079786999999999</v>
      </c>
      <c r="O157" s="6">
        <v>101.5826757</v>
      </c>
      <c r="P157" s="6" t="s">
        <v>3944</v>
      </c>
      <c r="Q157" s="6">
        <v>1</v>
      </c>
      <c r="R157" s="6" t="s">
        <v>79</v>
      </c>
      <c r="S157" s="6">
        <v>2012</v>
      </c>
      <c r="T157" s="6">
        <v>30179042</v>
      </c>
      <c r="U157" s="6" t="s">
        <v>80</v>
      </c>
      <c r="V157" s="6">
        <v>270</v>
      </c>
      <c r="W157" s="6" t="s">
        <v>167</v>
      </c>
      <c r="X157" s="6" t="s">
        <v>3945</v>
      </c>
      <c r="Y157" s="6" t="s">
        <v>3946</v>
      </c>
      <c r="Z157" s="6" t="s">
        <v>3947</v>
      </c>
      <c r="AA157" s="6" t="s">
        <v>3948</v>
      </c>
      <c r="AB157" s="6" t="s">
        <v>3949</v>
      </c>
      <c r="AC157" s="6">
        <v>517810</v>
      </c>
      <c r="AD157" s="10" t="str">
        <f>_xlfn.XLOOKUP(AC157,[1]Mapping!B:B,[1]Mapping!C:C,"")</f>
        <v xml:space="preserve">All Other Telecommunications </v>
      </c>
      <c r="AG157" s="6" t="s">
        <v>89</v>
      </c>
      <c r="AH157" s="6" t="s">
        <v>86</v>
      </c>
      <c r="AI157" s="6" t="s">
        <v>87</v>
      </c>
      <c r="AQ157" s="6" t="s">
        <v>1384</v>
      </c>
      <c r="AR157" s="6" t="s">
        <v>1385</v>
      </c>
      <c r="AS157" s="6" t="s">
        <v>3950</v>
      </c>
      <c r="AT157" s="6">
        <v>6190</v>
      </c>
      <c r="AU157" s="6" t="s">
        <v>96</v>
      </c>
      <c r="AV157" s="6">
        <v>61.9</v>
      </c>
      <c r="AW157" s="6" t="s">
        <v>96</v>
      </c>
      <c r="AX157" s="6" t="s">
        <v>3951</v>
      </c>
      <c r="AY157" s="6" t="s">
        <v>3952</v>
      </c>
      <c r="BB157" s="6" t="s">
        <v>3953</v>
      </c>
      <c r="BD157" s="6" t="s">
        <v>3954</v>
      </c>
      <c r="BE157" s="6" t="str">
        <f t="shared" si="4"/>
        <v>edotcogroup.com</v>
      </c>
      <c r="BF157" s="6" t="str">
        <f t="shared" si="5"/>
        <v>com</v>
      </c>
      <c r="BG157" s="6" t="s">
        <v>101</v>
      </c>
      <c r="BH157" s="6" t="s">
        <v>3955</v>
      </c>
      <c r="BI157" s="6" t="s">
        <v>3956</v>
      </c>
      <c r="BK157" s="6" t="s">
        <v>3957</v>
      </c>
      <c r="BQ157" s="6" t="s">
        <v>3958</v>
      </c>
      <c r="BR157" s="6" t="s">
        <v>105</v>
      </c>
    </row>
    <row r="158" spans="1:70" ht="45" customHeight="1" x14ac:dyDescent="0.25">
      <c r="A158" s="6">
        <v>158</v>
      </c>
      <c r="B158" s="7" t="s">
        <v>3959</v>
      </c>
      <c r="C158" s="8" t="s">
        <v>3960</v>
      </c>
      <c r="D158" s="6" t="s">
        <v>3961</v>
      </c>
      <c r="E158" s="6" t="s">
        <v>3962</v>
      </c>
      <c r="F158" s="8" t="s">
        <v>3963</v>
      </c>
      <c r="G158" s="6" t="s">
        <v>1400</v>
      </c>
      <c r="H158" s="6" t="s">
        <v>1401</v>
      </c>
      <c r="I158" s="6" t="s">
        <v>3964</v>
      </c>
      <c r="J158" s="6" t="s">
        <v>3965</v>
      </c>
      <c r="L158" s="8" t="s">
        <v>3966</v>
      </c>
      <c r="N158" s="6">
        <v>33.711519000000003</v>
      </c>
      <c r="O158" s="6">
        <v>73.057410699999991</v>
      </c>
      <c r="P158" s="6" t="s">
        <v>3967</v>
      </c>
      <c r="Q158" s="6">
        <v>3</v>
      </c>
      <c r="R158" s="6" t="s">
        <v>79</v>
      </c>
      <c r="S158" s="6">
        <v>2015</v>
      </c>
      <c r="T158" s="6">
        <v>446596</v>
      </c>
      <c r="U158" s="6" t="s">
        <v>80</v>
      </c>
      <c r="V158" s="6">
        <v>75</v>
      </c>
      <c r="W158" s="6" t="s">
        <v>80</v>
      </c>
      <c r="X158" s="6" t="s">
        <v>3945</v>
      </c>
      <c r="Y158" s="6" t="s">
        <v>3968</v>
      </c>
      <c r="Z158" s="6" t="s">
        <v>3969</v>
      </c>
      <c r="AA158" s="6" t="s">
        <v>3970</v>
      </c>
      <c r="AB158" s="6" t="s">
        <v>3971</v>
      </c>
      <c r="AC158" s="6">
        <v>221320</v>
      </c>
      <c r="AD158" s="10" t="str">
        <f>_xlfn.XLOOKUP(AC158,[1]Mapping!B:B,[1]Mapping!C:C,"")</f>
        <v xml:space="preserve">Sewage Treatment Facilities </v>
      </c>
      <c r="AG158" s="6" t="s">
        <v>3972</v>
      </c>
      <c r="AH158" s="6" t="s">
        <v>3761</v>
      </c>
      <c r="AI158" s="6" t="s">
        <v>3762</v>
      </c>
      <c r="AJ158" s="6" t="s">
        <v>3973</v>
      </c>
      <c r="AK158" s="6" t="s">
        <v>3974</v>
      </c>
      <c r="AL158" s="6" t="s">
        <v>3484</v>
      </c>
      <c r="AM158" s="6" t="s">
        <v>3485</v>
      </c>
      <c r="AN158" s="6" t="s">
        <v>655</v>
      </c>
      <c r="AO158" s="6" t="s">
        <v>657</v>
      </c>
      <c r="AQ158" s="6">
        <v>4952</v>
      </c>
      <c r="AR158" s="6" t="s">
        <v>3975</v>
      </c>
      <c r="AT158" s="6">
        <v>3700</v>
      </c>
      <c r="AU158" s="6" t="s">
        <v>3976</v>
      </c>
      <c r="AV158" s="6">
        <v>37</v>
      </c>
      <c r="AW158" s="6" t="s">
        <v>3976</v>
      </c>
      <c r="AY158" s="6" t="s">
        <v>3977</v>
      </c>
      <c r="AZ158" s="6">
        <v>923455000000</v>
      </c>
      <c r="BA158" s="6" t="s">
        <v>3978</v>
      </c>
      <c r="BB158" s="6" t="s">
        <v>3953</v>
      </c>
      <c r="BD158" s="6" t="s">
        <v>3979</v>
      </c>
      <c r="BE158" s="6" t="str">
        <f t="shared" si="4"/>
        <v>edotcogroup.com</v>
      </c>
      <c r="BF158" s="6" t="str">
        <f t="shared" si="5"/>
        <v>com</v>
      </c>
      <c r="BG158" s="6" t="s">
        <v>101</v>
      </c>
      <c r="BH158" s="6" t="s">
        <v>3955</v>
      </c>
      <c r="BI158" s="6" t="s">
        <v>3956</v>
      </c>
      <c r="BJ158" s="6" t="s">
        <v>3980</v>
      </c>
      <c r="BK158" s="6" t="s">
        <v>3957</v>
      </c>
      <c r="BQ158" s="6" t="s">
        <v>3981</v>
      </c>
      <c r="BR158" s="6" t="s">
        <v>105</v>
      </c>
    </row>
    <row r="159" spans="1:70" ht="45" customHeight="1" x14ac:dyDescent="0.25">
      <c r="A159" s="6">
        <v>159</v>
      </c>
      <c r="B159" s="7" t="s">
        <v>3982</v>
      </c>
      <c r="C159" s="8" t="s">
        <v>3983</v>
      </c>
      <c r="D159" s="6" t="s">
        <v>3982</v>
      </c>
      <c r="E159" s="6" t="s">
        <v>3984</v>
      </c>
      <c r="F159" s="8" t="s">
        <v>3985</v>
      </c>
      <c r="G159" s="6" t="s">
        <v>73</v>
      </c>
      <c r="H159" s="6" t="s">
        <v>74</v>
      </c>
      <c r="I159" s="6"/>
      <c r="J159" s="6" t="s">
        <v>486</v>
      </c>
      <c r="K159" s="9">
        <v>1411</v>
      </c>
      <c r="L159" s="8" t="s">
        <v>487</v>
      </c>
      <c r="M159" s="9" t="s">
        <v>3986</v>
      </c>
      <c r="N159" s="6">
        <v>55.671695</v>
      </c>
      <c r="O159" s="6">
        <v>12.5840119</v>
      </c>
      <c r="P159" s="6" t="s">
        <v>3987</v>
      </c>
      <c r="Q159" s="6">
        <v>4</v>
      </c>
      <c r="R159" s="6" t="s">
        <v>79</v>
      </c>
      <c r="T159" s="6"/>
      <c r="X159" s="6" t="s">
        <v>3988</v>
      </c>
      <c r="Y159" s="6" t="s">
        <v>3989</v>
      </c>
      <c r="Z159" s="6" t="s">
        <v>3990</v>
      </c>
      <c r="AA159" s="6" t="s">
        <v>3991</v>
      </c>
      <c r="AC159" s="6">
        <v>561510</v>
      </c>
      <c r="AD159" s="10" t="str">
        <f>_xlfn.XLOOKUP(AC159,[1]Mapping!B:B,[1]Mapping!C:C,"")</f>
        <v>Travel Agencies</v>
      </c>
      <c r="AG159" s="6" t="s">
        <v>1892</v>
      </c>
      <c r="AH159" s="6" t="s">
        <v>1892</v>
      </c>
      <c r="AI159" s="6" t="s">
        <v>1893</v>
      </c>
      <c r="AJ159" s="6" t="s">
        <v>174</v>
      </c>
      <c r="AK159" s="6" t="s">
        <v>175</v>
      </c>
      <c r="AL159" s="6" t="s">
        <v>176</v>
      </c>
      <c r="AM159" s="6" t="s">
        <v>177</v>
      </c>
      <c r="AN159" s="6" t="s">
        <v>91</v>
      </c>
      <c r="AO159" s="6" t="s">
        <v>92</v>
      </c>
      <c r="AQ159" s="6">
        <v>4724</v>
      </c>
      <c r="AR159" s="6" t="s">
        <v>1892</v>
      </c>
      <c r="AS159" s="6" t="s">
        <v>3992</v>
      </c>
      <c r="AT159" s="6">
        <v>7911</v>
      </c>
      <c r="AU159" s="6" t="s">
        <v>1895</v>
      </c>
      <c r="AV159" s="6">
        <v>79.11</v>
      </c>
      <c r="AW159" s="6" t="s">
        <v>1895</v>
      </c>
      <c r="AX159" s="6" t="s">
        <v>3993</v>
      </c>
      <c r="AY159" s="6" t="s">
        <v>3994</v>
      </c>
      <c r="AZ159" s="6" t="s">
        <v>3995</v>
      </c>
      <c r="BD159" s="6" t="s">
        <v>3996</v>
      </c>
      <c r="BE159" s="6" t="str">
        <f t="shared" si="4"/>
        <v>egencia.dk</v>
      </c>
      <c r="BF159" s="6" t="str">
        <f t="shared" si="5"/>
        <v>dk</v>
      </c>
      <c r="BG159" s="6" t="s">
        <v>123</v>
      </c>
      <c r="BH159" s="6" t="s">
        <v>3997</v>
      </c>
      <c r="BK159" s="6" t="s">
        <v>3998</v>
      </c>
      <c r="BL159" s="6" t="s">
        <v>3999</v>
      </c>
      <c r="BM159" s="6" t="s">
        <v>4000</v>
      </c>
      <c r="BN159" s="6" t="s">
        <v>4001</v>
      </c>
      <c r="BP159" s="6" t="s">
        <v>4002</v>
      </c>
      <c r="BQ159" s="6" t="s">
        <v>4003</v>
      </c>
      <c r="BR159" s="6" t="s">
        <v>105</v>
      </c>
    </row>
    <row r="160" spans="1:70" ht="45" customHeight="1" x14ac:dyDescent="0.25">
      <c r="A160" s="6">
        <v>160</v>
      </c>
      <c r="B160" s="7" t="s">
        <v>4004</v>
      </c>
      <c r="C160" s="8" t="s">
        <v>4005</v>
      </c>
      <c r="D160" s="6" t="s">
        <v>4006</v>
      </c>
      <c r="E160" s="6" t="s">
        <v>4007</v>
      </c>
      <c r="F160" s="8" t="s">
        <v>4008</v>
      </c>
      <c r="G160" s="6" t="s">
        <v>201</v>
      </c>
      <c r="H160" s="6" t="s">
        <v>202</v>
      </c>
      <c r="I160" s="6" t="s">
        <v>902</v>
      </c>
      <c r="J160" s="6" t="s">
        <v>597</v>
      </c>
      <c r="K160" s="9">
        <v>98004</v>
      </c>
      <c r="L160" s="8" t="s">
        <v>4009</v>
      </c>
      <c r="M160" s="9">
        <v>110</v>
      </c>
      <c r="N160" s="6">
        <v>47.611459400000001</v>
      </c>
      <c r="O160" s="6">
        <v>-122.1932592</v>
      </c>
      <c r="P160" s="6" t="s">
        <v>4010</v>
      </c>
      <c r="Q160" s="6">
        <v>52</v>
      </c>
      <c r="R160" s="6" t="s">
        <v>79</v>
      </c>
      <c r="T160" s="6"/>
      <c r="X160" s="6" t="s">
        <v>4011</v>
      </c>
      <c r="Y160" s="6" t="s">
        <v>4012</v>
      </c>
      <c r="Z160" s="6" t="s">
        <v>4013</v>
      </c>
      <c r="AA160" s="6" t="s">
        <v>4014</v>
      </c>
      <c r="AB160" s="6" t="s">
        <v>4015</v>
      </c>
      <c r="AC160" s="6">
        <v>561510</v>
      </c>
      <c r="AD160" s="10" t="str">
        <f>_xlfn.XLOOKUP(AC160,[1]Mapping!B:B,[1]Mapping!C:C,"")</f>
        <v>Travel Agencies</v>
      </c>
      <c r="AG160" s="6" t="s">
        <v>1892</v>
      </c>
      <c r="AH160" s="6" t="s">
        <v>1892</v>
      </c>
      <c r="AI160" s="6" t="s">
        <v>1893</v>
      </c>
      <c r="AJ160" s="6" t="s">
        <v>293</v>
      </c>
      <c r="AK160" s="6" t="s">
        <v>294</v>
      </c>
      <c r="AL160" s="6" t="s">
        <v>295</v>
      </c>
      <c r="AM160" s="6" t="s">
        <v>296</v>
      </c>
      <c r="AN160" s="6" t="s">
        <v>297</v>
      </c>
      <c r="AO160" s="6" t="s">
        <v>298</v>
      </c>
      <c r="AQ160" s="6">
        <v>4724</v>
      </c>
      <c r="AR160" s="6" t="s">
        <v>1892</v>
      </c>
      <c r="AS160" s="6" t="s">
        <v>4016</v>
      </c>
      <c r="AT160" s="6">
        <v>7911</v>
      </c>
      <c r="AU160" s="6" t="s">
        <v>1895</v>
      </c>
      <c r="AV160" s="6">
        <v>79.11</v>
      </c>
      <c r="AW160" s="6" t="s">
        <v>1895</v>
      </c>
      <c r="AX160" s="6" t="s">
        <v>4017</v>
      </c>
      <c r="AY160" s="6">
        <v>18175240991</v>
      </c>
      <c r="AZ160" s="6" t="s">
        <v>4018</v>
      </c>
      <c r="BA160" s="6" t="s">
        <v>4019</v>
      </c>
      <c r="BD160" s="6" t="s">
        <v>4020</v>
      </c>
      <c r="BE160" s="6" t="str">
        <f t="shared" si="4"/>
        <v>egencia.com</v>
      </c>
      <c r="BF160" s="6" t="str">
        <f t="shared" si="5"/>
        <v>com</v>
      </c>
      <c r="BG160" s="6" t="s">
        <v>101</v>
      </c>
      <c r="BH160" s="6" t="s">
        <v>4021</v>
      </c>
      <c r="BI160" s="6" t="s">
        <v>4022</v>
      </c>
      <c r="BK160" s="6" t="s">
        <v>4023</v>
      </c>
      <c r="BL160" s="6" t="s">
        <v>3999</v>
      </c>
      <c r="BM160" s="6" t="s">
        <v>4000</v>
      </c>
      <c r="BN160" s="6" t="s">
        <v>4024</v>
      </c>
      <c r="BP160" s="6" t="s">
        <v>4025</v>
      </c>
      <c r="BQ160" s="6" t="s">
        <v>4026</v>
      </c>
      <c r="BR160" s="6" t="s">
        <v>105</v>
      </c>
    </row>
    <row r="161" spans="1:70" ht="45" customHeight="1" x14ac:dyDescent="0.25">
      <c r="A161" s="6">
        <v>161</v>
      </c>
      <c r="B161" s="7" t="s">
        <v>4027</v>
      </c>
      <c r="C161" s="8" t="s">
        <v>4028</v>
      </c>
      <c r="D161" s="6" t="s">
        <v>4029</v>
      </c>
      <c r="E161" s="8" t="s">
        <v>4027</v>
      </c>
      <c r="F161" s="8" t="s">
        <v>4030</v>
      </c>
      <c r="G161" s="6" t="s">
        <v>130</v>
      </c>
      <c r="H161" s="6" t="s">
        <v>131</v>
      </c>
      <c r="I161" s="8" t="s">
        <v>132</v>
      </c>
      <c r="J161" s="6" t="s">
        <v>132</v>
      </c>
      <c r="K161" s="9">
        <v>113</v>
      </c>
      <c r="L161" s="8" t="s">
        <v>4031</v>
      </c>
      <c r="M161" s="9">
        <v>30</v>
      </c>
      <c r="N161" s="6">
        <v>59.913098999999988</v>
      </c>
      <c r="O161" s="6">
        <v>10.7239006</v>
      </c>
      <c r="P161" s="6" t="s">
        <v>4032</v>
      </c>
      <c r="Q161" s="6">
        <v>6</v>
      </c>
      <c r="R161" s="6" t="s">
        <v>79</v>
      </c>
      <c r="T161" s="6">
        <v>46104336</v>
      </c>
      <c r="U161" s="6" t="s">
        <v>80</v>
      </c>
      <c r="V161" s="6">
        <v>150</v>
      </c>
      <c r="W161" s="6" t="s">
        <v>80</v>
      </c>
      <c r="X161" s="6" t="s">
        <v>4033</v>
      </c>
      <c r="Y161" s="6" t="s">
        <v>4034</v>
      </c>
      <c r="Z161" s="6" t="s">
        <v>4035</v>
      </c>
      <c r="AA161" s="6" t="s">
        <v>4036</v>
      </c>
      <c r="AB161" s="6" t="s">
        <v>4037</v>
      </c>
      <c r="AC161" s="6">
        <v>561510</v>
      </c>
      <c r="AD161" s="10" t="str">
        <f>_xlfn.XLOOKUP(AC161,[1]Mapping!B:B,[1]Mapping!C:C,"")</f>
        <v>Travel Agencies</v>
      </c>
      <c r="AG161" s="6" t="s">
        <v>1892</v>
      </c>
      <c r="AH161" s="6" t="s">
        <v>1892</v>
      </c>
      <c r="AI161" s="6" t="s">
        <v>1893</v>
      </c>
      <c r="AJ161" s="6" t="s">
        <v>174</v>
      </c>
      <c r="AK161" s="6" t="s">
        <v>175</v>
      </c>
      <c r="AL161" s="6" t="s">
        <v>176</v>
      </c>
      <c r="AM161" s="6" t="s">
        <v>177</v>
      </c>
      <c r="AN161" s="6" t="s">
        <v>91</v>
      </c>
      <c r="AO161" s="6" t="s">
        <v>92</v>
      </c>
      <c r="AQ161" s="6">
        <v>4724</v>
      </c>
      <c r="AR161" s="6" t="s">
        <v>1892</v>
      </c>
      <c r="AS161" s="6" t="s">
        <v>4038</v>
      </c>
      <c r="AT161" s="6">
        <v>7911</v>
      </c>
      <c r="AU161" s="6" t="s">
        <v>1895</v>
      </c>
      <c r="AV161" s="6">
        <v>79.11</v>
      </c>
      <c r="AW161" s="6" t="s">
        <v>1895</v>
      </c>
      <c r="AX161" s="6" t="s">
        <v>4039</v>
      </c>
      <c r="AY161" s="6" t="s">
        <v>4040</v>
      </c>
      <c r="AZ161" s="6" t="s">
        <v>4041</v>
      </c>
      <c r="BD161" s="6" t="s">
        <v>4042</v>
      </c>
      <c r="BE161" s="6" t="str">
        <f t="shared" si="4"/>
        <v>egencia.no</v>
      </c>
      <c r="BF161" s="6" t="str">
        <f t="shared" si="5"/>
        <v>no</v>
      </c>
      <c r="BG161" s="6" t="s">
        <v>150</v>
      </c>
      <c r="BH161" s="6" t="s">
        <v>4043</v>
      </c>
      <c r="BI161" s="6" t="s">
        <v>4022</v>
      </c>
      <c r="BK161" s="6" t="s">
        <v>4023</v>
      </c>
      <c r="BL161" s="6" t="s">
        <v>3999</v>
      </c>
      <c r="BM161" s="6" t="s">
        <v>4000</v>
      </c>
      <c r="BN161" s="6" t="s">
        <v>4024</v>
      </c>
      <c r="BP161" s="6" t="s">
        <v>4044</v>
      </c>
      <c r="BQ161" s="6" t="s">
        <v>4045</v>
      </c>
      <c r="BR161" s="6" t="s">
        <v>105</v>
      </c>
    </row>
    <row r="162" spans="1:70" ht="45" customHeight="1" x14ac:dyDescent="0.25">
      <c r="A162" s="6">
        <v>162</v>
      </c>
      <c r="B162" s="7" t="s">
        <v>4046</v>
      </c>
      <c r="C162" s="8" t="s">
        <v>4047</v>
      </c>
      <c r="D162" s="6" t="s">
        <v>3985</v>
      </c>
      <c r="E162" s="6" t="s">
        <v>4048</v>
      </c>
      <c r="F162" s="8" t="s">
        <v>4049</v>
      </c>
      <c r="G162" s="6" t="s">
        <v>160</v>
      </c>
      <c r="H162" s="6" t="s">
        <v>161</v>
      </c>
      <c r="I162" s="6" t="s">
        <v>281</v>
      </c>
      <c r="J162" s="6" t="s">
        <v>282</v>
      </c>
      <c r="K162" s="9" t="s">
        <v>4050</v>
      </c>
      <c r="L162" s="8" t="s">
        <v>4051</v>
      </c>
      <c r="M162" s="9">
        <v>3</v>
      </c>
      <c r="N162" s="6">
        <v>59.313568900000007</v>
      </c>
      <c r="O162" s="6">
        <v>18.0258383</v>
      </c>
      <c r="P162" s="6" t="s">
        <v>4052</v>
      </c>
      <c r="Q162" s="6">
        <v>49</v>
      </c>
      <c r="R162" s="6" t="s">
        <v>79</v>
      </c>
      <c r="T162" s="6"/>
      <c r="X162" s="6" t="s">
        <v>4053</v>
      </c>
      <c r="Y162" s="6" t="s">
        <v>4054</v>
      </c>
      <c r="Z162" s="6" t="s">
        <v>4055</v>
      </c>
      <c r="AA162" s="6" t="s">
        <v>4056</v>
      </c>
      <c r="AB162" s="6" t="s">
        <v>4057</v>
      </c>
      <c r="AC162" s="6">
        <v>561510</v>
      </c>
      <c r="AD162" s="10" t="str">
        <f>_xlfn.XLOOKUP(AC162,[1]Mapping!B:B,[1]Mapping!C:C,"")</f>
        <v>Travel Agencies</v>
      </c>
      <c r="AG162" s="6" t="s">
        <v>1892</v>
      </c>
      <c r="AH162" s="6" t="s">
        <v>1892</v>
      </c>
      <c r="AI162" s="6" t="s">
        <v>1893</v>
      </c>
      <c r="AJ162" s="6" t="s">
        <v>2134</v>
      </c>
      <c r="AK162" s="6" t="s">
        <v>2135</v>
      </c>
      <c r="AL162" s="6" t="s">
        <v>2136</v>
      </c>
      <c r="AM162" s="6" t="s">
        <v>2137</v>
      </c>
      <c r="AN162" s="6" t="s">
        <v>2138</v>
      </c>
      <c r="AO162" s="6" t="s">
        <v>2139</v>
      </c>
      <c r="AQ162" s="6">
        <v>4724</v>
      </c>
      <c r="AR162" s="6" t="s">
        <v>1892</v>
      </c>
      <c r="AS162" s="6" t="s">
        <v>4058</v>
      </c>
      <c r="AT162" s="6">
        <v>7911</v>
      </c>
      <c r="AU162" s="6" t="s">
        <v>1895</v>
      </c>
      <c r="AV162" s="6">
        <v>79.11</v>
      </c>
      <c r="AW162" s="6" t="s">
        <v>1895</v>
      </c>
      <c r="AX162" s="6" t="s">
        <v>4059</v>
      </c>
      <c r="AY162" s="6" t="s">
        <v>4060</v>
      </c>
      <c r="AZ162" s="6">
        <v>85236075745</v>
      </c>
      <c r="BA162" s="6" t="s">
        <v>4061</v>
      </c>
      <c r="BD162" s="6" t="s">
        <v>4062</v>
      </c>
      <c r="BE162" s="6" t="str">
        <f t="shared" si="4"/>
        <v>egencia.se</v>
      </c>
      <c r="BF162" s="6" t="str">
        <f t="shared" si="5"/>
        <v>se</v>
      </c>
      <c r="BG162" s="6" t="s">
        <v>101</v>
      </c>
      <c r="BH162" s="6" t="s">
        <v>4021</v>
      </c>
      <c r="BI162" s="6" t="s">
        <v>4022</v>
      </c>
      <c r="BK162" s="6" t="s">
        <v>4023</v>
      </c>
      <c r="BL162" s="6" t="s">
        <v>3999</v>
      </c>
      <c r="BM162" s="6" t="s">
        <v>4000</v>
      </c>
      <c r="BN162" s="6" t="s">
        <v>4024</v>
      </c>
      <c r="BP162" s="6" t="s">
        <v>4002</v>
      </c>
      <c r="BQ162" s="6" t="s">
        <v>4063</v>
      </c>
      <c r="BR162" s="6" t="s">
        <v>105</v>
      </c>
    </row>
    <row r="163" spans="1:70" ht="45" customHeight="1" x14ac:dyDescent="0.25">
      <c r="A163" s="6">
        <v>163</v>
      </c>
      <c r="B163" s="7" t="s">
        <v>4064</v>
      </c>
      <c r="C163" s="8" t="s">
        <v>4065</v>
      </c>
      <c r="D163" s="6" t="s">
        <v>4066</v>
      </c>
      <c r="E163" s="6" t="s">
        <v>4067</v>
      </c>
      <c r="F163" s="8" t="s">
        <v>4068</v>
      </c>
      <c r="G163" s="6" t="s">
        <v>1659</v>
      </c>
      <c r="H163" s="6" t="s">
        <v>1660</v>
      </c>
      <c r="I163" s="6" t="s">
        <v>3845</v>
      </c>
      <c r="J163" s="6" t="s">
        <v>3846</v>
      </c>
      <c r="K163" s="9">
        <v>1229</v>
      </c>
      <c r="L163" s="8" t="s">
        <v>4069</v>
      </c>
      <c r="M163" s="9">
        <v>125</v>
      </c>
      <c r="N163" s="6">
        <v>23.815255700000002</v>
      </c>
      <c r="O163" s="6">
        <v>90.421344099999999</v>
      </c>
      <c r="P163" s="6" t="s">
        <v>4070</v>
      </c>
      <c r="Q163" s="6">
        <v>1</v>
      </c>
      <c r="R163" s="6" t="s">
        <v>79</v>
      </c>
      <c r="S163" s="6">
        <v>2003</v>
      </c>
      <c r="T163" s="6">
        <v>1361697</v>
      </c>
      <c r="U163" s="6" t="s">
        <v>80</v>
      </c>
      <c r="V163" s="6">
        <v>140</v>
      </c>
      <c r="W163" s="6" t="s">
        <v>167</v>
      </c>
      <c r="X163" s="6" t="s">
        <v>4071</v>
      </c>
      <c r="Y163" s="6" t="s">
        <v>4072</v>
      </c>
      <c r="Z163" s="6" t="s">
        <v>4073</v>
      </c>
      <c r="AA163" s="6" t="s">
        <v>4074</v>
      </c>
      <c r="AB163" s="6" t="s">
        <v>4075</v>
      </c>
      <c r="AC163" s="6">
        <v>541512</v>
      </c>
      <c r="AD163" s="10" t="str">
        <f>_xlfn.XLOOKUP(AC163,[1]Mapping!B:B,[1]Mapping!C:C,"")</f>
        <v xml:space="preserve">Computer Systems Design Services </v>
      </c>
      <c r="AG163" s="6" t="s">
        <v>581</v>
      </c>
      <c r="AH163" s="6" t="s">
        <v>174</v>
      </c>
      <c r="AI163" s="6" t="s">
        <v>87</v>
      </c>
      <c r="AJ163" s="6" t="s">
        <v>174</v>
      </c>
      <c r="AK163" s="6" t="s">
        <v>175</v>
      </c>
      <c r="AL163" s="6" t="s">
        <v>176</v>
      </c>
      <c r="AM163" s="6" t="s">
        <v>177</v>
      </c>
      <c r="AN163" s="6" t="s">
        <v>91</v>
      </c>
      <c r="AO163" s="6" t="s">
        <v>92</v>
      </c>
      <c r="AQ163" s="6" t="s">
        <v>582</v>
      </c>
      <c r="AR163" s="6" t="s">
        <v>583</v>
      </c>
      <c r="AT163" s="6">
        <v>6202</v>
      </c>
      <c r="AU163" s="6" t="s">
        <v>584</v>
      </c>
      <c r="AV163" s="6" t="s">
        <v>585</v>
      </c>
      <c r="AW163" s="6" t="s">
        <v>586</v>
      </c>
      <c r="AY163" s="6" t="s">
        <v>4076</v>
      </c>
      <c r="AZ163" s="6" t="s">
        <v>4077</v>
      </c>
      <c r="BD163" s="6" t="s">
        <v>4078</v>
      </c>
      <c r="BE163" s="6" t="str">
        <f t="shared" si="4"/>
        <v>egeneration.co</v>
      </c>
      <c r="BF163" s="6" t="str">
        <f t="shared" si="5"/>
        <v>co</v>
      </c>
      <c r="BG163" s="6" t="s">
        <v>101</v>
      </c>
      <c r="BH163" s="6" t="s">
        <v>4079</v>
      </c>
      <c r="BI163" s="6" t="s">
        <v>4080</v>
      </c>
      <c r="BK163" s="6" t="s">
        <v>4081</v>
      </c>
      <c r="BP163" s="6" t="s">
        <v>4082</v>
      </c>
      <c r="BQ163" s="6" t="s">
        <v>4083</v>
      </c>
      <c r="BR163" s="6" t="s">
        <v>105</v>
      </c>
    </row>
    <row r="164" spans="1:70" ht="45" customHeight="1" x14ac:dyDescent="0.25">
      <c r="A164" s="6">
        <v>164</v>
      </c>
      <c r="B164" s="7" t="s">
        <v>4084</v>
      </c>
      <c r="C164" s="8" t="s">
        <v>4085</v>
      </c>
      <c r="D164" s="6" t="s">
        <v>4086</v>
      </c>
      <c r="E164" s="6" t="s">
        <v>4087</v>
      </c>
      <c r="F164" s="8" t="s">
        <v>4088</v>
      </c>
      <c r="G164" s="6" t="s">
        <v>73</v>
      </c>
      <c r="H164" s="6" t="s">
        <v>74</v>
      </c>
      <c r="I164" s="6"/>
      <c r="J164" s="6" t="s">
        <v>2091</v>
      </c>
      <c r="K164" s="9">
        <v>2600</v>
      </c>
      <c r="L164" s="8" t="s">
        <v>4089</v>
      </c>
      <c r="M164" s="9">
        <v>169</v>
      </c>
      <c r="N164" s="6">
        <v>55.6641865</v>
      </c>
      <c r="O164" s="6">
        <v>12.3810685</v>
      </c>
      <c r="P164" s="6" t="s">
        <v>4090</v>
      </c>
      <c r="Q164" s="6">
        <v>47</v>
      </c>
      <c r="R164" s="6" t="s">
        <v>79</v>
      </c>
      <c r="S164" s="6">
        <v>1996</v>
      </c>
      <c r="T164" s="6">
        <v>843731840</v>
      </c>
      <c r="U164" s="6" t="s">
        <v>167</v>
      </c>
      <c r="V164" s="6">
        <v>2469</v>
      </c>
      <c r="W164" s="6" t="s">
        <v>167</v>
      </c>
      <c r="X164" s="6" t="s">
        <v>4091</v>
      </c>
      <c r="Y164" s="6" t="s">
        <v>4092</v>
      </c>
      <c r="Z164" s="6" t="s">
        <v>4093</v>
      </c>
      <c r="AA164" s="6" t="s">
        <v>4094</v>
      </c>
      <c r="AB164" s="6" t="s">
        <v>4095</v>
      </c>
      <c r="AC164" s="6">
        <v>334310</v>
      </c>
      <c r="AD164" s="10" t="str">
        <f>_xlfn.XLOOKUP(AC164,[1]Mapping!B:B,[1]Mapping!C:C,"")</f>
        <v>Audio and Video Equipment Manufacturing</v>
      </c>
      <c r="AG164" s="6" t="s">
        <v>964</v>
      </c>
      <c r="AH164" s="6" t="s">
        <v>965</v>
      </c>
      <c r="AI164" s="6" t="s">
        <v>733</v>
      </c>
      <c r="AJ164" s="6" t="s">
        <v>255</v>
      </c>
      <c r="AK164" s="6" t="s">
        <v>256</v>
      </c>
      <c r="AL164" s="6" t="s">
        <v>257</v>
      </c>
      <c r="AM164" s="6" t="s">
        <v>258</v>
      </c>
      <c r="AN164" s="6" t="s">
        <v>259</v>
      </c>
      <c r="AO164" s="6" t="s">
        <v>260</v>
      </c>
      <c r="AQ164" s="6" t="s">
        <v>4096</v>
      </c>
      <c r="AR164" s="6" t="s">
        <v>4097</v>
      </c>
      <c r="AS164" s="6" t="s">
        <v>4098</v>
      </c>
      <c r="AT164" s="6">
        <v>2640</v>
      </c>
      <c r="AU164" s="6" t="s">
        <v>4099</v>
      </c>
      <c r="AV164" s="6">
        <v>26.4</v>
      </c>
      <c r="AW164" s="6" t="s">
        <v>4099</v>
      </c>
      <c r="AX164" s="6" t="s">
        <v>4100</v>
      </c>
      <c r="AY164" s="6" t="s">
        <v>4101</v>
      </c>
      <c r="AZ164" s="6" t="s">
        <v>4102</v>
      </c>
      <c r="BA164" s="6" t="s">
        <v>4103</v>
      </c>
      <c r="BB164" s="6" t="s">
        <v>4103</v>
      </c>
      <c r="BD164" s="6" t="s">
        <v>4104</v>
      </c>
      <c r="BE164" s="6" t="str">
        <f t="shared" si="4"/>
        <v>elgiganten.dk</v>
      </c>
      <c r="BF164" s="6" t="str">
        <f t="shared" si="5"/>
        <v>dk</v>
      </c>
      <c r="BG164" s="6" t="s">
        <v>123</v>
      </c>
      <c r="BH164" s="6" t="s">
        <v>4105</v>
      </c>
      <c r="BI164" s="6" t="s">
        <v>4106</v>
      </c>
      <c r="BJ164" s="6" t="s">
        <v>4107</v>
      </c>
      <c r="BK164" s="6" t="s">
        <v>4108</v>
      </c>
      <c r="BP164" s="6" t="s">
        <v>4109</v>
      </c>
      <c r="BQ164" s="6" t="s">
        <v>4110</v>
      </c>
      <c r="BR164" s="6" t="s">
        <v>105</v>
      </c>
    </row>
    <row r="165" spans="1:70" ht="45" customHeight="1" x14ac:dyDescent="0.25">
      <c r="A165" s="6">
        <v>165</v>
      </c>
      <c r="B165" s="7" t="s">
        <v>4111</v>
      </c>
      <c r="C165" s="8" t="s">
        <v>4112</v>
      </c>
      <c r="D165" s="6" t="s">
        <v>4113</v>
      </c>
      <c r="E165" s="6" t="s">
        <v>4114</v>
      </c>
      <c r="F165" s="8" t="s">
        <v>4115</v>
      </c>
      <c r="G165" s="6" t="s">
        <v>73</v>
      </c>
      <c r="H165" s="6" t="s">
        <v>74</v>
      </c>
      <c r="I165" s="6"/>
      <c r="J165" s="6" t="s">
        <v>3165</v>
      </c>
      <c r="K165" s="9">
        <v>2730</v>
      </c>
      <c r="L165" s="8" t="s">
        <v>3166</v>
      </c>
      <c r="M165" s="9">
        <v>3</v>
      </c>
      <c r="N165" s="6">
        <v>55.720650999999997</v>
      </c>
      <c r="O165" s="6">
        <v>12.431143</v>
      </c>
      <c r="P165" s="6" t="s">
        <v>4116</v>
      </c>
      <c r="Q165" s="6">
        <v>7</v>
      </c>
      <c r="R165" s="6" t="s">
        <v>79</v>
      </c>
      <c r="S165" s="6">
        <v>2000</v>
      </c>
      <c r="T165" s="6">
        <v>2200000</v>
      </c>
      <c r="U165" s="6" t="s">
        <v>167</v>
      </c>
      <c r="V165" s="6">
        <v>5000</v>
      </c>
      <c r="W165" s="6" t="s">
        <v>167</v>
      </c>
      <c r="X165" s="6" t="s">
        <v>4117</v>
      </c>
      <c r="Y165" s="6" t="s">
        <v>4118</v>
      </c>
      <c r="Z165" s="6" t="s">
        <v>4119</v>
      </c>
      <c r="AA165" s="6" t="s">
        <v>4120</v>
      </c>
      <c r="AB165" s="6" t="s">
        <v>4121</v>
      </c>
      <c r="AC165" s="6">
        <v>237130</v>
      </c>
      <c r="AD165" s="10" t="str">
        <f>_xlfn.XLOOKUP(AC165,[1]Mapping!B:B,[1]Mapping!C:C,"")</f>
        <v xml:space="preserve">Power and Communication Line and Related Structures Construction </v>
      </c>
      <c r="AE165" s="6" t="s">
        <v>4122</v>
      </c>
      <c r="AF165" s="6" t="s">
        <v>4123</v>
      </c>
      <c r="AG165" s="6" t="s">
        <v>4124</v>
      </c>
      <c r="AH165" s="6" t="s">
        <v>4125</v>
      </c>
      <c r="AI165" s="6" t="s">
        <v>4126</v>
      </c>
      <c r="AJ165" s="6" t="s">
        <v>3482</v>
      </c>
      <c r="AK165" s="6" t="s">
        <v>3483</v>
      </c>
      <c r="AL165" s="6" t="s">
        <v>3484</v>
      </c>
      <c r="AM165" s="6" t="s">
        <v>3485</v>
      </c>
      <c r="AN165" s="6" t="s">
        <v>655</v>
      </c>
      <c r="AO165" s="6" t="s">
        <v>657</v>
      </c>
      <c r="AQ165" s="6">
        <v>1623</v>
      </c>
      <c r="AR165" s="6" t="s">
        <v>2707</v>
      </c>
      <c r="AT165" s="6">
        <v>4220</v>
      </c>
      <c r="AU165" s="6" t="s">
        <v>2708</v>
      </c>
      <c r="AV165" s="6">
        <v>42.22</v>
      </c>
      <c r="AW165" s="6" t="s">
        <v>2709</v>
      </c>
      <c r="AY165" s="6" t="s">
        <v>4127</v>
      </c>
      <c r="AZ165" s="6" t="s">
        <v>4128</v>
      </c>
      <c r="BA165" s="6" t="s">
        <v>4129</v>
      </c>
      <c r="BD165" s="6" t="s">
        <v>4130</v>
      </c>
      <c r="BE165" s="6" t="str">
        <f t="shared" si="4"/>
        <v>eltelnetworks.dk</v>
      </c>
      <c r="BF165" s="6" t="str">
        <f t="shared" si="5"/>
        <v>dk</v>
      </c>
      <c r="BG165" s="6" t="s">
        <v>101</v>
      </c>
      <c r="BH165" s="6" t="s">
        <v>4131</v>
      </c>
      <c r="BI165" s="6" t="s">
        <v>4132</v>
      </c>
      <c r="BK165" s="6" t="s">
        <v>4133</v>
      </c>
      <c r="BN165" s="6" t="s">
        <v>4134</v>
      </c>
      <c r="BP165" s="6" t="s">
        <v>4135</v>
      </c>
      <c r="BQ165" s="6" t="s">
        <v>4136</v>
      </c>
      <c r="BR165" s="6" t="s">
        <v>105</v>
      </c>
    </row>
    <row r="166" spans="1:70" ht="45" customHeight="1" x14ac:dyDescent="0.25">
      <c r="A166" s="6">
        <v>166</v>
      </c>
      <c r="B166" s="7" t="s">
        <v>4137</v>
      </c>
      <c r="C166" s="8" t="s">
        <v>4138</v>
      </c>
      <c r="D166" s="6" t="s">
        <v>4139</v>
      </c>
      <c r="E166" s="8" t="s">
        <v>4137</v>
      </c>
      <c r="F166" s="8" t="s">
        <v>4139</v>
      </c>
      <c r="G166" s="6" t="s">
        <v>73</v>
      </c>
      <c r="H166" s="6" t="s">
        <v>74</v>
      </c>
      <c r="J166" s="6" t="s">
        <v>4140</v>
      </c>
      <c r="K166" s="9">
        <v>7000</v>
      </c>
      <c r="L166" s="8" t="s">
        <v>4141</v>
      </c>
      <c r="M166" s="9">
        <v>13</v>
      </c>
      <c r="N166" s="6">
        <v>55.531537200000002</v>
      </c>
      <c r="O166" s="6">
        <v>9.7079592999999988</v>
      </c>
      <c r="P166" s="6" t="s">
        <v>4142</v>
      </c>
      <c r="Q166" s="6">
        <v>2</v>
      </c>
      <c r="R166" s="6" t="s">
        <v>79</v>
      </c>
      <c r="S166" s="6">
        <v>2004</v>
      </c>
      <c r="T166" s="6">
        <v>17263164</v>
      </c>
      <c r="U166" s="6" t="s">
        <v>80</v>
      </c>
      <c r="V166" s="6">
        <v>75</v>
      </c>
      <c r="W166" s="6" t="s">
        <v>80</v>
      </c>
      <c r="X166" s="6" t="s">
        <v>4143</v>
      </c>
      <c r="Y166" s="6" t="s">
        <v>4144</v>
      </c>
      <c r="Z166" s="6" t="s">
        <v>4145</v>
      </c>
      <c r="AA166" s="6" t="s">
        <v>4146</v>
      </c>
      <c r="AB166" s="6" t="s">
        <v>4147</v>
      </c>
      <c r="AC166" s="6">
        <v>333415</v>
      </c>
      <c r="AD166" s="10" t="str">
        <f>_xlfn.XLOOKUP(AC166,[1]Mapping!B:B,[1]Mapping!C:C,"")</f>
        <v xml:space="preserve">Air-Conditioning and Warm Air Heating Equipment and Commercial and Industrial Refrigeration Equipment Manufacturing </v>
      </c>
      <c r="AE166" s="6" t="s">
        <v>4148</v>
      </c>
      <c r="AF166" s="6" t="s">
        <v>4149</v>
      </c>
      <c r="AG166" s="6" t="s">
        <v>4150</v>
      </c>
      <c r="AH166" s="6" t="s">
        <v>4151</v>
      </c>
      <c r="AI166" s="6" t="s">
        <v>431</v>
      </c>
      <c r="AJ166" s="6" t="s">
        <v>432</v>
      </c>
      <c r="AK166" s="6" t="s">
        <v>433</v>
      </c>
      <c r="AL166" s="6" t="s">
        <v>434</v>
      </c>
      <c r="AM166" s="6" t="s">
        <v>435</v>
      </c>
      <c r="AN166" s="6" t="s">
        <v>436</v>
      </c>
      <c r="AO166" s="6" t="s">
        <v>437</v>
      </c>
      <c r="AQ166" s="6">
        <v>3585</v>
      </c>
      <c r="AR166" s="6" t="s">
        <v>4152</v>
      </c>
      <c r="AS166" s="6" t="s">
        <v>4153</v>
      </c>
      <c r="AT166" s="6">
        <v>2825</v>
      </c>
      <c r="AU166" s="6" t="s">
        <v>4154</v>
      </c>
      <c r="AV166" s="6">
        <v>28.25</v>
      </c>
      <c r="AW166" s="6" t="s">
        <v>4155</v>
      </c>
      <c r="AX166" s="6" t="s">
        <v>4156</v>
      </c>
      <c r="AY166" s="6" t="s">
        <v>4157</v>
      </c>
      <c r="AZ166" s="6" t="s">
        <v>4158</v>
      </c>
      <c r="BA166" s="6" t="s">
        <v>4159</v>
      </c>
      <c r="BB166" s="6" t="s">
        <v>4159</v>
      </c>
      <c r="BC166" s="6" t="s">
        <v>4160</v>
      </c>
      <c r="BD166" s="6" t="s">
        <v>4161</v>
      </c>
      <c r="BE166" s="6" t="str">
        <f t="shared" si="4"/>
        <v>energy-cool.com</v>
      </c>
      <c r="BF166" s="6" t="str">
        <f t="shared" si="5"/>
        <v>com</v>
      </c>
      <c r="BG166" s="6" t="s">
        <v>101</v>
      </c>
      <c r="BH166" s="6" t="s">
        <v>4162</v>
      </c>
      <c r="BK166" s="6" t="s">
        <v>4163</v>
      </c>
      <c r="BP166" s="6" t="s">
        <v>4164</v>
      </c>
      <c r="BQ166" s="6" t="s">
        <v>4165</v>
      </c>
      <c r="BR166" s="6" t="s">
        <v>105</v>
      </c>
    </row>
    <row r="167" spans="1:70" ht="45" customHeight="1" x14ac:dyDescent="0.25">
      <c r="A167" s="6">
        <v>167</v>
      </c>
      <c r="B167" s="7" t="s">
        <v>4166</v>
      </c>
      <c r="C167" s="8" t="s">
        <v>4167</v>
      </c>
      <c r="D167" s="6" t="s">
        <v>4168</v>
      </c>
      <c r="E167" s="6" t="s">
        <v>4169</v>
      </c>
      <c r="F167" s="8" t="s">
        <v>4170</v>
      </c>
      <c r="G167" s="6" t="s">
        <v>4171</v>
      </c>
      <c r="H167" s="6" t="s">
        <v>4172</v>
      </c>
      <c r="I167" s="6" t="s">
        <v>4173</v>
      </c>
      <c r="J167" s="6" t="s">
        <v>4174</v>
      </c>
      <c r="K167" s="9" t="s">
        <v>4175</v>
      </c>
      <c r="L167" s="8" t="s">
        <v>4176</v>
      </c>
      <c r="M167" s="9">
        <v>130</v>
      </c>
      <c r="N167" s="6">
        <v>52.319527999999998</v>
      </c>
      <c r="O167" s="6">
        <v>21.050155</v>
      </c>
      <c r="P167" s="6" t="s">
        <v>4177</v>
      </c>
      <c r="Q167" s="6">
        <v>1</v>
      </c>
      <c r="R167" s="6" t="s">
        <v>79</v>
      </c>
      <c r="S167" s="6">
        <v>2002</v>
      </c>
      <c r="T167" s="6">
        <v>20619588</v>
      </c>
      <c r="U167" s="6" t="s">
        <v>80</v>
      </c>
      <c r="V167" s="6">
        <v>75</v>
      </c>
      <c r="W167" s="6" t="s">
        <v>80</v>
      </c>
      <c r="X167" s="6" t="s">
        <v>4178</v>
      </c>
      <c r="Y167" s="6" t="s">
        <v>4179</v>
      </c>
      <c r="Z167" s="6" t="s">
        <v>4180</v>
      </c>
      <c r="AA167" s="6" t="s">
        <v>4181</v>
      </c>
      <c r="AB167" s="6" t="s">
        <v>4182</v>
      </c>
      <c r="AC167" s="6">
        <v>335999</v>
      </c>
      <c r="AD167" s="10" t="str">
        <f>_xlfn.XLOOKUP(AC167,[1]Mapping!B:B,[1]Mapping!C:C,"")</f>
        <v xml:space="preserve">All Other Miscellaneous Electrical Equipment and Component Manufacturing </v>
      </c>
      <c r="AG167" s="6" t="s">
        <v>732</v>
      </c>
      <c r="AH167" s="6" t="s">
        <v>432</v>
      </c>
      <c r="AI167" s="6" t="s">
        <v>733</v>
      </c>
      <c r="AJ167" s="6" t="s">
        <v>432</v>
      </c>
      <c r="AK167" s="6" t="s">
        <v>433</v>
      </c>
      <c r="AL167" s="6" t="s">
        <v>434</v>
      </c>
      <c r="AM167" s="6" t="s">
        <v>435</v>
      </c>
      <c r="AN167" s="6" t="s">
        <v>436</v>
      </c>
      <c r="AO167" s="6" t="s">
        <v>437</v>
      </c>
      <c r="AQ167" s="6" t="s">
        <v>1947</v>
      </c>
      <c r="AR167" s="6" t="s">
        <v>1948</v>
      </c>
      <c r="AS167" s="6" t="s">
        <v>4183</v>
      </c>
      <c r="AT167" s="6">
        <v>2790</v>
      </c>
      <c r="AU167" s="6" t="s">
        <v>1949</v>
      </c>
      <c r="AV167" s="6">
        <v>27.9</v>
      </c>
      <c r="AW167" s="6" t="s">
        <v>1949</v>
      </c>
      <c r="AX167" s="6" t="s">
        <v>4184</v>
      </c>
      <c r="AY167" s="6" t="s">
        <v>4185</v>
      </c>
      <c r="AZ167" s="6">
        <v>97148809093</v>
      </c>
      <c r="BA167" s="6" t="s">
        <v>4186</v>
      </c>
      <c r="BB167" s="6" t="s">
        <v>4187</v>
      </c>
      <c r="BD167" s="6" t="s">
        <v>4188</v>
      </c>
      <c r="BE167" s="6" t="str">
        <f t="shared" si="4"/>
        <v>enerp.pl</v>
      </c>
      <c r="BF167" s="6" t="str">
        <f t="shared" si="5"/>
        <v>pl</v>
      </c>
      <c r="BG167" s="6" t="s">
        <v>101</v>
      </c>
      <c r="BH167" s="6" t="s">
        <v>4189</v>
      </c>
      <c r="BJ167" s="6" t="s">
        <v>4190</v>
      </c>
      <c r="BK167" s="6" t="s">
        <v>4191</v>
      </c>
      <c r="BN167" s="6" t="s">
        <v>4192</v>
      </c>
      <c r="BP167" s="6" t="s">
        <v>4193</v>
      </c>
      <c r="BQ167" s="6" t="s">
        <v>4194</v>
      </c>
      <c r="BR167" s="6" t="s">
        <v>105</v>
      </c>
    </row>
    <row r="168" spans="1:70" ht="45" customHeight="1" x14ac:dyDescent="0.25">
      <c r="A168" s="6">
        <v>168</v>
      </c>
      <c r="B168" s="7" t="s">
        <v>4195</v>
      </c>
      <c r="C168" s="8" t="s">
        <v>4196</v>
      </c>
      <c r="D168" s="6" t="s">
        <v>4197</v>
      </c>
      <c r="E168" s="6" t="s">
        <v>4198</v>
      </c>
      <c r="F168" s="8" t="s">
        <v>4199</v>
      </c>
      <c r="G168" s="6" t="s">
        <v>73</v>
      </c>
      <c r="H168" s="6" t="s">
        <v>74</v>
      </c>
      <c r="I168" s="6"/>
      <c r="J168" s="6" t="s">
        <v>4200</v>
      </c>
      <c r="K168" s="9">
        <v>9500</v>
      </c>
      <c r="L168" s="8" t="s">
        <v>4201</v>
      </c>
      <c r="M168" s="9">
        <v>6</v>
      </c>
      <c r="N168" s="6">
        <v>56.650188499999999</v>
      </c>
      <c r="O168" s="6">
        <v>9.8056251000000003</v>
      </c>
      <c r="P168" s="6" t="s">
        <v>4202</v>
      </c>
      <c r="Q168" s="6">
        <v>1</v>
      </c>
      <c r="R168" s="6" t="s">
        <v>79</v>
      </c>
      <c r="S168" s="6">
        <v>2014</v>
      </c>
      <c r="T168" s="6"/>
      <c r="X168" s="6" t="s">
        <v>4203</v>
      </c>
      <c r="Y168" s="6" t="s">
        <v>4204</v>
      </c>
      <c r="Z168" s="6" t="s">
        <v>4205</v>
      </c>
      <c r="AA168" s="6" t="s">
        <v>4206</v>
      </c>
      <c r="AB168" s="6" t="s">
        <v>4207</v>
      </c>
      <c r="AC168" s="6">
        <v>517311</v>
      </c>
      <c r="AD168" s="10" t="s">
        <v>3831</v>
      </c>
      <c r="AE168" s="6">
        <v>517911</v>
      </c>
      <c r="AF168" s="6" t="s">
        <v>3831</v>
      </c>
      <c r="AG168" s="6" t="s">
        <v>4208</v>
      </c>
      <c r="AH168" s="6" t="s">
        <v>4209</v>
      </c>
      <c r="AI168" s="6" t="s">
        <v>4210</v>
      </c>
      <c r="AQ168" s="6">
        <v>4813</v>
      </c>
      <c r="AR168" s="6" t="s">
        <v>2296</v>
      </c>
      <c r="AT168" s="6">
        <v>6110</v>
      </c>
      <c r="AU168" s="6" t="s">
        <v>2297</v>
      </c>
      <c r="AV168" s="6">
        <v>61.1</v>
      </c>
      <c r="AW168" s="6" t="s">
        <v>2297</v>
      </c>
      <c r="AY168" s="6" t="s">
        <v>4211</v>
      </c>
      <c r="BB168" s="6" t="s">
        <v>4212</v>
      </c>
      <c r="BD168" s="6" t="s">
        <v>4213</v>
      </c>
      <c r="BE168" s="6" t="str">
        <f t="shared" si="4"/>
        <v>hera.dk</v>
      </c>
      <c r="BF168" s="6" t="str">
        <f t="shared" si="5"/>
        <v>dk</v>
      </c>
      <c r="BG168" s="6" t="s">
        <v>123</v>
      </c>
      <c r="BH168" s="6" t="s">
        <v>4214</v>
      </c>
      <c r="BI168" s="6" t="s">
        <v>4215</v>
      </c>
      <c r="BQ168" s="6" t="s">
        <v>4216</v>
      </c>
      <c r="BR168" s="6" t="s">
        <v>105</v>
      </c>
    </row>
    <row r="169" spans="1:70" ht="45" customHeight="1" x14ac:dyDescent="0.25">
      <c r="A169" s="6">
        <v>169</v>
      </c>
      <c r="B169" s="7" t="s">
        <v>4217</v>
      </c>
      <c r="C169" s="8" t="s">
        <v>4218</v>
      </c>
      <c r="D169" s="6" t="s">
        <v>4219</v>
      </c>
      <c r="E169" s="8" t="s">
        <v>4217</v>
      </c>
      <c r="F169" s="8" t="s">
        <v>4220</v>
      </c>
      <c r="G169" s="6" t="s">
        <v>73</v>
      </c>
      <c r="H169" s="6" t="s">
        <v>74</v>
      </c>
      <c r="J169" s="6" t="s">
        <v>4221</v>
      </c>
      <c r="K169" s="9">
        <v>2650</v>
      </c>
      <c r="L169" s="8" t="s">
        <v>4222</v>
      </c>
      <c r="M169" s="9">
        <v>147</v>
      </c>
      <c r="N169" s="6">
        <v>55.614855499999997</v>
      </c>
      <c r="O169" s="6">
        <v>12.4729256</v>
      </c>
      <c r="P169" s="6" t="s">
        <v>4223</v>
      </c>
      <c r="Q169" s="6">
        <v>1</v>
      </c>
      <c r="R169" s="6" t="s">
        <v>79</v>
      </c>
      <c r="S169" s="6">
        <v>2010</v>
      </c>
      <c r="T169" s="6">
        <v>5854633</v>
      </c>
      <c r="U169" s="6" t="s">
        <v>80</v>
      </c>
      <c r="V169" s="6">
        <v>10</v>
      </c>
      <c r="W169" s="6" t="s">
        <v>167</v>
      </c>
      <c r="X169" s="6" t="s">
        <v>4224</v>
      </c>
      <c r="Y169" s="6" t="s">
        <v>4225</v>
      </c>
      <c r="Z169" s="6" t="s">
        <v>4226</v>
      </c>
      <c r="AA169" s="6" t="s">
        <v>4227</v>
      </c>
      <c r="AB169" s="6" t="s">
        <v>4228</v>
      </c>
      <c r="AC169" s="6">
        <v>517810</v>
      </c>
      <c r="AD169" s="10" t="str">
        <f>_xlfn.XLOOKUP(AC169,[1]Mapping!B:B,[1]Mapping!C:C,"")</f>
        <v xml:space="preserve">All Other Telecommunications </v>
      </c>
      <c r="AG169" s="6" t="s">
        <v>89</v>
      </c>
      <c r="AH169" s="6" t="s">
        <v>86</v>
      </c>
      <c r="AI169" s="6" t="s">
        <v>87</v>
      </c>
      <c r="AQ169" s="6" t="s">
        <v>1384</v>
      </c>
      <c r="AR169" s="6" t="s">
        <v>1385</v>
      </c>
      <c r="AT169" s="6">
        <v>6190</v>
      </c>
      <c r="AU169" s="6" t="s">
        <v>96</v>
      </c>
      <c r="AV169" s="6">
        <v>61.9</v>
      </c>
      <c r="AW169" s="6" t="s">
        <v>96</v>
      </c>
      <c r="AY169" s="6" t="s">
        <v>4229</v>
      </c>
      <c r="AZ169" s="6">
        <v>4544700800</v>
      </c>
      <c r="BB169" s="6" t="s">
        <v>4230</v>
      </c>
      <c r="BD169" s="6" t="s">
        <v>4231</v>
      </c>
      <c r="BE169" s="6" t="str">
        <f t="shared" si="4"/>
        <v>enreach.com</v>
      </c>
      <c r="BF169" s="6" t="str">
        <f t="shared" si="5"/>
        <v>com</v>
      </c>
      <c r="BG169" s="6" t="s">
        <v>101</v>
      </c>
      <c r="BI169" s="6" t="s">
        <v>4232</v>
      </c>
      <c r="BK169" s="6" t="s">
        <v>4233</v>
      </c>
      <c r="BN169" s="6" t="s">
        <v>4234</v>
      </c>
      <c r="BQ169" s="6" t="s">
        <v>4235</v>
      </c>
      <c r="BR169" s="6" t="s">
        <v>105</v>
      </c>
    </row>
    <row r="170" spans="1:70" ht="45" customHeight="1" x14ac:dyDescent="0.25">
      <c r="A170" s="6">
        <v>170</v>
      </c>
      <c r="B170" s="7" t="s">
        <v>4236</v>
      </c>
      <c r="C170" s="8" t="s">
        <v>4237</v>
      </c>
      <c r="D170" s="6" t="s">
        <v>4238</v>
      </c>
      <c r="E170" s="6" t="s">
        <v>4239</v>
      </c>
      <c r="F170" s="8" t="s">
        <v>4240</v>
      </c>
      <c r="G170" s="6" t="s">
        <v>612</v>
      </c>
      <c r="H170" s="6" t="s">
        <v>613</v>
      </c>
      <c r="I170" s="6" t="s">
        <v>614</v>
      </c>
      <c r="J170" s="6" t="s">
        <v>1763</v>
      </c>
      <c r="K170" s="9">
        <v>46150</v>
      </c>
      <c r="L170" s="8" t="s">
        <v>4241</v>
      </c>
      <c r="N170" s="6">
        <v>3.0699396999999999</v>
      </c>
      <c r="O170" s="6">
        <v>101.6100383</v>
      </c>
      <c r="P170" s="6" t="s">
        <v>4242</v>
      </c>
      <c r="Q170" s="6">
        <v>278</v>
      </c>
      <c r="R170" s="6" t="s">
        <v>79</v>
      </c>
      <c r="S170" s="6">
        <v>1876</v>
      </c>
      <c r="T170" s="6">
        <v>25255903232</v>
      </c>
      <c r="U170" s="6" t="s">
        <v>167</v>
      </c>
      <c r="V170" s="6">
        <v>100000</v>
      </c>
      <c r="W170" s="6" t="s">
        <v>167</v>
      </c>
      <c r="X170" s="6" t="s">
        <v>4243</v>
      </c>
      <c r="Y170" s="6" t="s">
        <v>4244</v>
      </c>
      <c r="Z170" s="6" t="s">
        <v>4245</v>
      </c>
      <c r="AA170" s="6" t="s">
        <v>4246</v>
      </c>
      <c r="AB170" s="6" t="s">
        <v>4247</v>
      </c>
      <c r="AC170" s="6">
        <v>334210</v>
      </c>
      <c r="AD170" s="10" t="str">
        <f>_xlfn.XLOOKUP(AC170,[1]Mapping!B:B,[1]Mapping!C:C,"")</f>
        <v>Telephone Apparatus Manufacturing</v>
      </c>
      <c r="AG170" s="6" t="s">
        <v>89</v>
      </c>
      <c r="AH170" s="6" t="s">
        <v>86</v>
      </c>
      <c r="AI170" s="6" t="s">
        <v>87</v>
      </c>
      <c r="AJ170" s="6" t="s">
        <v>86</v>
      </c>
      <c r="AK170" s="6" t="s">
        <v>88</v>
      </c>
      <c r="AL170" s="6" t="s">
        <v>89</v>
      </c>
      <c r="AM170" s="6" t="s">
        <v>90</v>
      </c>
      <c r="AN170" s="6" t="s">
        <v>91</v>
      </c>
      <c r="AO170" s="6" t="s">
        <v>92</v>
      </c>
      <c r="AQ170" s="6">
        <v>3661</v>
      </c>
      <c r="AR170" s="6" t="s">
        <v>3832</v>
      </c>
      <c r="AS170" s="6" t="s">
        <v>4248</v>
      </c>
      <c r="AT170" s="6">
        <v>2630</v>
      </c>
      <c r="AU170" s="6" t="s">
        <v>2684</v>
      </c>
      <c r="AV170" s="6">
        <v>26.3</v>
      </c>
      <c r="AW170" s="6" t="s">
        <v>2684</v>
      </c>
      <c r="AX170" s="6" t="s">
        <v>4249</v>
      </c>
      <c r="AY170" s="6" t="s">
        <v>4250</v>
      </c>
      <c r="AZ170" s="6" t="s">
        <v>4251</v>
      </c>
      <c r="BA170" s="6" t="s">
        <v>4252</v>
      </c>
      <c r="BB170" s="6" t="s">
        <v>4253</v>
      </c>
      <c r="BC170" s="6" t="s">
        <v>4254</v>
      </c>
      <c r="BD170" s="6" t="s">
        <v>4255</v>
      </c>
      <c r="BE170" s="6" t="str">
        <f t="shared" si="4"/>
        <v>ericsson.com</v>
      </c>
      <c r="BF170" s="6" t="str">
        <f t="shared" si="5"/>
        <v>com</v>
      </c>
      <c r="BG170" s="6" t="s">
        <v>101</v>
      </c>
      <c r="BH170" s="6" t="s">
        <v>4256</v>
      </c>
      <c r="BI170" s="6" t="s">
        <v>4257</v>
      </c>
      <c r="BJ170" s="6" t="s">
        <v>4258</v>
      </c>
      <c r="BK170" s="6" t="s">
        <v>4259</v>
      </c>
      <c r="BN170" s="6" t="s">
        <v>4260</v>
      </c>
      <c r="BP170" s="6" t="s">
        <v>4261</v>
      </c>
      <c r="BQ170" s="6" t="s">
        <v>4262</v>
      </c>
      <c r="BR170" s="6" t="s">
        <v>105</v>
      </c>
    </row>
    <row r="171" spans="1:70" ht="45" customHeight="1" x14ac:dyDescent="0.25">
      <c r="A171" s="6">
        <v>171</v>
      </c>
      <c r="B171" s="7" t="s">
        <v>4263</v>
      </c>
      <c r="C171" s="8" t="s">
        <v>4264</v>
      </c>
      <c r="D171" s="6" t="s">
        <v>4265</v>
      </c>
      <c r="E171" s="8" t="s">
        <v>4266</v>
      </c>
      <c r="F171" s="8" t="s">
        <v>4266</v>
      </c>
      <c r="G171" s="6" t="s">
        <v>1324</v>
      </c>
      <c r="H171" s="6" t="s">
        <v>1325</v>
      </c>
      <c r="I171" s="6" t="s">
        <v>1326</v>
      </c>
      <c r="J171" s="6" t="s">
        <v>1327</v>
      </c>
      <c r="K171" s="9">
        <v>10900</v>
      </c>
      <c r="L171" s="8" t="s">
        <v>1840</v>
      </c>
      <c r="M171" s="9">
        <v>199</v>
      </c>
      <c r="N171" s="6">
        <v>13.8076279</v>
      </c>
      <c r="O171" s="6">
        <v>100.5587337</v>
      </c>
      <c r="P171" s="6" t="s">
        <v>4267</v>
      </c>
      <c r="Q171" s="6">
        <v>1</v>
      </c>
      <c r="R171" s="6" t="s">
        <v>79</v>
      </c>
      <c r="T171" s="6"/>
      <c r="X171" s="6" t="s">
        <v>4268</v>
      </c>
      <c r="Y171" s="6" t="s">
        <v>4269</v>
      </c>
      <c r="Z171" s="6" t="s">
        <v>4270</v>
      </c>
      <c r="AC171" s="6">
        <v>517810</v>
      </c>
      <c r="AD171" s="10" t="str">
        <f>_xlfn.XLOOKUP(AC171,[1]Mapping!B:B,[1]Mapping!C:C,"")</f>
        <v xml:space="preserve">All Other Telecommunications </v>
      </c>
      <c r="AG171" s="6" t="s">
        <v>89</v>
      </c>
      <c r="AH171" s="6" t="s">
        <v>86</v>
      </c>
      <c r="AI171" s="6" t="s">
        <v>87</v>
      </c>
      <c r="AQ171" s="6" t="s">
        <v>1384</v>
      </c>
      <c r="AR171" s="6" t="s">
        <v>1385</v>
      </c>
      <c r="AT171" s="6">
        <v>6190</v>
      </c>
      <c r="AU171" s="6" t="s">
        <v>96</v>
      </c>
      <c r="AV171" s="6">
        <v>61.9</v>
      </c>
      <c r="AW171" s="6" t="s">
        <v>96</v>
      </c>
      <c r="AY171" s="6" t="s">
        <v>4271</v>
      </c>
      <c r="AZ171" s="6">
        <v>6628217000</v>
      </c>
      <c r="BD171" s="6" t="s">
        <v>4272</v>
      </c>
      <c r="BE171" s="6" t="str">
        <f t="shared" si="4"/>
        <v>ericsson.com</v>
      </c>
      <c r="BF171" s="6" t="str">
        <f t="shared" si="5"/>
        <v>com</v>
      </c>
      <c r="BG171" s="6" t="s">
        <v>101</v>
      </c>
      <c r="BQ171" s="6" t="s">
        <v>4273</v>
      </c>
      <c r="BR171" s="6" t="s">
        <v>105</v>
      </c>
    </row>
    <row r="172" spans="1:70" ht="45" customHeight="1" x14ac:dyDescent="0.25">
      <c r="A172" s="6">
        <v>172</v>
      </c>
      <c r="B172" s="7" t="s">
        <v>4274</v>
      </c>
      <c r="C172" s="8" t="s">
        <v>4275</v>
      </c>
      <c r="D172" s="6" t="s">
        <v>4276</v>
      </c>
      <c r="E172" s="6" t="s">
        <v>4277</v>
      </c>
      <c r="F172" s="8" t="s">
        <v>4278</v>
      </c>
      <c r="G172" s="6" t="s">
        <v>160</v>
      </c>
      <c r="H172" s="6" t="s">
        <v>161</v>
      </c>
      <c r="I172" s="6" t="s">
        <v>281</v>
      </c>
      <c r="J172" s="6" t="s">
        <v>1543</v>
      </c>
      <c r="K172" s="9" t="s">
        <v>4279</v>
      </c>
      <c r="L172" s="8" t="s">
        <v>4280</v>
      </c>
      <c r="M172" s="9">
        <v>21</v>
      </c>
      <c r="N172" s="6">
        <v>59.404703099999999</v>
      </c>
      <c r="O172" s="6">
        <v>17.956188399999998</v>
      </c>
      <c r="P172" s="6" t="s">
        <v>4281</v>
      </c>
      <c r="Q172" s="6">
        <v>1</v>
      </c>
      <c r="R172" s="6" t="s">
        <v>79</v>
      </c>
      <c r="S172" s="6">
        <v>1983</v>
      </c>
      <c r="T172" s="6">
        <v>981794</v>
      </c>
      <c r="U172" s="6" t="s">
        <v>80</v>
      </c>
      <c r="V172" s="6">
        <v>6</v>
      </c>
      <c r="W172" s="6" t="s">
        <v>80</v>
      </c>
      <c r="X172" s="6" t="s">
        <v>4282</v>
      </c>
      <c r="Y172" s="6" t="s">
        <v>4283</v>
      </c>
      <c r="Z172" s="6" t="s">
        <v>4284</v>
      </c>
      <c r="AA172" s="6" t="s">
        <v>4285</v>
      </c>
      <c r="AB172" s="6" t="s">
        <v>4286</v>
      </c>
      <c r="AC172" s="6">
        <v>334220</v>
      </c>
      <c r="AD172" s="10" t="str">
        <f>_xlfn.XLOOKUP(AC172,[1]Mapping!B:B,[1]Mapping!C:C,"")</f>
        <v>Radio and Television Broadcasting and Wireless Communications Equipment Manufacturing</v>
      </c>
      <c r="AE172" s="6" t="s">
        <v>4287</v>
      </c>
      <c r="AF172" s="6" t="s">
        <v>2376</v>
      </c>
      <c r="AG172" s="6" t="s">
        <v>4288</v>
      </c>
      <c r="AH172" s="6" t="s">
        <v>4289</v>
      </c>
      <c r="AI172" s="6" t="s">
        <v>499</v>
      </c>
      <c r="AJ172" s="6" t="s">
        <v>3482</v>
      </c>
      <c r="AK172" s="6" t="s">
        <v>3483</v>
      </c>
      <c r="AL172" s="6" t="s">
        <v>3484</v>
      </c>
      <c r="AM172" s="6" t="s">
        <v>3485</v>
      </c>
      <c r="AN172" s="6" t="s">
        <v>655</v>
      </c>
      <c r="AO172" s="6" t="s">
        <v>657</v>
      </c>
      <c r="AQ172" s="6">
        <v>3663</v>
      </c>
      <c r="AR172" s="6" t="s">
        <v>2683</v>
      </c>
      <c r="AS172" s="6" t="s">
        <v>4290</v>
      </c>
      <c r="AT172" s="6">
        <v>2630</v>
      </c>
      <c r="AU172" s="6" t="s">
        <v>2684</v>
      </c>
      <c r="AV172" s="6">
        <v>26.3</v>
      </c>
      <c r="AW172" s="6" t="s">
        <v>2684</v>
      </c>
      <c r="AX172" s="6" t="s">
        <v>4291</v>
      </c>
      <c r="AY172" s="6" t="s">
        <v>4292</v>
      </c>
      <c r="AZ172" s="6" t="s">
        <v>4293</v>
      </c>
      <c r="BA172" s="6" t="s">
        <v>4294</v>
      </c>
      <c r="BD172" s="6" t="s">
        <v>4295</v>
      </c>
      <c r="BE172" s="6" t="str">
        <f t="shared" si="4"/>
        <v>ericsson.com</v>
      </c>
      <c r="BF172" s="6" t="str">
        <f t="shared" si="5"/>
        <v>com</v>
      </c>
      <c r="BG172" s="6" t="s">
        <v>101</v>
      </c>
      <c r="BQ172" s="6" t="s">
        <v>4296</v>
      </c>
      <c r="BR172" s="6" t="s">
        <v>105</v>
      </c>
    </row>
    <row r="173" spans="1:70" ht="45" customHeight="1" x14ac:dyDescent="0.25">
      <c r="A173" s="6">
        <v>173</v>
      </c>
      <c r="B173" s="7" t="s">
        <v>4297</v>
      </c>
      <c r="C173" s="8" t="s">
        <v>4298</v>
      </c>
      <c r="D173" s="6" t="s">
        <v>4299</v>
      </c>
      <c r="E173" s="8" t="s">
        <v>4297</v>
      </c>
      <c r="F173" s="8" t="s">
        <v>4299</v>
      </c>
      <c r="G173" s="6" t="s">
        <v>130</v>
      </c>
      <c r="H173" s="6" t="s">
        <v>131</v>
      </c>
      <c r="I173" s="8" t="s">
        <v>2572</v>
      </c>
      <c r="J173" s="6" t="s">
        <v>4300</v>
      </c>
      <c r="K173" s="9">
        <v>1364</v>
      </c>
      <c r="L173" s="8" t="s">
        <v>4301</v>
      </c>
      <c r="M173" s="9" t="s">
        <v>4302</v>
      </c>
      <c r="N173" s="6">
        <v>59.90044739999999</v>
      </c>
      <c r="O173" s="6">
        <v>10.6301349</v>
      </c>
      <c r="P173" s="6" t="s">
        <v>4303</v>
      </c>
      <c r="Q173" s="6">
        <v>1</v>
      </c>
      <c r="R173" s="6" t="s">
        <v>79</v>
      </c>
      <c r="S173" s="6">
        <v>1986</v>
      </c>
      <c r="T173" s="6"/>
      <c r="X173" s="6" t="s">
        <v>4304</v>
      </c>
      <c r="Y173" s="6" t="s">
        <v>4305</v>
      </c>
      <c r="Z173" s="6" t="s">
        <v>4306</v>
      </c>
      <c r="AA173" s="6" t="s">
        <v>4307</v>
      </c>
      <c r="AB173" s="6" t="s">
        <v>4308</v>
      </c>
      <c r="AC173" s="6">
        <v>423430</v>
      </c>
      <c r="AD173" s="10" t="str">
        <f>_xlfn.XLOOKUP(AC173,[1]Mapping!B:B,[1]Mapping!C:C,"")</f>
        <v xml:space="preserve">Computer and Computer Peripheral Equipment and Software Merchant Wholesalers </v>
      </c>
      <c r="AE173" s="6" t="s">
        <v>4287</v>
      </c>
      <c r="AF173" s="6" t="s">
        <v>2376</v>
      </c>
      <c r="AG173" s="6" t="s">
        <v>4288</v>
      </c>
      <c r="AH173" s="6" t="s">
        <v>4289</v>
      </c>
      <c r="AI173" s="6" t="s">
        <v>499</v>
      </c>
      <c r="AJ173" s="6" t="s">
        <v>653</v>
      </c>
      <c r="AK173" s="6" t="s">
        <v>654</v>
      </c>
      <c r="AL173" s="6" t="s">
        <v>655</v>
      </c>
      <c r="AM173" s="6" t="s">
        <v>656</v>
      </c>
      <c r="AN173" s="6" t="s">
        <v>655</v>
      </c>
      <c r="AO173" s="6" t="s">
        <v>657</v>
      </c>
      <c r="AQ173" s="6">
        <v>3663</v>
      </c>
      <c r="AR173" s="6" t="s">
        <v>2683</v>
      </c>
      <c r="AT173" s="6">
        <v>2630</v>
      </c>
      <c r="AU173" s="6" t="s">
        <v>2684</v>
      </c>
      <c r="AV173" s="6">
        <v>26.3</v>
      </c>
      <c r="AW173" s="6" t="s">
        <v>2684</v>
      </c>
      <c r="BD173" s="6" t="s">
        <v>4309</v>
      </c>
      <c r="BE173" s="6" t="str">
        <f t="shared" si="4"/>
        <v>epignosis.no</v>
      </c>
      <c r="BF173" s="6" t="str">
        <f t="shared" si="5"/>
        <v>no</v>
      </c>
      <c r="BG173" s="6" t="s">
        <v>150</v>
      </c>
      <c r="BQ173" s="6" t="s">
        <v>4310</v>
      </c>
      <c r="BR173" s="6" t="s">
        <v>105</v>
      </c>
    </row>
    <row r="174" spans="1:70" ht="45" customHeight="1" x14ac:dyDescent="0.25">
      <c r="A174" s="6">
        <v>174</v>
      </c>
      <c r="B174" s="7" t="s">
        <v>4311</v>
      </c>
      <c r="C174" s="8" t="s">
        <v>4312</v>
      </c>
      <c r="D174" s="6" t="s">
        <v>4313</v>
      </c>
      <c r="E174" s="8" t="s">
        <v>4311</v>
      </c>
      <c r="F174" s="8" t="s">
        <v>4314</v>
      </c>
      <c r="G174" s="6" t="s">
        <v>73</v>
      </c>
      <c r="H174" s="6" t="s">
        <v>74</v>
      </c>
      <c r="J174" s="6" t="s">
        <v>486</v>
      </c>
      <c r="K174" s="9">
        <v>2300</v>
      </c>
      <c r="L174" s="8" t="s">
        <v>1176</v>
      </c>
      <c r="M174" s="9">
        <v>108</v>
      </c>
      <c r="N174" s="6">
        <v>55.627556400000003</v>
      </c>
      <c r="O174" s="6">
        <v>12.5777746</v>
      </c>
      <c r="P174" s="6" t="s">
        <v>2395</v>
      </c>
      <c r="Q174" s="6">
        <v>1</v>
      </c>
      <c r="R174" s="6" t="s">
        <v>79</v>
      </c>
      <c r="T174" s="6">
        <v>57397932</v>
      </c>
      <c r="U174" s="6" t="s">
        <v>80</v>
      </c>
      <c r="V174" s="6">
        <v>150</v>
      </c>
      <c r="W174" s="6" t="s">
        <v>80</v>
      </c>
      <c r="Y174" s="6" t="s">
        <v>4315</v>
      </c>
      <c r="Z174" s="6" t="s">
        <v>4316</v>
      </c>
      <c r="AA174" s="6" t="s">
        <v>4317</v>
      </c>
      <c r="AB174" s="6" t="s">
        <v>4318</v>
      </c>
      <c r="AC174" s="6">
        <v>517121</v>
      </c>
      <c r="AD174" s="10" t="str">
        <f>_xlfn.XLOOKUP(AC174,[1]Mapping!B:B,[1]Mapping!C:C,"")</f>
        <v>Telecommunications Resellers</v>
      </c>
      <c r="AG174" s="6" t="s">
        <v>85</v>
      </c>
      <c r="AH174" s="6" t="s">
        <v>86</v>
      </c>
      <c r="AI174" s="6" t="s">
        <v>87</v>
      </c>
      <c r="AJ174" s="6" t="s">
        <v>4319</v>
      </c>
      <c r="AK174" s="6" t="s">
        <v>4320</v>
      </c>
      <c r="AL174" s="6" t="s">
        <v>4319</v>
      </c>
      <c r="AM174" s="6" t="s">
        <v>4321</v>
      </c>
      <c r="AN174" s="6" t="s">
        <v>436</v>
      </c>
      <c r="AO174" s="6" t="s">
        <v>437</v>
      </c>
      <c r="AQ174" s="6" t="s">
        <v>93</v>
      </c>
      <c r="AR174" s="6" t="s">
        <v>94</v>
      </c>
      <c r="AS174" s="6" t="s">
        <v>4322</v>
      </c>
      <c r="AT174" s="6">
        <v>6190</v>
      </c>
      <c r="AU174" s="6" t="s">
        <v>96</v>
      </c>
      <c r="AV174" s="6">
        <v>61.9</v>
      </c>
      <c r="AW174" s="6" t="s">
        <v>96</v>
      </c>
      <c r="AX174" s="6" t="s">
        <v>4323</v>
      </c>
      <c r="AY174" s="6" t="s">
        <v>4324</v>
      </c>
      <c r="AZ174" s="6">
        <v>4520182024</v>
      </c>
      <c r="BD174" s="6" t="s">
        <v>4325</v>
      </c>
      <c r="BE174" s="6" t="str">
        <f t="shared" si="4"/>
        <v>ericsson.com</v>
      </c>
      <c r="BF174" s="6" t="str">
        <f t="shared" si="5"/>
        <v>com</v>
      </c>
      <c r="BG174" s="6" t="s">
        <v>123</v>
      </c>
      <c r="BP174" s="6" t="s">
        <v>4326</v>
      </c>
      <c r="BQ174" s="6" t="s">
        <v>4327</v>
      </c>
      <c r="BR174" s="6" t="s">
        <v>105</v>
      </c>
    </row>
    <row r="175" spans="1:70" ht="45" customHeight="1" x14ac:dyDescent="0.25">
      <c r="A175" s="6">
        <v>175</v>
      </c>
      <c r="B175" s="7" t="s">
        <v>4328</v>
      </c>
      <c r="C175" s="8" t="s">
        <v>4329</v>
      </c>
      <c r="D175" s="6" t="s">
        <v>4330</v>
      </c>
      <c r="E175" s="6" t="s">
        <v>4331</v>
      </c>
      <c r="F175" s="8" t="s">
        <v>4332</v>
      </c>
      <c r="G175" s="6" t="s">
        <v>315</v>
      </c>
      <c r="H175" s="6" t="s">
        <v>316</v>
      </c>
      <c r="I175" s="6"/>
      <c r="J175" s="6" t="s">
        <v>316</v>
      </c>
      <c r="K175" s="9">
        <v>48583</v>
      </c>
      <c r="L175" s="8" t="s">
        <v>4333</v>
      </c>
      <c r="N175" s="6">
        <v>1.281142</v>
      </c>
      <c r="O175" s="6">
        <v>103.851928</v>
      </c>
      <c r="P175" s="6" t="s">
        <v>4334</v>
      </c>
      <c r="Q175" s="6">
        <v>3</v>
      </c>
      <c r="R175" s="6" t="s">
        <v>79</v>
      </c>
      <c r="S175" s="6">
        <v>1994</v>
      </c>
      <c r="T175" s="6"/>
      <c r="X175" s="6" t="s">
        <v>4335</v>
      </c>
      <c r="Y175" s="6" t="s">
        <v>4336</v>
      </c>
      <c r="Z175" s="6" t="s">
        <v>4337</v>
      </c>
      <c r="AA175" s="6" t="s">
        <v>4338</v>
      </c>
      <c r="AC175" s="6">
        <v>541611</v>
      </c>
      <c r="AD175" s="10" t="str">
        <f>_xlfn.XLOOKUP(AC175,[1]Mapping!B:B,[1]Mapping!C:C,"")</f>
        <v xml:space="preserve">Administrative Management and General Management Consulting Services </v>
      </c>
      <c r="AG175" s="6" t="s">
        <v>376</v>
      </c>
      <c r="AH175" s="6" t="s">
        <v>376</v>
      </c>
      <c r="AI175" s="6" t="s">
        <v>141</v>
      </c>
      <c r="AJ175" s="6" t="s">
        <v>4339</v>
      </c>
      <c r="AK175" s="6" t="s">
        <v>4340</v>
      </c>
      <c r="AL175" s="6" t="s">
        <v>4339</v>
      </c>
      <c r="AM175" s="6" t="s">
        <v>4341</v>
      </c>
      <c r="AN175" s="6" t="s">
        <v>4342</v>
      </c>
      <c r="AO175" s="6" t="s">
        <v>4343</v>
      </c>
      <c r="AQ175" s="6">
        <v>8742</v>
      </c>
      <c r="AR175" s="6" t="s">
        <v>377</v>
      </c>
      <c r="AS175" s="6" t="s">
        <v>4344</v>
      </c>
      <c r="AT175" s="6">
        <v>7020</v>
      </c>
      <c r="AU175" s="6" t="s">
        <v>378</v>
      </c>
      <c r="AV175" s="6" t="s">
        <v>379</v>
      </c>
      <c r="AW175" s="6" t="s">
        <v>380</v>
      </c>
      <c r="AX175" s="6" t="s">
        <v>4345</v>
      </c>
      <c r="AY175" s="6" t="s">
        <v>4346</v>
      </c>
      <c r="AZ175" s="6" t="s">
        <v>4347</v>
      </c>
      <c r="BD175" s="6" t="s">
        <v>4348</v>
      </c>
      <c r="BE175" s="6" t="str">
        <f t="shared" si="4"/>
        <v>ey.com</v>
      </c>
      <c r="BF175" s="6" t="str">
        <f t="shared" si="5"/>
        <v>com</v>
      </c>
      <c r="BG175" s="6" t="s">
        <v>101</v>
      </c>
      <c r="BH175" s="6" t="s">
        <v>4349</v>
      </c>
      <c r="BK175" s="6" t="s">
        <v>4350</v>
      </c>
      <c r="BN175" s="6" t="s">
        <v>4351</v>
      </c>
      <c r="BP175" s="6" t="s">
        <v>4352</v>
      </c>
      <c r="BQ175" s="6" t="s">
        <v>4353</v>
      </c>
      <c r="BR175" s="6" t="s">
        <v>105</v>
      </c>
    </row>
    <row r="176" spans="1:70" ht="45" customHeight="1" x14ac:dyDescent="0.25">
      <c r="A176" s="6">
        <v>176</v>
      </c>
      <c r="B176" s="7" t="s">
        <v>4354</v>
      </c>
      <c r="C176" s="8" t="s">
        <v>4355</v>
      </c>
      <c r="D176" s="6" t="s">
        <v>4356</v>
      </c>
      <c r="E176" s="8" t="s">
        <v>4354</v>
      </c>
      <c r="F176" s="8" t="s">
        <v>4357</v>
      </c>
      <c r="G176" s="6" t="s">
        <v>73</v>
      </c>
      <c r="H176" s="6" t="s">
        <v>74</v>
      </c>
      <c r="J176" s="6" t="s">
        <v>523</v>
      </c>
      <c r="K176" s="9">
        <v>2000</v>
      </c>
      <c r="L176" s="8" t="s">
        <v>4358</v>
      </c>
      <c r="M176" s="9">
        <v>36</v>
      </c>
      <c r="N176" s="6">
        <v>55.684927399999999</v>
      </c>
      <c r="O176" s="6">
        <v>12.502392499999999</v>
      </c>
      <c r="P176" s="6" t="s">
        <v>4359</v>
      </c>
      <c r="Q176" s="6">
        <v>1</v>
      </c>
      <c r="R176" s="6" t="s">
        <v>79</v>
      </c>
      <c r="S176" s="6">
        <v>2007</v>
      </c>
      <c r="T176" s="6"/>
      <c r="X176" s="6" t="s">
        <v>4335</v>
      </c>
      <c r="Y176" s="6" t="s">
        <v>4360</v>
      </c>
      <c r="Z176" s="6" t="s">
        <v>4361</v>
      </c>
      <c r="AA176" s="6" t="s">
        <v>4362</v>
      </c>
      <c r="AC176" s="6">
        <v>621111</v>
      </c>
      <c r="AD176" s="10" t="str">
        <f>_xlfn.XLOOKUP(AC176,[1]Mapping!B:B,[1]Mapping!C:C,"")</f>
        <v xml:space="preserve">Offices of Physicians (except Mental Health Specialists) </v>
      </c>
      <c r="AG176" s="6" t="s">
        <v>4363</v>
      </c>
      <c r="AH176" s="6" t="s">
        <v>3147</v>
      </c>
      <c r="AI176" s="6" t="s">
        <v>1164</v>
      </c>
      <c r="AJ176" s="6" t="s">
        <v>3148</v>
      </c>
      <c r="AK176" s="6" t="s">
        <v>3149</v>
      </c>
      <c r="AL176" s="6" t="s">
        <v>3150</v>
      </c>
      <c r="AM176" s="6" t="s">
        <v>3151</v>
      </c>
      <c r="AN176" s="6" t="s">
        <v>2585</v>
      </c>
      <c r="AO176" s="6" t="s">
        <v>2586</v>
      </c>
      <c r="AQ176" s="6" t="s">
        <v>4364</v>
      </c>
      <c r="AR176" s="6" t="s">
        <v>4365</v>
      </c>
      <c r="AT176" s="6">
        <v>8620</v>
      </c>
      <c r="AU176" s="6" t="s">
        <v>4366</v>
      </c>
      <c r="AV176" s="6" t="s">
        <v>4367</v>
      </c>
      <c r="AW176" s="6" t="s">
        <v>4368</v>
      </c>
      <c r="AY176" s="6" t="s">
        <v>4369</v>
      </c>
      <c r="AZ176" s="6" t="s">
        <v>4370</v>
      </c>
      <c r="BD176" s="6" t="s">
        <v>4371</v>
      </c>
      <c r="BE176" s="6" t="str">
        <f t="shared" si="4"/>
        <v>ey.com</v>
      </c>
      <c r="BF176" s="6" t="str">
        <f t="shared" si="5"/>
        <v>com</v>
      </c>
      <c r="BG176" s="6" t="s">
        <v>123</v>
      </c>
      <c r="BH176" s="6" t="s">
        <v>4349</v>
      </c>
      <c r="BK176" s="6" t="s">
        <v>4350</v>
      </c>
      <c r="BN176" s="6" t="s">
        <v>4351</v>
      </c>
      <c r="BP176" s="6" t="s">
        <v>4372</v>
      </c>
      <c r="BQ176" s="6" t="s">
        <v>4373</v>
      </c>
      <c r="BR176" s="6" t="s">
        <v>105</v>
      </c>
    </row>
    <row r="177" spans="1:70" ht="45" customHeight="1" x14ac:dyDescent="0.25">
      <c r="A177" s="6">
        <v>177</v>
      </c>
      <c r="B177" s="7" t="s">
        <v>4374</v>
      </c>
      <c r="C177" s="8" t="s">
        <v>4375</v>
      </c>
      <c r="D177" s="6" t="s">
        <v>4376</v>
      </c>
      <c r="E177" s="8" t="s">
        <v>4377</v>
      </c>
      <c r="F177" s="8" t="s">
        <v>4377</v>
      </c>
      <c r="G177" s="6" t="s">
        <v>73</v>
      </c>
      <c r="H177" s="6" t="s">
        <v>74</v>
      </c>
      <c r="I177" s="6"/>
      <c r="J177" s="6" t="s">
        <v>4378</v>
      </c>
      <c r="K177" s="9">
        <v>5800</v>
      </c>
      <c r="L177" s="8" t="s">
        <v>4379</v>
      </c>
      <c r="M177" s="9">
        <v>31</v>
      </c>
      <c r="N177" s="6">
        <v>55.297221800000003</v>
      </c>
      <c r="O177" s="6">
        <v>10.817097800000001</v>
      </c>
      <c r="P177" s="6" t="s">
        <v>4380</v>
      </c>
      <c r="Q177" s="6">
        <v>2</v>
      </c>
      <c r="R177" s="6" t="s">
        <v>79</v>
      </c>
      <c r="S177" s="6">
        <v>2005</v>
      </c>
      <c r="T177" s="6"/>
      <c r="X177" s="6" t="s">
        <v>4381</v>
      </c>
      <c r="Y177" s="6" t="s">
        <v>4382</v>
      </c>
      <c r="Z177" s="6" t="s">
        <v>4383</v>
      </c>
      <c r="AA177" s="6" t="s">
        <v>4384</v>
      </c>
      <c r="AB177" s="6" t="s">
        <v>4385</v>
      </c>
      <c r="AC177" s="6">
        <v>541620</v>
      </c>
      <c r="AD177" s="10" t="str">
        <f>_xlfn.XLOOKUP(AC177,[1]Mapping!B:B,[1]Mapping!C:C,"")</f>
        <v>Environmental Consulting Services</v>
      </c>
      <c r="AE177" s="6" t="s">
        <v>4386</v>
      </c>
      <c r="AF177" s="6" t="s">
        <v>4387</v>
      </c>
      <c r="AG177" s="6" t="s">
        <v>4388</v>
      </c>
      <c r="AH177" s="6" t="s">
        <v>4389</v>
      </c>
      <c r="AI177" s="6" t="s">
        <v>4390</v>
      </c>
      <c r="AQ177" s="6">
        <v>4953</v>
      </c>
      <c r="AR177" s="6" t="s">
        <v>4391</v>
      </c>
      <c r="AT177" s="6">
        <v>3811</v>
      </c>
      <c r="AU177" s="6" t="s">
        <v>4392</v>
      </c>
      <c r="AV177" s="6">
        <v>38.11</v>
      </c>
      <c r="AW177" s="6" t="s">
        <v>4392</v>
      </c>
      <c r="AY177" s="6" t="s">
        <v>4393</v>
      </c>
      <c r="AZ177" s="6" t="s">
        <v>4394</v>
      </c>
      <c r="BA177" s="6" t="s">
        <v>4395</v>
      </c>
      <c r="BD177" s="6" t="s">
        <v>4396</v>
      </c>
      <c r="BE177" s="6" t="str">
        <f t="shared" si="4"/>
        <v>erp-recycling.org</v>
      </c>
      <c r="BF177" s="6" t="str">
        <f t="shared" si="5"/>
        <v>org</v>
      </c>
      <c r="BG177" s="6" t="s">
        <v>101</v>
      </c>
      <c r="BH177" s="6" t="s">
        <v>4397</v>
      </c>
      <c r="BQ177" s="6" t="s">
        <v>4398</v>
      </c>
      <c r="BR177" s="6" t="s">
        <v>105</v>
      </c>
    </row>
    <row r="178" spans="1:70" ht="45" customHeight="1" x14ac:dyDescent="0.25">
      <c r="A178" s="6">
        <v>178</v>
      </c>
      <c r="B178" s="7" t="s">
        <v>4399</v>
      </c>
      <c r="C178" s="8" t="s">
        <v>4400</v>
      </c>
      <c r="D178" s="6" t="s">
        <v>4401</v>
      </c>
      <c r="E178" s="6" t="s">
        <v>4401</v>
      </c>
      <c r="F178" s="8" t="s">
        <v>4402</v>
      </c>
      <c r="G178" s="6" t="s">
        <v>2781</v>
      </c>
      <c r="H178" s="6" t="s">
        <v>2782</v>
      </c>
      <c r="I178" s="6" t="s">
        <v>2783</v>
      </c>
      <c r="J178" s="6" t="s">
        <v>2784</v>
      </c>
      <c r="K178" s="9">
        <v>122003</v>
      </c>
      <c r="L178" s="8" t="s">
        <v>4403</v>
      </c>
      <c r="N178" s="6">
        <v>28.446410400000001</v>
      </c>
      <c r="O178" s="6">
        <v>77.043887999999995</v>
      </c>
      <c r="P178" s="6" t="s">
        <v>4404</v>
      </c>
      <c r="Q178" s="6">
        <v>1</v>
      </c>
      <c r="R178" s="6" t="s">
        <v>79</v>
      </c>
      <c r="S178" s="6">
        <v>1997</v>
      </c>
      <c r="T178" s="6">
        <v>4300000</v>
      </c>
      <c r="U178" s="6" t="s">
        <v>167</v>
      </c>
      <c r="V178" s="6">
        <v>180</v>
      </c>
      <c r="W178" s="6" t="s">
        <v>167</v>
      </c>
      <c r="X178" s="6" t="s">
        <v>4405</v>
      </c>
      <c r="Y178" s="6" t="s">
        <v>4406</v>
      </c>
      <c r="Z178" s="6" t="s">
        <v>4407</v>
      </c>
      <c r="AA178" s="6" t="s">
        <v>4408</v>
      </c>
      <c r="AB178" s="6" t="s">
        <v>4409</v>
      </c>
      <c r="AC178" s="6">
        <v>541511</v>
      </c>
      <c r="AD178" s="10" t="str">
        <f>_xlfn.XLOOKUP(AC178,[1]Mapping!B:B,[1]Mapping!C:C,"")</f>
        <v xml:space="preserve">Custom Computer Programming Services </v>
      </c>
      <c r="AE178" s="6" t="s">
        <v>4410</v>
      </c>
      <c r="AF178" s="6" t="s">
        <v>4411</v>
      </c>
      <c r="AG178" s="6" t="s">
        <v>4412</v>
      </c>
      <c r="AH178" s="6" t="s">
        <v>4413</v>
      </c>
      <c r="AI178" s="6" t="s">
        <v>4414</v>
      </c>
      <c r="AJ178" s="6" t="s">
        <v>174</v>
      </c>
      <c r="AK178" s="6" t="s">
        <v>175</v>
      </c>
      <c r="AL178" s="6" t="s">
        <v>176</v>
      </c>
      <c r="AM178" s="6" t="s">
        <v>177</v>
      </c>
      <c r="AN178" s="6" t="s">
        <v>91</v>
      </c>
      <c r="AO178" s="6" t="s">
        <v>92</v>
      </c>
      <c r="AQ178" s="6">
        <v>7371</v>
      </c>
      <c r="AR178" s="6" t="s">
        <v>504</v>
      </c>
      <c r="AT178" s="6">
        <v>6201</v>
      </c>
      <c r="AU178" s="6" t="s">
        <v>505</v>
      </c>
      <c r="AV178" s="6">
        <v>62.01</v>
      </c>
      <c r="AW178" s="6" t="s">
        <v>505</v>
      </c>
      <c r="AY178" s="6" t="s">
        <v>4415</v>
      </c>
      <c r="AZ178" s="6" t="s">
        <v>4416</v>
      </c>
      <c r="BA178" s="6" t="s">
        <v>4417</v>
      </c>
      <c r="BB178" s="6" t="s">
        <v>4417</v>
      </c>
      <c r="BD178" s="6" t="s">
        <v>4418</v>
      </c>
      <c r="BE178" s="6" t="str">
        <f t="shared" si="4"/>
        <v>atlanta.co.in</v>
      </c>
      <c r="BF178" s="6" t="str">
        <f t="shared" si="5"/>
        <v>in</v>
      </c>
      <c r="BG178" s="6" t="s">
        <v>101</v>
      </c>
      <c r="BH178" s="6" t="s">
        <v>4419</v>
      </c>
      <c r="BI178" s="6" t="s">
        <v>4420</v>
      </c>
      <c r="BJ178" s="6" t="s">
        <v>4421</v>
      </c>
      <c r="BK178" s="6" t="s">
        <v>4422</v>
      </c>
      <c r="BN178" s="6" t="s">
        <v>4423</v>
      </c>
      <c r="BP178" s="6" t="s">
        <v>4424</v>
      </c>
      <c r="BQ178" s="6" t="s">
        <v>4425</v>
      </c>
      <c r="BR178" s="6" t="s">
        <v>105</v>
      </c>
    </row>
    <row r="179" spans="1:70" ht="45" customHeight="1" x14ac:dyDescent="0.25">
      <c r="A179" s="6">
        <v>179</v>
      </c>
      <c r="B179" s="7" t="s">
        <v>4426</v>
      </c>
      <c r="C179" s="8" t="s">
        <v>4427</v>
      </c>
      <c r="D179" s="6" t="s">
        <v>4428</v>
      </c>
      <c r="E179" s="8" t="s">
        <v>4426</v>
      </c>
      <c r="F179" s="8" t="s">
        <v>4429</v>
      </c>
      <c r="G179" s="6" t="s">
        <v>418</v>
      </c>
      <c r="H179" s="6" t="s">
        <v>419</v>
      </c>
      <c r="I179" s="8" t="s">
        <v>420</v>
      </c>
      <c r="J179" s="6" t="s">
        <v>4430</v>
      </c>
      <c r="K179" s="9">
        <v>92130</v>
      </c>
      <c r="L179" s="8" t="s">
        <v>4431</v>
      </c>
      <c r="M179" s="9">
        <v>32</v>
      </c>
      <c r="N179" s="6">
        <v>48.831888900000003</v>
      </c>
      <c r="O179" s="6">
        <v>2.2669478999999999</v>
      </c>
      <c r="P179" s="6" t="s">
        <v>4432</v>
      </c>
      <c r="Q179" s="6">
        <v>1</v>
      </c>
      <c r="R179" s="6" t="s">
        <v>79</v>
      </c>
      <c r="S179" s="6">
        <v>1999</v>
      </c>
      <c r="T179" s="6">
        <v>2466164</v>
      </c>
      <c r="U179" s="6" t="s">
        <v>80</v>
      </c>
      <c r="V179" s="6">
        <v>6</v>
      </c>
      <c r="W179" s="6" t="s">
        <v>167</v>
      </c>
      <c r="X179" s="6" t="s">
        <v>4433</v>
      </c>
      <c r="Y179" s="6" t="s">
        <v>4434</v>
      </c>
      <c r="Z179" s="6" t="s">
        <v>4435</v>
      </c>
      <c r="AA179" s="6" t="s">
        <v>4436</v>
      </c>
      <c r="AB179" s="6" t="s">
        <v>4437</v>
      </c>
      <c r="AC179" s="6">
        <v>517410</v>
      </c>
      <c r="AD179" s="10" t="str">
        <f>_xlfn.XLOOKUP(AC179,[1]Mapping!B:B,[1]Mapping!C:C,"")</f>
        <v>Satellite Telecommunications</v>
      </c>
      <c r="AG179" s="6" t="s">
        <v>4438</v>
      </c>
      <c r="AH179" s="6" t="s">
        <v>4439</v>
      </c>
      <c r="AI179" s="6" t="s">
        <v>4210</v>
      </c>
      <c r="AJ179" s="6" t="s">
        <v>86</v>
      </c>
      <c r="AK179" s="6" t="s">
        <v>88</v>
      </c>
      <c r="AL179" s="6" t="s">
        <v>89</v>
      </c>
      <c r="AM179" s="6" t="s">
        <v>90</v>
      </c>
      <c r="AN179" s="6" t="s">
        <v>91</v>
      </c>
      <c r="AO179" s="6" t="s">
        <v>92</v>
      </c>
      <c r="AQ179" s="6">
        <v>4899</v>
      </c>
      <c r="AR179" s="6" t="s">
        <v>4440</v>
      </c>
      <c r="AS179" s="6" t="s">
        <v>4441</v>
      </c>
      <c r="AT179" s="6">
        <v>6130</v>
      </c>
      <c r="AU179" s="6" t="s">
        <v>4442</v>
      </c>
      <c r="AV179" s="6">
        <v>61.3</v>
      </c>
      <c r="AW179" s="6" t="s">
        <v>4442</v>
      </c>
      <c r="AX179" s="6" t="s">
        <v>4443</v>
      </c>
      <c r="AY179" s="6" t="s">
        <v>4444</v>
      </c>
      <c r="AZ179" s="6" t="s">
        <v>4445</v>
      </c>
      <c r="BA179" s="6" t="s">
        <v>4446</v>
      </c>
      <c r="BD179" s="6" t="s">
        <v>4447</v>
      </c>
      <c r="BE179" s="6" t="str">
        <f t="shared" si="4"/>
        <v>eutelsat.com</v>
      </c>
      <c r="BF179" s="6" t="str">
        <f t="shared" si="5"/>
        <v>com</v>
      </c>
      <c r="BG179" s="6" t="s">
        <v>101</v>
      </c>
      <c r="BH179" s="6" t="s">
        <v>4448</v>
      </c>
      <c r="BI179" s="6" t="s">
        <v>4449</v>
      </c>
      <c r="BJ179" s="6" t="s">
        <v>4450</v>
      </c>
      <c r="BK179" s="6" t="s">
        <v>4451</v>
      </c>
      <c r="BN179" s="6" t="s">
        <v>4452</v>
      </c>
      <c r="BP179" s="6" t="s">
        <v>4453</v>
      </c>
      <c r="BQ179" s="6" t="s">
        <v>4454</v>
      </c>
      <c r="BR179" s="6" t="s">
        <v>105</v>
      </c>
    </row>
    <row r="180" spans="1:70" ht="45" customHeight="1" x14ac:dyDescent="0.25">
      <c r="A180" s="6">
        <v>180</v>
      </c>
      <c r="B180" s="7" t="s">
        <v>4455</v>
      </c>
      <c r="C180" s="8" t="s">
        <v>4456</v>
      </c>
      <c r="D180" s="6" t="s">
        <v>4457</v>
      </c>
      <c r="E180" s="6" t="s">
        <v>4458</v>
      </c>
      <c r="F180" s="8" t="s">
        <v>4459</v>
      </c>
      <c r="G180" s="6" t="s">
        <v>160</v>
      </c>
      <c r="H180" s="6" t="s">
        <v>161</v>
      </c>
      <c r="I180" s="6" t="s">
        <v>281</v>
      </c>
      <c r="J180" s="6" t="s">
        <v>282</v>
      </c>
      <c r="K180" s="9" t="s">
        <v>4460</v>
      </c>
      <c r="L180" s="8" t="s">
        <v>4461</v>
      </c>
      <c r="M180" s="9">
        <v>16</v>
      </c>
      <c r="N180" s="6">
        <v>59.330319199999998</v>
      </c>
      <c r="O180" s="6">
        <v>18.060439599999999</v>
      </c>
      <c r="P180" s="6" t="s">
        <v>4462</v>
      </c>
      <c r="Q180" s="6">
        <v>12</v>
      </c>
      <c r="R180" s="6" t="s">
        <v>79</v>
      </c>
      <c r="S180" s="6">
        <v>2000</v>
      </c>
      <c r="T180" s="6">
        <v>1700000000</v>
      </c>
      <c r="U180" s="6" t="s">
        <v>167</v>
      </c>
      <c r="V180" s="6">
        <v>570</v>
      </c>
      <c r="W180" s="6" t="s">
        <v>167</v>
      </c>
      <c r="X180" s="6" t="s">
        <v>4463</v>
      </c>
      <c r="Y180" s="6" t="s">
        <v>4464</v>
      </c>
      <c r="Z180" s="6" t="s">
        <v>4465</v>
      </c>
      <c r="AA180" s="6" t="s">
        <v>4466</v>
      </c>
      <c r="AB180" s="6" t="s">
        <v>4467</v>
      </c>
      <c r="AC180" s="6">
        <v>561311</v>
      </c>
      <c r="AD180" s="10" t="str">
        <f>_xlfn.XLOOKUP(AC180,[1]Mapping!B:B,[1]Mapping!C:C,"")</f>
        <v xml:space="preserve">Employment Placement Agencies </v>
      </c>
      <c r="AE180" s="6" t="s">
        <v>4468</v>
      </c>
      <c r="AF180" s="6" t="s">
        <v>4469</v>
      </c>
      <c r="AG180" s="6" t="s">
        <v>4470</v>
      </c>
      <c r="AH180" s="6" t="s">
        <v>4471</v>
      </c>
      <c r="AI180" s="6" t="s">
        <v>3041</v>
      </c>
      <c r="AJ180" s="6" t="s">
        <v>293</v>
      </c>
      <c r="AK180" s="6" t="s">
        <v>294</v>
      </c>
      <c r="AL180" s="6" t="s">
        <v>295</v>
      </c>
      <c r="AM180" s="6" t="s">
        <v>296</v>
      </c>
      <c r="AN180" s="6" t="s">
        <v>297</v>
      </c>
      <c r="AO180" s="6" t="s">
        <v>298</v>
      </c>
      <c r="AQ180" s="6">
        <v>7361</v>
      </c>
      <c r="AR180" s="6" t="s">
        <v>3042</v>
      </c>
      <c r="AT180" s="6">
        <v>7810</v>
      </c>
      <c r="AU180" s="6" t="s">
        <v>401</v>
      </c>
      <c r="AV180" s="6">
        <v>78.099999999999994</v>
      </c>
      <c r="AW180" s="6" t="s">
        <v>401</v>
      </c>
      <c r="AY180" s="6" t="s">
        <v>4472</v>
      </c>
      <c r="AZ180" s="6" t="s">
        <v>4473</v>
      </c>
      <c r="BA180" s="6" t="s">
        <v>4474</v>
      </c>
      <c r="BB180" s="6" t="s">
        <v>4475</v>
      </c>
      <c r="BD180" s="6" t="s">
        <v>4476</v>
      </c>
      <c r="BE180" s="6" t="str">
        <f t="shared" si="4"/>
        <v>eworkgroup.com</v>
      </c>
      <c r="BF180" s="6" t="str">
        <f t="shared" si="5"/>
        <v>com</v>
      </c>
      <c r="BG180" s="6" t="s">
        <v>101</v>
      </c>
      <c r="BH180" s="6" t="s">
        <v>4477</v>
      </c>
      <c r="BI180" s="6" t="s">
        <v>4478</v>
      </c>
      <c r="BJ180" s="6" t="s">
        <v>4479</v>
      </c>
      <c r="BK180" s="6" t="s">
        <v>4480</v>
      </c>
      <c r="BP180" s="6" t="s">
        <v>4481</v>
      </c>
      <c r="BQ180" s="6" t="s">
        <v>4482</v>
      </c>
      <c r="BR180" s="6" t="s">
        <v>105</v>
      </c>
    </row>
    <row r="181" spans="1:70" ht="45" customHeight="1" x14ac:dyDescent="0.25">
      <c r="A181" s="6">
        <v>181</v>
      </c>
      <c r="B181" s="7" t="s">
        <v>4483</v>
      </c>
      <c r="C181" s="8" t="s">
        <v>4484</v>
      </c>
      <c r="D181" s="6" t="s">
        <v>4457</v>
      </c>
      <c r="E181" s="8" t="s">
        <v>4485</v>
      </c>
      <c r="F181" s="8" t="s">
        <v>4486</v>
      </c>
      <c r="G181" s="6" t="s">
        <v>73</v>
      </c>
      <c r="H181" s="6" t="s">
        <v>74</v>
      </c>
      <c r="J181" s="6" t="s">
        <v>486</v>
      </c>
      <c r="K181" s="9">
        <v>1609</v>
      </c>
      <c r="L181" s="8" t="s">
        <v>4487</v>
      </c>
      <c r="M181" s="9" t="s">
        <v>4488</v>
      </c>
      <c r="N181" s="6">
        <v>55.6755681</v>
      </c>
      <c r="O181" s="6">
        <v>12.5656143</v>
      </c>
      <c r="P181" s="6" t="s">
        <v>4489</v>
      </c>
      <c r="Q181" s="6">
        <v>1</v>
      </c>
      <c r="R181" s="6" t="s">
        <v>79</v>
      </c>
      <c r="T181" s="6"/>
      <c r="X181" s="6" t="s">
        <v>4463</v>
      </c>
      <c r="Y181" s="6" t="s">
        <v>4490</v>
      </c>
      <c r="Z181" s="6" t="s">
        <v>4491</v>
      </c>
      <c r="AB181" s="6" t="s">
        <v>4492</v>
      </c>
      <c r="AC181" s="6">
        <v>339113</v>
      </c>
      <c r="AD181" s="10" t="str">
        <f>_xlfn.XLOOKUP(AC181,[1]Mapping!B:B,[1]Mapping!C:C,"")</f>
        <v xml:space="preserve">Surgical Appliance and Supplies Manufacturing </v>
      </c>
      <c r="AG181" s="6" t="s">
        <v>4493</v>
      </c>
      <c r="AH181" s="6" t="s">
        <v>4494</v>
      </c>
      <c r="AI181" s="6" t="s">
        <v>466</v>
      </c>
      <c r="AJ181" s="6" t="s">
        <v>4495</v>
      </c>
      <c r="AK181" s="6" t="s">
        <v>4496</v>
      </c>
      <c r="AL181" s="6" t="s">
        <v>3150</v>
      </c>
      <c r="AM181" s="6" t="s">
        <v>3151</v>
      </c>
      <c r="AN181" s="6" t="s">
        <v>2585</v>
      </c>
      <c r="AO181" s="6" t="s">
        <v>2586</v>
      </c>
      <c r="AQ181" s="6" t="s">
        <v>4497</v>
      </c>
      <c r="AR181" s="6" t="s">
        <v>4498</v>
      </c>
      <c r="AS181" s="6" t="s">
        <v>4499</v>
      </c>
      <c r="AT181" s="6" t="s">
        <v>4500</v>
      </c>
      <c r="AU181" s="6" t="s">
        <v>4501</v>
      </c>
      <c r="AV181" s="6" t="s">
        <v>4502</v>
      </c>
      <c r="AW181" s="6" t="s">
        <v>4503</v>
      </c>
      <c r="AX181" s="6" t="s">
        <v>4504</v>
      </c>
      <c r="AY181" s="6" t="s">
        <v>4505</v>
      </c>
      <c r="AZ181" s="6" t="s">
        <v>4506</v>
      </c>
      <c r="BA181" s="6" t="s">
        <v>4507</v>
      </c>
      <c r="BB181" s="6" t="s">
        <v>4507</v>
      </c>
      <c r="BD181" s="6" t="s">
        <v>4508</v>
      </c>
      <c r="BE181" s="6" t="str">
        <f t="shared" si="4"/>
        <v>eworkgroup.com</v>
      </c>
      <c r="BF181" s="6" t="str">
        <f t="shared" si="5"/>
        <v>com</v>
      </c>
      <c r="BG181" s="6" t="s">
        <v>101</v>
      </c>
      <c r="BH181" s="6" t="s">
        <v>4477</v>
      </c>
      <c r="BI181" s="6" t="s">
        <v>4478</v>
      </c>
      <c r="BJ181" s="6" t="s">
        <v>4479</v>
      </c>
      <c r="BK181" s="6" t="s">
        <v>4480</v>
      </c>
      <c r="BQ181" s="6" t="s">
        <v>4509</v>
      </c>
      <c r="BR181" s="6" t="s">
        <v>105</v>
      </c>
    </row>
    <row r="182" spans="1:70" ht="45" customHeight="1" x14ac:dyDescent="0.25">
      <c r="A182" s="6">
        <v>182</v>
      </c>
      <c r="B182" s="7" t="s">
        <v>4510</v>
      </c>
      <c r="C182" s="8" t="s">
        <v>4511</v>
      </c>
      <c r="D182" s="6" t="s">
        <v>4512</v>
      </c>
      <c r="E182" s="6" t="s">
        <v>4513</v>
      </c>
      <c r="F182" s="8" t="s">
        <v>4514</v>
      </c>
      <c r="G182" s="6" t="s">
        <v>130</v>
      </c>
      <c r="H182" s="6" t="s">
        <v>131</v>
      </c>
      <c r="I182" s="6" t="s">
        <v>132</v>
      </c>
      <c r="J182" s="6" t="s">
        <v>132</v>
      </c>
      <c r="K182" s="9">
        <v>157</v>
      </c>
      <c r="L182" s="8" t="s">
        <v>4515</v>
      </c>
      <c r="M182" s="9" t="s">
        <v>2748</v>
      </c>
      <c r="N182" s="6">
        <v>59.910595000000001</v>
      </c>
      <c r="O182" s="6">
        <v>10.7404206</v>
      </c>
      <c r="P182" s="6" t="s">
        <v>4516</v>
      </c>
      <c r="Q182" s="6">
        <v>1</v>
      </c>
      <c r="R182" s="6" t="s">
        <v>79</v>
      </c>
      <c r="T182" s="6">
        <v>1330505</v>
      </c>
      <c r="U182" s="6" t="s">
        <v>80</v>
      </c>
      <c r="V182" s="6">
        <v>1</v>
      </c>
      <c r="W182" s="6" t="s">
        <v>80</v>
      </c>
      <c r="X182" s="6" t="s">
        <v>4463</v>
      </c>
      <c r="Y182" s="6" t="s">
        <v>4517</v>
      </c>
      <c r="Z182" s="6" t="s">
        <v>4518</v>
      </c>
      <c r="AA182" s="6" t="s">
        <v>4519</v>
      </c>
      <c r="AC182" s="6">
        <v>512250</v>
      </c>
      <c r="AD182" s="10" t="str">
        <f>_xlfn.XLOOKUP(AC182,[1]Mapping!B:B,[1]Mapping!C:C,"")</f>
        <v>Record Production and Distribution</v>
      </c>
      <c r="AG182" s="6" t="s">
        <v>1922</v>
      </c>
      <c r="AH182" s="6" t="s">
        <v>1922</v>
      </c>
      <c r="AI182" s="6" t="s">
        <v>1412</v>
      </c>
      <c r="AJ182" s="6" t="s">
        <v>1413</v>
      </c>
      <c r="AK182" s="6" t="s">
        <v>1414</v>
      </c>
      <c r="AL182" s="6" t="s">
        <v>502</v>
      </c>
      <c r="AM182" s="6" t="s">
        <v>503</v>
      </c>
      <c r="AN182" s="6" t="s">
        <v>297</v>
      </c>
      <c r="AO182" s="6" t="s">
        <v>298</v>
      </c>
      <c r="AQ182" s="6" t="s">
        <v>4520</v>
      </c>
      <c r="AR182" s="6" t="s">
        <v>4521</v>
      </c>
      <c r="AT182" s="6">
        <v>5920</v>
      </c>
      <c r="AU182" s="6" t="s">
        <v>1924</v>
      </c>
      <c r="AV182" s="6">
        <v>59.2</v>
      </c>
      <c r="AW182" s="6" t="s">
        <v>1924</v>
      </c>
      <c r="AY182" s="6" t="s">
        <v>4522</v>
      </c>
      <c r="AZ182" s="6">
        <v>4722541400</v>
      </c>
      <c r="BA182" s="6" t="s">
        <v>4523</v>
      </c>
      <c r="BD182" s="6" t="s">
        <v>4508</v>
      </c>
      <c r="BE182" s="6" t="str">
        <f t="shared" si="4"/>
        <v>eworkgroup.com</v>
      </c>
      <c r="BF182" s="6" t="str">
        <f t="shared" si="5"/>
        <v>com</v>
      </c>
      <c r="BG182" s="6" t="s">
        <v>101</v>
      </c>
      <c r="BH182" s="6" t="s">
        <v>4477</v>
      </c>
      <c r="BI182" s="6" t="s">
        <v>4478</v>
      </c>
      <c r="BJ182" s="6" t="s">
        <v>4479</v>
      </c>
      <c r="BK182" s="6" t="s">
        <v>4480</v>
      </c>
      <c r="BP182" s="6" t="s">
        <v>4524</v>
      </c>
      <c r="BQ182" s="6" t="s">
        <v>4525</v>
      </c>
      <c r="BR182" s="6" t="s">
        <v>105</v>
      </c>
    </row>
    <row r="183" spans="1:70" ht="45" customHeight="1" x14ac:dyDescent="0.25">
      <c r="A183" s="6">
        <v>183</v>
      </c>
      <c r="B183" s="7" t="s">
        <v>4526</v>
      </c>
      <c r="C183" s="8" t="s">
        <v>4527</v>
      </c>
      <c r="D183" s="6" t="s">
        <v>4528</v>
      </c>
      <c r="E183" s="6" t="s">
        <v>4529</v>
      </c>
      <c r="F183" s="8" t="s">
        <v>4530</v>
      </c>
      <c r="G183" s="6" t="s">
        <v>243</v>
      </c>
      <c r="H183" s="6" t="s">
        <v>244</v>
      </c>
      <c r="I183" s="6" t="s">
        <v>4531</v>
      </c>
      <c r="J183" s="6" t="s">
        <v>4532</v>
      </c>
      <c r="K183" s="9">
        <v>90590</v>
      </c>
      <c r="L183" s="8" t="s">
        <v>4533</v>
      </c>
      <c r="M183" s="9">
        <v>2</v>
      </c>
      <c r="N183" s="6">
        <v>65.057231000000002</v>
      </c>
      <c r="O183" s="6">
        <v>25.443179099999998</v>
      </c>
      <c r="P183" s="6" t="s">
        <v>4534</v>
      </c>
      <c r="Q183" s="6">
        <v>21</v>
      </c>
      <c r="R183" s="6" t="s">
        <v>79</v>
      </c>
      <c r="S183" s="6">
        <v>1985</v>
      </c>
      <c r="T183" s="6">
        <v>284000000</v>
      </c>
      <c r="U183" s="6" t="s">
        <v>167</v>
      </c>
      <c r="V183" s="6">
        <v>1900</v>
      </c>
      <c r="W183" s="6" t="s">
        <v>167</v>
      </c>
      <c r="X183" s="6" t="s">
        <v>4535</v>
      </c>
      <c r="Y183" s="6" t="s">
        <v>4536</v>
      </c>
      <c r="Z183" s="6" t="s">
        <v>4537</v>
      </c>
      <c r="AA183" s="6" t="s">
        <v>4538</v>
      </c>
      <c r="AB183" s="6" t="s">
        <v>4539</v>
      </c>
      <c r="AC183" s="6">
        <v>334210</v>
      </c>
      <c r="AD183" s="10" t="str">
        <f>_xlfn.XLOOKUP(AC183,[1]Mapping!B:B,[1]Mapping!C:C,"")</f>
        <v>Telephone Apparatus Manufacturing</v>
      </c>
      <c r="AE183" s="6">
        <v>334220</v>
      </c>
      <c r="AF183" s="6" t="s">
        <v>4540</v>
      </c>
      <c r="AG183" s="6" t="s">
        <v>89</v>
      </c>
      <c r="AH183" s="6" t="s">
        <v>86</v>
      </c>
      <c r="AI183" s="6" t="s">
        <v>87</v>
      </c>
      <c r="AJ183" s="6" t="s">
        <v>174</v>
      </c>
      <c r="AK183" s="6" t="s">
        <v>175</v>
      </c>
      <c r="AL183" s="6" t="s">
        <v>176</v>
      </c>
      <c r="AM183" s="6" t="s">
        <v>177</v>
      </c>
      <c r="AN183" s="6" t="s">
        <v>91</v>
      </c>
      <c r="AO183" s="6" t="s">
        <v>92</v>
      </c>
      <c r="AQ183" s="6">
        <v>3661</v>
      </c>
      <c r="AR183" s="6" t="s">
        <v>3832</v>
      </c>
      <c r="AS183" s="6" t="s">
        <v>4541</v>
      </c>
      <c r="AT183" s="6">
        <v>2630</v>
      </c>
      <c r="AU183" s="6" t="s">
        <v>2684</v>
      </c>
      <c r="AV183" s="6">
        <v>26.3</v>
      </c>
      <c r="AW183" s="6" t="s">
        <v>2684</v>
      </c>
      <c r="AX183" s="6" t="s">
        <v>4542</v>
      </c>
      <c r="AY183" s="6" t="s">
        <v>4543</v>
      </c>
      <c r="AZ183" s="6" t="s">
        <v>4544</v>
      </c>
      <c r="BA183" s="6" t="s">
        <v>4545</v>
      </c>
      <c r="BB183" s="6" t="s">
        <v>4546</v>
      </c>
      <c r="BD183" s="6" t="s">
        <v>4547</v>
      </c>
      <c r="BE183" s="6" t="str">
        <f t="shared" si="4"/>
        <v>exfo.com</v>
      </c>
      <c r="BF183" s="6" t="str">
        <f t="shared" si="5"/>
        <v>com</v>
      </c>
      <c r="BG183" s="6" t="s">
        <v>101</v>
      </c>
      <c r="BH183" s="6" t="s">
        <v>4548</v>
      </c>
      <c r="BI183" s="6" t="s">
        <v>4549</v>
      </c>
      <c r="BK183" s="6" t="s">
        <v>4550</v>
      </c>
      <c r="BN183" s="6" t="s">
        <v>4551</v>
      </c>
      <c r="BP183" s="6" t="s">
        <v>4552</v>
      </c>
      <c r="BQ183" s="6" t="s">
        <v>4553</v>
      </c>
      <c r="BR183" s="6" t="s">
        <v>105</v>
      </c>
    </row>
    <row r="184" spans="1:70" ht="45" customHeight="1" x14ac:dyDescent="0.25">
      <c r="A184" s="6">
        <v>184</v>
      </c>
      <c r="B184" s="7" t="s">
        <v>4554</v>
      </c>
      <c r="C184" s="8" t="s">
        <v>4555</v>
      </c>
      <c r="D184" s="6" t="s">
        <v>4556</v>
      </c>
      <c r="E184" s="8" t="s">
        <v>4554</v>
      </c>
      <c r="F184" s="8" t="s">
        <v>4557</v>
      </c>
      <c r="G184" s="6" t="s">
        <v>130</v>
      </c>
      <c r="H184" s="6" t="s">
        <v>131</v>
      </c>
      <c r="I184" s="8" t="s">
        <v>132</v>
      </c>
      <c r="J184" s="6" t="s">
        <v>132</v>
      </c>
      <c r="K184" s="9">
        <v>277</v>
      </c>
      <c r="L184" s="8" t="s">
        <v>4558</v>
      </c>
      <c r="M184" s="9">
        <v>50</v>
      </c>
      <c r="N184" s="6">
        <v>60.082183499999999</v>
      </c>
      <c r="O184" s="6">
        <v>11.1437618</v>
      </c>
      <c r="P184" s="6" t="s">
        <v>4559</v>
      </c>
      <c r="Q184" s="6">
        <v>1</v>
      </c>
      <c r="R184" s="6" t="s">
        <v>79</v>
      </c>
      <c r="S184" s="6">
        <v>2007</v>
      </c>
      <c r="T184" s="6">
        <v>19000000</v>
      </c>
      <c r="U184" s="6" t="s">
        <v>167</v>
      </c>
      <c r="V184" s="6">
        <v>75</v>
      </c>
      <c r="W184" s="6" t="s">
        <v>80</v>
      </c>
      <c r="X184" s="6" t="s">
        <v>4560</v>
      </c>
      <c r="Y184" s="6" t="s">
        <v>4561</v>
      </c>
      <c r="Z184" s="6" t="s">
        <v>4562</v>
      </c>
      <c r="AA184" s="6" t="s">
        <v>4563</v>
      </c>
      <c r="AC184" s="6">
        <v>481112</v>
      </c>
      <c r="AD184" s="10" t="str">
        <f>_xlfn.XLOOKUP(AC184,[1]Mapping!B:B,[1]Mapping!C:C,"")</f>
        <v xml:space="preserve">Scheduled Freight Air Transportation </v>
      </c>
      <c r="AE184" s="6">
        <v>488510</v>
      </c>
      <c r="AF184" s="6" t="s">
        <v>4564</v>
      </c>
      <c r="AG184" s="6" t="s">
        <v>4565</v>
      </c>
      <c r="AH184" s="6" t="s">
        <v>4566</v>
      </c>
      <c r="AI184" s="6" t="s">
        <v>4567</v>
      </c>
      <c r="AJ184" s="6" t="s">
        <v>4568</v>
      </c>
      <c r="AK184" s="6" t="s">
        <v>4569</v>
      </c>
      <c r="AL184" s="6" t="s">
        <v>4570</v>
      </c>
      <c r="AM184" s="6" t="s">
        <v>4571</v>
      </c>
      <c r="AN184" s="6" t="s">
        <v>2138</v>
      </c>
      <c r="AO184" s="6" t="s">
        <v>2139</v>
      </c>
      <c r="AQ184" s="6">
        <v>4512</v>
      </c>
      <c r="AR184" s="6" t="s">
        <v>4572</v>
      </c>
      <c r="AS184" s="6" t="s">
        <v>4573</v>
      </c>
      <c r="AT184" s="6">
        <v>5120</v>
      </c>
      <c r="AU184" s="6" t="s">
        <v>4574</v>
      </c>
      <c r="AV184" s="6" t="s">
        <v>4575</v>
      </c>
      <c r="AW184" s="6" t="s">
        <v>4576</v>
      </c>
      <c r="AX184" s="6" t="s">
        <v>4577</v>
      </c>
      <c r="AY184" s="6" t="s">
        <v>4578</v>
      </c>
      <c r="AZ184" s="6">
        <v>4741511100</v>
      </c>
      <c r="BA184" s="6" t="s">
        <v>4579</v>
      </c>
      <c r="BB184" s="6" t="s">
        <v>4579</v>
      </c>
      <c r="BD184" s="6" t="s">
        <v>4580</v>
      </c>
      <c r="BE184" s="6" t="str">
        <f t="shared" si="4"/>
        <v>sonnak.com</v>
      </c>
      <c r="BF184" s="6" t="str">
        <f t="shared" si="5"/>
        <v>com</v>
      </c>
      <c r="BG184" s="6" t="s">
        <v>101</v>
      </c>
      <c r="BK184" s="6" t="s">
        <v>4581</v>
      </c>
      <c r="BP184" s="6" t="s">
        <v>4582</v>
      </c>
      <c r="BQ184" s="6" t="s">
        <v>4583</v>
      </c>
      <c r="BR184" s="6" t="s">
        <v>105</v>
      </c>
    </row>
    <row r="185" spans="1:70" ht="45" customHeight="1" x14ac:dyDescent="0.25">
      <c r="A185" s="6">
        <v>185</v>
      </c>
      <c r="B185" s="7" t="s">
        <v>4584</v>
      </c>
      <c r="C185" s="8" t="s">
        <v>4585</v>
      </c>
      <c r="D185" s="6" t="s">
        <v>4586</v>
      </c>
      <c r="E185" s="6" t="s">
        <v>4587</v>
      </c>
      <c r="F185" s="8" t="s">
        <v>4588</v>
      </c>
      <c r="G185" s="6" t="s">
        <v>2781</v>
      </c>
      <c r="H185" s="6" t="s">
        <v>2782</v>
      </c>
      <c r="I185" s="6" t="s">
        <v>4589</v>
      </c>
      <c r="J185" s="6" t="s">
        <v>4590</v>
      </c>
      <c r="K185" s="9">
        <v>600058</v>
      </c>
      <c r="L185" s="8" t="s">
        <v>4591</v>
      </c>
      <c r="M185" s="9">
        <v>5</v>
      </c>
      <c r="N185" s="6">
        <v>13.096731</v>
      </c>
      <c r="O185" s="6">
        <v>80.16883399999999</v>
      </c>
      <c r="P185" s="6" t="s">
        <v>4592</v>
      </c>
      <c r="Q185" s="6">
        <v>1</v>
      </c>
      <c r="R185" s="6" t="s">
        <v>79</v>
      </c>
      <c r="T185" s="6">
        <v>4652</v>
      </c>
      <c r="U185" s="6" t="s">
        <v>80</v>
      </c>
      <c r="V185" s="6">
        <v>1</v>
      </c>
      <c r="W185" s="6" t="s">
        <v>167</v>
      </c>
      <c r="X185" s="6" t="s">
        <v>4593</v>
      </c>
      <c r="Y185" s="6" t="s">
        <v>4594</v>
      </c>
      <c r="Z185" s="6" t="s">
        <v>4595</v>
      </c>
      <c r="AA185" s="6" t="s">
        <v>4596</v>
      </c>
      <c r="AB185" s="6" t="s">
        <v>4597</v>
      </c>
      <c r="AC185" s="6">
        <v>541511</v>
      </c>
      <c r="AD185" s="10" t="str">
        <f>_xlfn.XLOOKUP(AC185,[1]Mapping!B:B,[1]Mapping!C:C,"")</f>
        <v xml:space="preserve">Custom Computer Programming Services </v>
      </c>
      <c r="AG185" s="6" t="s">
        <v>4598</v>
      </c>
      <c r="AH185" s="6" t="s">
        <v>1336</v>
      </c>
      <c r="AI185" s="6" t="s">
        <v>500</v>
      </c>
      <c r="AJ185" s="6" t="s">
        <v>500</v>
      </c>
      <c r="AK185" s="6" t="s">
        <v>501</v>
      </c>
      <c r="AL185" s="6" t="s">
        <v>502</v>
      </c>
      <c r="AM185" s="6" t="s">
        <v>503</v>
      </c>
      <c r="AN185" s="6" t="s">
        <v>297</v>
      </c>
      <c r="AO185" s="6" t="s">
        <v>298</v>
      </c>
      <c r="AQ185" s="6">
        <v>7371</v>
      </c>
      <c r="AR185" s="6" t="s">
        <v>504</v>
      </c>
      <c r="AS185" s="6" t="s">
        <v>4599</v>
      </c>
      <c r="AT185" s="6">
        <v>6201</v>
      </c>
      <c r="AU185" s="6" t="s">
        <v>505</v>
      </c>
      <c r="AV185" s="6">
        <v>62.01</v>
      </c>
      <c r="AW185" s="6" t="s">
        <v>505</v>
      </c>
      <c r="AX185" s="6" t="s">
        <v>4600</v>
      </c>
      <c r="AY185" s="6" t="s">
        <v>4601</v>
      </c>
      <c r="AZ185" s="6">
        <v>923418000000</v>
      </c>
      <c r="BA185" s="6" t="s">
        <v>4602</v>
      </c>
      <c r="BB185" s="6" t="s">
        <v>4602</v>
      </c>
      <c r="BD185" s="6" t="s">
        <v>4603</v>
      </c>
      <c r="BE185" s="6" t="str">
        <f t="shared" si="4"/>
        <v>epmltd.com</v>
      </c>
      <c r="BF185" s="6" t="str">
        <f t="shared" si="5"/>
        <v>com</v>
      </c>
      <c r="BG185" s="6" t="s">
        <v>101</v>
      </c>
      <c r="BH185" s="6" t="s">
        <v>4604</v>
      </c>
      <c r="BI185" s="6" t="s">
        <v>4605</v>
      </c>
      <c r="BJ185" s="6" t="s">
        <v>4606</v>
      </c>
      <c r="BQ185" s="6" t="s">
        <v>4607</v>
      </c>
      <c r="BR185" s="6" t="s">
        <v>105</v>
      </c>
    </row>
    <row r="186" spans="1:70" ht="45" customHeight="1" x14ac:dyDescent="0.25">
      <c r="A186" s="6">
        <v>186</v>
      </c>
      <c r="B186" s="7" t="s">
        <v>4608</v>
      </c>
      <c r="C186" s="8" t="s">
        <v>4609</v>
      </c>
      <c r="D186" s="6" t="s">
        <v>4610</v>
      </c>
      <c r="E186" s="8" t="s">
        <v>4610</v>
      </c>
      <c r="F186" s="8" t="s">
        <v>4611</v>
      </c>
      <c r="G186" s="6" t="s">
        <v>160</v>
      </c>
      <c r="H186" s="6" t="s">
        <v>161</v>
      </c>
      <c r="I186" s="8" t="s">
        <v>3930</v>
      </c>
      <c r="J186" s="6" t="s">
        <v>1350</v>
      </c>
      <c r="K186" s="9" t="s">
        <v>4612</v>
      </c>
      <c r="L186" s="8" t="s">
        <v>1352</v>
      </c>
      <c r="M186" s="9">
        <v>46</v>
      </c>
      <c r="N186" s="6">
        <v>59.373582899999903</v>
      </c>
      <c r="O186" s="6">
        <v>18.015972299999898</v>
      </c>
      <c r="P186" s="6" t="s">
        <v>4613</v>
      </c>
      <c r="Q186" s="6">
        <v>6</v>
      </c>
      <c r="R186" s="6" t="s">
        <v>79</v>
      </c>
      <c r="S186" s="6">
        <v>2018</v>
      </c>
      <c r="T186" s="6">
        <v>111300000</v>
      </c>
      <c r="U186" s="6" t="s">
        <v>167</v>
      </c>
      <c r="V186" s="6">
        <v>210</v>
      </c>
      <c r="W186" s="6" t="s">
        <v>167</v>
      </c>
      <c r="X186" s="6" t="s">
        <v>4614</v>
      </c>
      <c r="Y186" s="6" t="s">
        <v>4615</v>
      </c>
      <c r="Z186" s="6" t="s">
        <v>4616</v>
      </c>
      <c r="AA186" s="6" t="s">
        <v>4617</v>
      </c>
      <c r="AB186" s="6" t="s">
        <v>4618</v>
      </c>
      <c r="AC186" s="6">
        <v>513210</v>
      </c>
      <c r="AD186" s="10" t="s">
        <v>4619</v>
      </c>
      <c r="AG186" s="6" t="s">
        <v>990</v>
      </c>
      <c r="AH186" s="6" t="s">
        <v>174</v>
      </c>
      <c r="AI186" s="6" t="s">
        <v>87</v>
      </c>
      <c r="AJ186" s="6" t="s">
        <v>174</v>
      </c>
      <c r="AK186" s="6" t="s">
        <v>175</v>
      </c>
      <c r="AL186" s="6" t="s">
        <v>176</v>
      </c>
      <c r="AM186" s="6" t="s">
        <v>177</v>
      </c>
      <c r="AN186" s="6" t="s">
        <v>91</v>
      </c>
      <c r="AO186" s="6" t="s">
        <v>92</v>
      </c>
      <c r="AQ186" s="6">
        <v>7372</v>
      </c>
      <c r="AR186" s="6" t="s">
        <v>2026</v>
      </c>
      <c r="AS186" s="6" t="s">
        <v>4620</v>
      </c>
      <c r="AT186" s="6">
        <v>5820</v>
      </c>
      <c r="AU186" s="6" t="s">
        <v>2028</v>
      </c>
      <c r="AV186" s="6" t="s">
        <v>2029</v>
      </c>
      <c r="AW186" s="6" t="s">
        <v>2030</v>
      </c>
      <c r="AX186" s="6" t="s">
        <v>4621</v>
      </c>
      <c r="AY186" s="6">
        <v>46707930287</v>
      </c>
      <c r="AZ186" s="6" t="s">
        <v>4622</v>
      </c>
      <c r="BA186" s="16" t="s">
        <v>4623</v>
      </c>
      <c r="BB186" s="6" t="s">
        <v>4624</v>
      </c>
      <c r="BC186" s="6" t="s">
        <v>4625</v>
      </c>
      <c r="BD186" s="16" t="s">
        <v>4626</v>
      </c>
      <c r="BE186" s="6" t="s">
        <v>4627</v>
      </c>
      <c r="BF186" s="6" t="s">
        <v>4628</v>
      </c>
      <c r="BG186" s="6" t="s">
        <v>101</v>
      </c>
      <c r="BH186" s="6" t="s">
        <v>4629</v>
      </c>
      <c r="BI186" s="6" t="s">
        <v>4630</v>
      </c>
      <c r="BK186" s="6" t="s">
        <v>4631</v>
      </c>
      <c r="BP186" s="6" t="s">
        <v>4632</v>
      </c>
      <c r="BQ186" s="6" t="s">
        <v>4633</v>
      </c>
      <c r="BR186" s="6" t="s">
        <v>105</v>
      </c>
    </row>
    <row r="187" spans="1:70" ht="45" customHeight="1" x14ac:dyDescent="0.25">
      <c r="A187" s="6">
        <v>187</v>
      </c>
      <c r="B187" s="7" t="s">
        <v>4634</v>
      </c>
      <c r="C187" s="8" t="s">
        <v>4635</v>
      </c>
      <c r="D187" s="6" t="s">
        <v>4636</v>
      </c>
      <c r="E187" s="8" t="s">
        <v>4637</v>
      </c>
      <c r="F187" s="8" t="s">
        <v>4637</v>
      </c>
      <c r="G187" s="6" t="s">
        <v>840</v>
      </c>
      <c r="H187" s="6" t="s">
        <v>841</v>
      </c>
      <c r="I187" s="6" t="s">
        <v>842</v>
      </c>
      <c r="J187" s="6" t="s">
        <v>4638</v>
      </c>
      <c r="K187" s="9" t="s">
        <v>4639</v>
      </c>
      <c r="L187" s="8" t="s">
        <v>4640</v>
      </c>
      <c r="M187" s="9" t="s">
        <v>4641</v>
      </c>
      <c r="N187" s="6">
        <v>51.391526199999987</v>
      </c>
      <c r="O187" s="6">
        <v>-0.50121289999999996</v>
      </c>
      <c r="P187" s="6" t="s">
        <v>4642</v>
      </c>
      <c r="Q187" s="6">
        <v>1</v>
      </c>
      <c r="R187" s="6" t="s">
        <v>79</v>
      </c>
      <c r="S187" s="6">
        <v>1999</v>
      </c>
      <c r="T187" s="6"/>
      <c r="V187" s="6">
        <v>1</v>
      </c>
      <c r="W187" s="6" t="s">
        <v>167</v>
      </c>
      <c r="X187" s="6" t="s">
        <v>4643</v>
      </c>
      <c r="Y187" s="6" t="s">
        <v>4644</v>
      </c>
      <c r="Z187" s="6" t="s">
        <v>4645</v>
      </c>
      <c r="AA187" s="6" t="s">
        <v>4646</v>
      </c>
      <c r="AB187" s="6" t="s">
        <v>4647</v>
      </c>
      <c r="AC187" s="6">
        <v>511210</v>
      </c>
      <c r="AD187" s="10" t="s">
        <v>2977</v>
      </c>
      <c r="AE187" s="6">
        <v>541512</v>
      </c>
      <c r="AF187" s="6" t="s">
        <v>2977</v>
      </c>
      <c r="AG187" s="6" t="s">
        <v>4648</v>
      </c>
      <c r="AH187" s="6" t="s">
        <v>4649</v>
      </c>
      <c r="AI187" s="6" t="s">
        <v>499</v>
      </c>
      <c r="AQ187" s="6">
        <v>7372</v>
      </c>
      <c r="AR187" s="6" t="s">
        <v>2077</v>
      </c>
      <c r="AT187" s="6">
        <v>5820</v>
      </c>
      <c r="AU187" s="6" t="s">
        <v>2028</v>
      </c>
      <c r="AV187" s="6">
        <v>58.29</v>
      </c>
      <c r="AW187" s="6" t="s">
        <v>2078</v>
      </c>
      <c r="AY187" s="6" t="s">
        <v>4650</v>
      </c>
      <c r="AZ187" s="6" t="s">
        <v>4651</v>
      </c>
      <c r="BD187" s="6" t="s">
        <v>4652</v>
      </c>
      <c r="BE187" s="6" t="str">
        <f t="shared" si="4"/>
        <v>f5.com</v>
      </c>
      <c r="BF187" s="6" t="str">
        <f t="shared" si="5"/>
        <v>com</v>
      </c>
      <c r="BG187" s="6" t="s">
        <v>101</v>
      </c>
      <c r="BH187" s="6" t="s">
        <v>4653</v>
      </c>
      <c r="BI187" s="6" t="s">
        <v>4654</v>
      </c>
      <c r="BJ187" s="6" t="s">
        <v>4655</v>
      </c>
      <c r="BK187" s="6" t="s">
        <v>4656</v>
      </c>
      <c r="BN187" s="6" t="s">
        <v>4657</v>
      </c>
      <c r="BQ187" s="6" t="s">
        <v>4658</v>
      </c>
      <c r="BR187" s="6" t="s">
        <v>105</v>
      </c>
    </row>
    <row r="188" spans="1:70" ht="45" customHeight="1" x14ac:dyDescent="0.25">
      <c r="A188" s="6">
        <v>188</v>
      </c>
      <c r="B188" s="7" t="s">
        <v>4659</v>
      </c>
      <c r="C188" s="8" t="s">
        <v>4660</v>
      </c>
      <c r="D188" s="6" t="s">
        <v>4661</v>
      </c>
      <c r="E188" s="8" t="s">
        <v>4662</v>
      </c>
      <c r="F188" s="8" t="s">
        <v>4663</v>
      </c>
      <c r="G188" s="6" t="s">
        <v>570</v>
      </c>
      <c r="H188" s="6" t="s">
        <v>571</v>
      </c>
      <c r="I188" s="8" t="s">
        <v>572</v>
      </c>
      <c r="J188" s="6" t="s">
        <v>3358</v>
      </c>
      <c r="K188" s="9" t="s">
        <v>4664</v>
      </c>
      <c r="L188" s="8" t="s">
        <v>4665</v>
      </c>
      <c r="M188" s="9">
        <v>6</v>
      </c>
      <c r="N188" s="6">
        <v>53.329328699999998</v>
      </c>
      <c r="O188" s="6">
        <v>-6.2269252000000002</v>
      </c>
      <c r="P188" s="6" t="s">
        <v>4666</v>
      </c>
      <c r="Q188" s="6">
        <v>1</v>
      </c>
      <c r="R188" s="6" t="s">
        <v>79</v>
      </c>
      <c r="T188" s="6">
        <v>352531</v>
      </c>
      <c r="U188" s="6" t="s">
        <v>80</v>
      </c>
      <c r="V188" s="6">
        <v>1</v>
      </c>
      <c r="W188" s="6" t="s">
        <v>80</v>
      </c>
      <c r="X188" s="6" t="s">
        <v>4667</v>
      </c>
      <c r="Y188" s="6" t="s">
        <v>4668</v>
      </c>
      <c r="Z188" s="6" t="s">
        <v>4669</v>
      </c>
      <c r="AA188" s="6" t="s">
        <v>4670</v>
      </c>
      <c r="AC188" s="6">
        <v>541613</v>
      </c>
      <c r="AD188" s="10" t="str">
        <f>_xlfn.XLOOKUP(AC188,[1]Mapping!B:B,[1]Mapping!C:C,"")</f>
        <v xml:space="preserve">Marketing Consulting Services </v>
      </c>
      <c r="AG188" s="6" t="s">
        <v>1142</v>
      </c>
      <c r="AH188" s="6" t="s">
        <v>1143</v>
      </c>
      <c r="AI188" s="6" t="s">
        <v>500</v>
      </c>
      <c r="AQ188" s="6">
        <v>8742</v>
      </c>
      <c r="AR188" s="6" t="s">
        <v>2660</v>
      </c>
      <c r="AS188" s="6" t="s">
        <v>4671</v>
      </c>
      <c r="AT188" s="6">
        <v>7020</v>
      </c>
      <c r="AU188" s="6" t="s">
        <v>378</v>
      </c>
      <c r="AV188" s="6" t="s">
        <v>379</v>
      </c>
      <c r="AW188" s="6" t="s">
        <v>380</v>
      </c>
      <c r="AX188" s="6" t="s">
        <v>4672</v>
      </c>
      <c r="BD188" s="6" t="s">
        <v>4673</v>
      </c>
      <c r="BE188" s="6" t="str">
        <f t="shared" si="4"/>
        <v>meta.com</v>
      </c>
      <c r="BF188" s="6" t="str">
        <f t="shared" si="5"/>
        <v>com</v>
      </c>
      <c r="BG188" s="6" t="s">
        <v>101</v>
      </c>
      <c r="BP188" s="6" t="s">
        <v>4674</v>
      </c>
      <c r="BQ188" s="6" t="s">
        <v>4675</v>
      </c>
      <c r="BR188" s="6" t="s">
        <v>105</v>
      </c>
    </row>
    <row r="189" spans="1:70" ht="45" customHeight="1" x14ac:dyDescent="0.25">
      <c r="A189" s="6">
        <v>189</v>
      </c>
      <c r="B189" s="7" t="s">
        <v>4676</v>
      </c>
      <c r="C189" s="8" t="s">
        <v>4677</v>
      </c>
      <c r="D189" s="6" t="s">
        <v>4678</v>
      </c>
      <c r="E189" s="6" t="s">
        <v>4679</v>
      </c>
      <c r="F189" s="8" t="s">
        <v>4680</v>
      </c>
      <c r="G189" s="6" t="s">
        <v>73</v>
      </c>
      <c r="H189" s="6" t="s">
        <v>74</v>
      </c>
      <c r="I189" s="6"/>
      <c r="J189" s="6" t="s">
        <v>486</v>
      </c>
      <c r="K189" s="9">
        <v>2400</v>
      </c>
      <c r="L189" s="8" t="s">
        <v>4681</v>
      </c>
      <c r="M189" s="9">
        <v>83</v>
      </c>
      <c r="N189" s="6">
        <v>55.705962799999988</v>
      </c>
      <c r="O189" s="6">
        <v>12.520833400000001</v>
      </c>
      <c r="P189" s="6" t="s">
        <v>4682</v>
      </c>
      <c r="Q189" s="6">
        <v>6</v>
      </c>
      <c r="R189" s="6" t="s">
        <v>79</v>
      </c>
      <c r="S189" s="6">
        <v>1992</v>
      </c>
      <c r="T189" s="6">
        <v>9400000</v>
      </c>
      <c r="U189" s="6" t="s">
        <v>167</v>
      </c>
      <c r="V189" s="6">
        <v>26250</v>
      </c>
      <c r="W189" s="6" t="s">
        <v>80</v>
      </c>
      <c r="X189" s="6" t="s">
        <v>4683</v>
      </c>
      <c r="Y189" s="6" t="s">
        <v>4684</v>
      </c>
      <c r="Z189" s="6" t="s">
        <v>4685</v>
      </c>
      <c r="AA189" s="6" t="s">
        <v>4686</v>
      </c>
      <c r="AB189" s="6" t="s">
        <v>4687</v>
      </c>
      <c r="AC189" s="6">
        <v>621910</v>
      </c>
      <c r="AD189" s="10" t="str">
        <f>_xlfn.XLOOKUP(AC189,[1]Mapping!B:B,[1]Mapping!C:C,"")</f>
        <v xml:space="preserve">Ambulance Services </v>
      </c>
      <c r="AE189" s="6" t="s">
        <v>4688</v>
      </c>
      <c r="AF189" s="6" t="s">
        <v>4689</v>
      </c>
      <c r="AG189" s="6" t="s">
        <v>4690</v>
      </c>
      <c r="AH189" s="6" t="s">
        <v>4691</v>
      </c>
      <c r="AI189" s="6" t="s">
        <v>4692</v>
      </c>
      <c r="AJ189" s="6" t="s">
        <v>3148</v>
      </c>
      <c r="AK189" s="6" t="s">
        <v>3149</v>
      </c>
      <c r="AL189" s="6" t="s">
        <v>3150</v>
      </c>
      <c r="AM189" s="6" t="s">
        <v>3151</v>
      </c>
      <c r="AN189" s="6" t="s">
        <v>2585</v>
      </c>
      <c r="AO189" s="6" t="s">
        <v>2586</v>
      </c>
      <c r="AQ189" s="6">
        <v>4119</v>
      </c>
      <c r="AR189" s="6" t="s">
        <v>4693</v>
      </c>
      <c r="AS189" s="6" t="s">
        <v>4694</v>
      </c>
      <c r="AT189" s="6">
        <v>8690</v>
      </c>
      <c r="AU189" s="6" t="s">
        <v>1166</v>
      </c>
      <c r="AV189" s="6">
        <v>86.9</v>
      </c>
      <c r="AW189" s="6" t="s">
        <v>1166</v>
      </c>
      <c r="AX189" s="6" t="s">
        <v>4695</v>
      </c>
      <c r="AY189" s="6" t="s">
        <v>4696</v>
      </c>
      <c r="AZ189" s="6" t="s">
        <v>4697</v>
      </c>
      <c r="BA189" s="6" t="s">
        <v>4698</v>
      </c>
      <c r="BB189" s="6" t="s">
        <v>4699</v>
      </c>
      <c r="BC189" s="6" t="s">
        <v>4700</v>
      </c>
      <c r="BD189" s="6" t="s">
        <v>4701</v>
      </c>
      <c r="BE189" s="6" t="str">
        <f t="shared" si="4"/>
        <v>falck.dk</v>
      </c>
      <c r="BF189" s="6" t="str">
        <f t="shared" si="5"/>
        <v>dk</v>
      </c>
      <c r="BG189" s="6" t="s">
        <v>123</v>
      </c>
      <c r="BI189" s="6" t="s">
        <v>4702</v>
      </c>
      <c r="BJ189" s="6" t="s">
        <v>4703</v>
      </c>
      <c r="BK189" s="6" t="s">
        <v>4704</v>
      </c>
      <c r="BP189" s="6" t="s">
        <v>4705</v>
      </c>
      <c r="BQ189" s="6" t="s">
        <v>4706</v>
      </c>
      <c r="BR189" s="6" t="s">
        <v>105</v>
      </c>
    </row>
    <row r="190" spans="1:70" ht="45" customHeight="1" x14ac:dyDescent="0.25">
      <c r="A190" s="6">
        <v>190</v>
      </c>
      <c r="B190" s="7" t="s">
        <v>4707</v>
      </c>
      <c r="C190" s="8" t="s">
        <v>4708</v>
      </c>
      <c r="D190" s="6" t="s">
        <v>4709</v>
      </c>
      <c r="E190" s="6" t="s">
        <v>4710</v>
      </c>
      <c r="F190" s="8" t="s">
        <v>4711</v>
      </c>
      <c r="G190" s="6" t="s">
        <v>612</v>
      </c>
      <c r="H190" s="6" t="s">
        <v>613</v>
      </c>
      <c r="I190" s="6" t="s">
        <v>614</v>
      </c>
      <c r="J190" s="6" t="s">
        <v>1763</v>
      </c>
      <c r="K190" s="9">
        <v>46200</v>
      </c>
      <c r="L190" s="8" t="s">
        <v>4712</v>
      </c>
      <c r="N190" s="6">
        <v>3.1139708000000001</v>
      </c>
      <c r="O190" s="6">
        <v>101.6402681</v>
      </c>
      <c r="P190" s="6" t="s">
        <v>4713</v>
      </c>
      <c r="Q190" s="6">
        <v>2</v>
      </c>
      <c r="R190" s="6" t="s">
        <v>79</v>
      </c>
      <c r="T190" s="6">
        <v>3848596</v>
      </c>
      <c r="U190" s="6" t="s">
        <v>80</v>
      </c>
      <c r="V190" s="6">
        <v>150</v>
      </c>
      <c r="W190" s="6" t="s">
        <v>80</v>
      </c>
      <c r="X190" s="6" t="s">
        <v>4714</v>
      </c>
      <c r="Y190" s="6" t="s">
        <v>4715</v>
      </c>
      <c r="Z190" s="6" t="s">
        <v>4716</v>
      </c>
      <c r="AA190" s="6" t="s">
        <v>4717</v>
      </c>
      <c r="AB190" s="6" t="s">
        <v>4718</v>
      </c>
      <c r="AC190" s="6">
        <v>455110</v>
      </c>
      <c r="AD190" s="10" t="str">
        <f>_xlfn.XLOOKUP(AC190,[1]Mapping!B:B,[1]Mapping!C:C,"")</f>
        <v xml:space="preserve">Department Stores </v>
      </c>
      <c r="AG190" s="6" t="s">
        <v>821</v>
      </c>
      <c r="AH190" s="6" t="s">
        <v>822</v>
      </c>
      <c r="AI190" s="6" t="s">
        <v>822</v>
      </c>
      <c r="AJ190" s="6" t="s">
        <v>255</v>
      </c>
      <c r="AK190" s="6" t="s">
        <v>256</v>
      </c>
      <c r="AL190" s="6" t="s">
        <v>257</v>
      </c>
      <c r="AM190" s="6" t="s">
        <v>258</v>
      </c>
      <c r="AN190" s="6" t="s">
        <v>259</v>
      </c>
      <c r="AO190" s="6" t="s">
        <v>260</v>
      </c>
      <c r="AQ190" s="6" t="s">
        <v>823</v>
      </c>
      <c r="AR190" s="6" t="s">
        <v>824</v>
      </c>
      <c r="AS190" s="6" t="s">
        <v>4719</v>
      </c>
      <c r="AT190" s="6" t="s">
        <v>825</v>
      </c>
      <c r="AU190" s="6" t="s">
        <v>826</v>
      </c>
      <c r="AV190" s="6" t="s">
        <v>827</v>
      </c>
      <c r="AW190" s="6" t="s">
        <v>828</v>
      </c>
      <c r="AX190" s="6" t="s">
        <v>4720</v>
      </c>
      <c r="AY190" s="6" t="s">
        <v>4721</v>
      </c>
      <c r="AZ190" s="6" t="s">
        <v>4722</v>
      </c>
      <c r="BA190" s="6" t="s">
        <v>4723</v>
      </c>
      <c r="BD190" s="6" t="s">
        <v>4724</v>
      </c>
      <c r="BE190" s="6" t="str">
        <f t="shared" si="4"/>
        <v>drawbridge.com.my</v>
      </c>
      <c r="BF190" s="6" t="str">
        <f t="shared" si="5"/>
        <v>my</v>
      </c>
      <c r="BG190" s="6" t="s">
        <v>101</v>
      </c>
      <c r="BH190" s="6" t="s">
        <v>4725</v>
      </c>
      <c r="BJ190" s="6" t="s">
        <v>4726</v>
      </c>
      <c r="BK190" s="6" t="s">
        <v>4727</v>
      </c>
      <c r="BN190" s="6" t="s">
        <v>4728</v>
      </c>
      <c r="BP190" s="6" t="s">
        <v>4729</v>
      </c>
      <c r="BQ190" s="6" t="s">
        <v>4730</v>
      </c>
      <c r="BR190" s="6" t="s">
        <v>105</v>
      </c>
    </row>
    <row r="191" spans="1:70" ht="45" customHeight="1" x14ac:dyDescent="0.25">
      <c r="A191" s="6">
        <v>191</v>
      </c>
      <c r="B191" s="7" t="s">
        <v>4731</v>
      </c>
      <c r="C191" s="8" t="s">
        <v>4732</v>
      </c>
      <c r="D191" s="6" t="s">
        <v>4733</v>
      </c>
      <c r="E191" s="6" t="s">
        <v>4734</v>
      </c>
      <c r="F191" s="8" t="s">
        <v>4735</v>
      </c>
      <c r="G191" s="6" t="s">
        <v>160</v>
      </c>
      <c r="H191" s="6" t="s">
        <v>161</v>
      </c>
      <c r="I191" s="6" t="s">
        <v>4736</v>
      </c>
      <c r="J191" s="6" t="s">
        <v>4737</v>
      </c>
      <c r="K191" s="9" t="s">
        <v>4738</v>
      </c>
      <c r="L191" s="8" t="s">
        <v>165</v>
      </c>
      <c r="M191" s="9">
        <v>2</v>
      </c>
      <c r="N191" s="6">
        <v>59.858258900000003</v>
      </c>
      <c r="O191" s="6">
        <v>17.638459099999999</v>
      </c>
      <c r="P191" s="6" t="s">
        <v>4739</v>
      </c>
      <c r="Q191" s="6">
        <v>1</v>
      </c>
      <c r="R191" s="6" t="s">
        <v>79</v>
      </c>
      <c r="S191" s="6">
        <v>2016</v>
      </c>
      <c r="T191" s="6">
        <v>1900000</v>
      </c>
      <c r="U191" s="6" t="s">
        <v>167</v>
      </c>
      <c r="V191" s="6">
        <v>37</v>
      </c>
      <c r="W191" s="6" t="s">
        <v>167</v>
      </c>
      <c r="X191" s="6" t="s">
        <v>4740</v>
      </c>
      <c r="Y191" s="6" t="s">
        <v>4741</v>
      </c>
      <c r="Z191" s="6" t="s">
        <v>4742</v>
      </c>
      <c r="AA191" s="6" t="s">
        <v>4743</v>
      </c>
      <c r="AB191" s="6" t="s">
        <v>4744</v>
      </c>
      <c r="AC191" s="6">
        <v>541511</v>
      </c>
      <c r="AD191" s="10" t="str">
        <f>_xlfn.XLOOKUP(AC191,[1]Mapping!B:B,[1]Mapping!C:C,"")</f>
        <v xml:space="preserve">Custom Computer Programming Services </v>
      </c>
      <c r="AG191" s="6" t="s">
        <v>990</v>
      </c>
      <c r="AH191" s="6" t="s">
        <v>174</v>
      </c>
      <c r="AI191" s="6" t="s">
        <v>87</v>
      </c>
      <c r="AJ191" s="6" t="s">
        <v>174</v>
      </c>
      <c r="AK191" s="6" t="s">
        <v>175</v>
      </c>
      <c r="AL191" s="6" t="s">
        <v>176</v>
      </c>
      <c r="AM191" s="6" t="s">
        <v>177</v>
      </c>
      <c r="AN191" s="6" t="s">
        <v>91</v>
      </c>
      <c r="AO191" s="6" t="s">
        <v>92</v>
      </c>
      <c r="AQ191" s="6">
        <v>7371</v>
      </c>
      <c r="AR191" s="6" t="s">
        <v>504</v>
      </c>
      <c r="AS191" s="6" t="s">
        <v>4745</v>
      </c>
      <c r="AT191" s="6">
        <v>6201</v>
      </c>
      <c r="AU191" s="6" t="s">
        <v>505</v>
      </c>
      <c r="AV191" s="6">
        <v>62.01</v>
      </c>
      <c r="AW191" s="6" t="s">
        <v>505</v>
      </c>
      <c r="AX191" s="6" t="s">
        <v>4746</v>
      </c>
      <c r="AY191" s="6" t="s">
        <v>4747</v>
      </c>
      <c r="AZ191" s="6" t="s">
        <v>4748</v>
      </c>
      <c r="BA191" s="6" t="s">
        <v>4749</v>
      </c>
      <c r="BB191" s="6" t="s">
        <v>4750</v>
      </c>
      <c r="BC191" s="6" t="s">
        <v>4751</v>
      </c>
      <c r="BD191" s="6" t="s">
        <v>4752</v>
      </c>
      <c r="BE191" s="6" t="str">
        <f t="shared" si="4"/>
        <v>favro.com</v>
      </c>
      <c r="BF191" s="6" t="str">
        <f t="shared" si="5"/>
        <v>com</v>
      </c>
      <c r="BG191" s="6" t="s">
        <v>101</v>
      </c>
      <c r="BH191" s="6" t="s">
        <v>4753</v>
      </c>
      <c r="BI191" s="6" t="s">
        <v>4754</v>
      </c>
      <c r="BJ191" s="6" t="s">
        <v>4755</v>
      </c>
      <c r="BK191" s="6" t="s">
        <v>4756</v>
      </c>
      <c r="BN191" s="6" t="s">
        <v>4757</v>
      </c>
      <c r="BP191" s="6" t="s">
        <v>4758</v>
      </c>
      <c r="BQ191" s="6" t="s">
        <v>4759</v>
      </c>
      <c r="BR191" s="6" t="s">
        <v>105</v>
      </c>
    </row>
    <row r="192" spans="1:70" ht="45" customHeight="1" x14ac:dyDescent="0.25">
      <c r="A192" s="6">
        <v>192</v>
      </c>
      <c r="B192" s="7" t="s">
        <v>4760</v>
      </c>
      <c r="C192" s="8" t="s">
        <v>4761</v>
      </c>
      <c r="D192" s="6" t="s">
        <v>4762</v>
      </c>
      <c r="E192" s="6" t="s">
        <v>4763</v>
      </c>
      <c r="F192" s="8" t="s">
        <v>4764</v>
      </c>
      <c r="G192" s="6" t="s">
        <v>612</v>
      </c>
      <c r="H192" s="6" t="s">
        <v>613</v>
      </c>
      <c r="I192" s="6" t="s">
        <v>614</v>
      </c>
      <c r="J192" s="6" t="s">
        <v>4765</v>
      </c>
      <c r="K192" s="9">
        <v>63000</v>
      </c>
      <c r="L192" s="8" t="s">
        <v>4766</v>
      </c>
      <c r="N192" s="6">
        <v>2.9242889999999999</v>
      </c>
      <c r="O192" s="6">
        <v>101.66223599999999</v>
      </c>
      <c r="P192" s="6" t="s">
        <v>4767</v>
      </c>
      <c r="Q192" s="6">
        <v>1</v>
      </c>
      <c r="R192" s="6" t="s">
        <v>79</v>
      </c>
      <c r="S192" s="6">
        <v>2015</v>
      </c>
      <c r="T192" s="6"/>
      <c r="X192" s="6" t="s">
        <v>4768</v>
      </c>
      <c r="Y192" s="6" t="s">
        <v>4769</v>
      </c>
      <c r="Z192" s="6" t="s">
        <v>4770</v>
      </c>
      <c r="AA192" s="6" t="s">
        <v>4771</v>
      </c>
      <c r="AB192" s="6" t="s">
        <v>4772</v>
      </c>
      <c r="AC192" s="6">
        <v>512120</v>
      </c>
      <c r="AD192" s="10" t="str">
        <f>_xlfn.XLOOKUP(AC192,[1]Mapping!B:B,[1]Mapping!C:C,"")</f>
        <v>Motion Picture and Video Distribution</v>
      </c>
      <c r="AG192" s="6" t="s">
        <v>4773</v>
      </c>
      <c r="AH192" s="6" t="s">
        <v>1922</v>
      </c>
      <c r="AI192" s="6" t="s">
        <v>1412</v>
      </c>
      <c r="AJ192" s="6" t="s">
        <v>1413</v>
      </c>
      <c r="AK192" s="6" t="s">
        <v>1414</v>
      </c>
      <c r="AL192" s="6" t="s">
        <v>502</v>
      </c>
      <c r="AM192" s="6" t="s">
        <v>503</v>
      </c>
      <c r="AN192" s="6" t="s">
        <v>297</v>
      </c>
      <c r="AO192" s="6" t="s">
        <v>298</v>
      </c>
      <c r="AQ192" s="6" t="s">
        <v>4774</v>
      </c>
      <c r="AR192" s="6" t="s">
        <v>4775</v>
      </c>
      <c r="AS192" s="6" t="s">
        <v>4776</v>
      </c>
      <c r="AT192" s="6">
        <v>5913</v>
      </c>
      <c r="AU192" s="6" t="s">
        <v>4777</v>
      </c>
      <c r="AV192" s="6">
        <v>59.13</v>
      </c>
      <c r="AW192" s="6" t="s">
        <v>4777</v>
      </c>
      <c r="AX192" s="6" t="s">
        <v>4778</v>
      </c>
      <c r="AY192" s="6">
        <v>60165406581</v>
      </c>
      <c r="AZ192" s="6">
        <v>60165406581</v>
      </c>
      <c r="BA192" s="6" t="s">
        <v>4779</v>
      </c>
      <c r="BB192" s="6" t="s">
        <v>4780</v>
      </c>
      <c r="BD192" s="6" t="s">
        <v>4781</v>
      </c>
      <c r="BE192" s="6" t="str">
        <f t="shared" si="4"/>
        <v>fiberail.com.my</v>
      </c>
      <c r="BF192" s="6" t="str">
        <f t="shared" si="5"/>
        <v>my</v>
      </c>
      <c r="BG192" s="6" t="s">
        <v>101</v>
      </c>
      <c r="BH192" s="6" t="s">
        <v>4782</v>
      </c>
      <c r="BJ192" s="6" t="s">
        <v>4783</v>
      </c>
      <c r="BK192" s="6" t="s">
        <v>4784</v>
      </c>
      <c r="BN192" s="6" t="s">
        <v>4785</v>
      </c>
      <c r="BP192" s="6" t="s">
        <v>4786</v>
      </c>
      <c r="BQ192" s="6" t="s">
        <v>4787</v>
      </c>
      <c r="BR192" s="6" t="s">
        <v>105</v>
      </c>
    </row>
    <row r="193" spans="1:70" ht="45" customHeight="1" x14ac:dyDescent="0.25">
      <c r="A193" s="6">
        <v>193</v>
      </c>
      <c r="B193" s="7" t="s">
        <v>4788</v>
      </c>
      <c r="C193" s="8" t="s">
        <v>4789</v>
      </c>
      <c r="D193" s="6" t="s">
        <v>4790</v>
      </c>
      <c r="E193" s="6" t="s">
        <v>4791</v>
      </c>
      <c r="F193" s="8" t="s">
        <v>4792</v>
      </c>
      <c r="G193" s="6" t="s">
        <v>612</v>
      </c>
      <c r="H193" s="6" t="s">
        <v>613</v>
      </c>
      <c r="I193" s="6" t="s">
        <v>4793</v>
      </c>
      <c r="J193" s="6" t="s">
        <v>752</v>
      </c>
      <c r="K193" s="9">
        <v>50672</v>
      </c>
      <c r="L193" s="8" t="s">
        <v>4794</v>
      </c>
      <c r="N193" s="6">
        <v>3.1161764999999999</v>
      </c>
      <c r="O193" s="6">
        <v>101.6659355</v>
      </c>
      <c r="P193" s="6" t="s">
        <v>4795</v>
      </c>
      <c r="Q193" s="6">
        <v>5</v>
      </c>
      <c r="R193" s="6" t="s">
        <v>79</v>
      </c>
      <c r="S193" s="6">
        <v>1992</v>
      </c>
      <c r="T193" s="6">
        <v>9300650</v>
      </c>
      <c r="U193" s="6" t="s">
        <v>80</v>
      </c>
      <c r="V193" s="6">
        <v>110</v>
      </c>
      <c r="W193" s="6" t="s">
        <v>167</v>
      </c>
      <c r="X193" s="6" t="s">
        <v>4796</v>
      </c>
      <c r="Y193" s="6" t="s">
        <v>4797</v>
      </c>
      <c r="Z193" s="6" t="s">
        <v>4798</v>
      </c>
      <c r="AA193" s="6" t="s">
        <v>4799</v>
      </c>
      <c r="AB193" s="6" t="s">
        <v>4800</v>
      </c>
      <c r="AC193" s="6">
        <v>517111</v>
      </c>
      <c r="AD193" s="10" t="str">
        <f>_xlfn.XLOOKUP(AC193,[1]Mapping!B:B,[1]Mapping!C:C,"")</f>
        <v xml:space="preserve">Wired Telecommunications Carriers </v>
      </c>
      <c r="AG193" s="6" t="s">
        <v>89</v>
      </c>
      <c r="AH193" s="6" t="s">
        <v>86</v>
      </c>
      <c r="AI193" s="6" t="s">
        <v>87</v>
      </c>
      <c r="AJ193" s="6" t="s">
        <v>86</v>
      </c>
      <c r="AK193" s="6" t="s">
        <v>88</v>
      </c>
      <c r="AL193" s="6" t="s">
        <v>89</v>
      </c>
      <c r="AM193" s="6" t="s">
        <v>90</v>
      </c>
      <c r="AN193" s="6" t="s">
        <v>91</v>
      </c>
      <c r="AO193" s="6" t="s">
        <v>92</v>
      </c>
      <c r="AQ193" s="6" t="s">
        <v>1747</v>
      </c>
      <c r="AR193" s="6" t="s">
        <v>1748</v>
      </c>
      <c r="AS193" s="6" t="s">
        <v>4801</v>
      </c>
      <c r="AT193" s="6" t="s">
        <v>1749</v>
      </c>
      <c r="AU193" s="6" t="s">
        <v>1750</v>
      </c>
      <c r="AV193" s="6" t="s">
        <v>1751</v>
      </c>
      <c r="AW193" s="6" t="s">
        <v>1750</v>
      </c>
      <c r="AX193" s="6" t="s">
        <v>4802</v>
      </c>
      <c r="AY193" s="6" t="s">
        <v>4803</v>
      </c>
      <c r="AZ193" s="6" t="s">
        <v>4804</v>
      </c>
      <c r="BA193" s="6" t="s">
        <v>4805</v>
      </c>
      <c r="BB193" s="6" t="s">
        <v>4805</v>
      </c>
      <c r="BC193" s="6" t="s">
        <v>4806</v>
      </c>
      <c r="BD193" s="6" t="s">
        <v>4807</v>
      </c>
      <c r="BE193" s="6" t="str">
        <f t="shared" si="4"/>
        <v>fibrecomm.net.my</v>
      </c>
      <c r="BF193" s="6" t="str">
        <f t="shared" si="5"/>
        <v>my</v>
      </c>
      <c r="BG193" s="6" t="s">
        <v>101</v>
      </c>
      <c r="BK193" s="6" t="s">
        <v>4808</v>
      </c>
      <c r="BP193" s="6" t="s">
        <v>4809</v>
      </c>
      <c r="BQ193" s="6" t="s">
        <v>4810</v>
      </c>
      <c r="BR193" s="6" t="s">
        <v>105</v>
      </c>
    </row>
    <row r="194" spans="1:70" ht="45" customHeight="1" x14ac:dyDescent="0.25">
      <c r="A194" s="6">
        <v>194</v>
      </c>
      <c r="B194" s="7" t="s">
        <v>4811</v>
      </c>
      <c r="C194" s="8" t="s">
        <v>4812</v>
      </c>
      <c r="D194" s="6" t="s">
        <v>4813</v>
      </c>
      <c r="E194" s="8" t="s">
        <v>4811</v>
      </c>
      <c r="F194" s="8" t="s">
        <v>4814</v>
      </c>
      <c r="G194" s="6" t="s">
        <v>73</v>
      </c>
      <c r="H194" s="6" t="s">
        <v>74</v>
      </c>
      <c r="J194" s="6" t="s">
        <v>2091</v>
      </c>
      <c r="K194" s="9">
        <v>2600</v>
      </c>
      <c r="L194" s="8" t="s">
        <v>4815</v>
      </c>
      <c r="M194" s="9">
        <v>19</v>
      </c>
      <c r="N194" s="6">
        <v>55.676790199999999</v>
      </c>
      <c r="O194" s="6">
        <v>12.407379199999999</v>
      </c>
      <c r="P194" s="6" t="s">
        <v>4816</v>
      </c>
      <c r="Q194" s="6">
        <v>1</v>
      </c>
      <c r="R194" s="6" t="s">
        <v>79</v>
      </c>
      <c r="T194" s="6"/>
      <c r="X194" s="6" t="s">
        <v>4817</v>
      </c>
      <c r="Y194" s="6" t="s">
        <v>4818</v>
      </c>
      <c r="Z194" s="6" t="s">
        <v>4819</v>
      </c>
      <c r="AC194" s="6">
        <v>561730</v>
      </c>
      <c r="AD194" s="10" t="str">
        <f>_xlfn.XLOOKUP(AC194,[1]Mapping!B:B,[1]Mapping!C:C,"")</f>
        <v>Landscaping Services</v>
      </c>
      <c r="AG194" s="6" t="s">
        <v>4820</v>
      </c>
      <c r="AH194" s="6" t="s">
        <v>4821</v>
      </c>
      <c r="AI194" s="6" t="s">
        <v>4822</v>
      </c>
      <c r="AQ194" s="6" t="s">
        <v>4823</v>
      </c>
      <c r="AR194" s="6" t="s">
        <v>4824</v>
      </c>
      <c r="AT194" s="6">
        <v>8130</v>
      </c>
      <c r="AU194" s="6" t="s">
        <v>4825</v>
      </c>
      <c r="AV194" s="6">
        <v>81.3</v>
      </c>
      <c r="AW194" s="6" t="s">
        <v>4826</v>
      </c>
      <c r="AY194" s="6" t="s">
        <v>4827</v>
      </c>
      <c r="AZ194" s="6">
        <v>4526207602</v>
      </c>
      <c r="BB194" s="6" t="s">
        <v>4828</v>
      </c>
      <c r="BD194" s="6" t="s">
        <v>4829</v>
      </c>
      <c r="BE194" s="6" t="str">
        <f t="shared" si="4"/>
        <v>danskrense-teknik.dk</v>
      </c>
      <c r="BF194" s="6" t="str">
        <f t="shared" si="5"/>
        <v>dk</v>
      </c>
      <c r="BG194" s="6" t="s">
        <v>101</v>
      </c>
      <c r="BQ194" s="6" t="s">
        <v>4830</v>
      </c>
      <c r="BR194" s="6" t="s">
        <v>105</v>
      </c>
    </row>
    <row r="195" spans="1:70" ht="45" customHeight="1" x14ac:dyDescent="0.25">
      <c r="A195" s="6">
        <v>195</v>
      </c>
      <c r="B195" s="7" t="s">
        <v>4831</v>
      </c>
      <c r="C195" s="8" t="s">
        <v>4832</v>
      </c>
      <c r="D195" s="6" t="s">
        <v>4833</v>
      </c>
      <c r="E195" s="6" t="s">
        <v>4834</v>
      </c>
      <c r="F195" s="8" t="s">
        <v>4835</v>
      </c>
      <c r="G195" s="6" t="s">
        <v>73</v>
      </c>
      <c r="H195" s="6" t="s">
        <v>74</v>
      </c>
      <c r="I195" s="6"/>
      <c r="J195" s="6" t="s">
        <v>4836</v>
      </c>
      <c r="K195" s="9">
        <v>8300</v>
      </c>
      <c r="L195" s="8" t="s">
        <v>4837</v>
      </c>
      <c r="M195" s="9">
        <v>40</v>
      </c>
      <c r="N195" s="6">
        <v>55.971892599999997</v>
      </c>
      <c r="O195" s="6">
        <v>10.134090199999999</v>
      </c>
      <c r="P195" s="6" t="s">
        <v>4838</v>
      </c>
      <c r="Q195" s="6">
        <v>2</v>
      </c>
      <c r="R195" s="6" t="s">
        <v>79</v>
      </c>
      <c r="T195" s="6">
        <v>15145737</v>
      </c>
      <c r="U195" s="6" t="s">
        <v>80</v>
      </c>
      <c r="V195" s="6">
        <v>75</v>
      </c>
      <c r="W195" s="6" t="s">
        <v>80</v>
      </c>
      <c r="X195" s="6" t="s">
        <v>4839</v>
      </c>
      <c r="Y195" s="6" t="s">
        <v>4840</v>
      </c>
      <c r="Z195" s="6" t="s">
        <v>4841</v>
      </c>
      <c r="AA195" s="6" t="s">
        <v>4842</v>
      </c>
      <c r="AC195" s="6">
        <v>541310</v>
      </c>
      <c r="AD195" s="10" t="str">
        <f>_xlfn.XLOOKUP(AC195,[1]Mapping!B:B,[1]Mapping!C:C,"")</f>
        <v>Architectural Services</v>
      </c>
      <c r="AG195" s="6" t="s">
        <v>4843</v>
      </c>
      <c r="AH195" s="6" t="s">
        <v>4821</v>
      </c>
      <c r="AI195" s="6" t="s">
        <v>4822</v>
      </c>
      <c r="AQ195" s="6">
        <v>8712</v>
      </c>
      <c r="AR195" s="6" t="s">
        <v>649</v>
      </c>
      <c r="AT195" s="6">
        <v>7110</v>
      </c>
      <c r="AU195" s="6" t="s">
        <v>4844</v>
      </c>
      <c r="AV195" s="6" t="s">
        <v>4845</v>
      </c>
      <c r="AW195" s="6" t="s">
        <v>4846</v>
      </c>
      <c r="AY195" s="6" t="s">
        <v>4847</v>
      </c>
      <c r="AZ195" s="6" t="s">
        <v>4848</v>
      </c>
      <c r="BA195" s="6" t="s">
        <v>4849</v>
      </c>
      <c r="BB195" s="6" t="s">
        <v>4849</v>
      </c>
      <c r="BC195" s="6" t="s">
        <v>4850</v>
      </c>
      <c r="BD195" s="6" t="s">
        <v>4851</v>
      </c>
      <c r="BE195" s="6" t="str">
        <f t="shared" ref="BE195:BE258" si="6">LEFT(
  SUBSTITUTE(SUBSTITUTE(SUBSTITUTE(BD195,"https://",""),"http://",""),"www.",""),
  IFERROR(
    FIND("/",SUBSTITUTE(SUBSTITUTE(SUBSTITUTE(BD195,"https://",""),"http://",""),"www.","")&amp;"/")-1,
    LEN(SUBSTITUTE(SUBSTITUTE(SUBSTITUTE(BD195,"https://",""),"http://",""),"www.",""))
  )
)</f>
        <v>formdanmark.dk</v>
      </c>
      <c r="BF195" s="6" t="str">
        <f t="shared" ref="BF195:BF258" si="7">_xlfn.TEXTAFTER(BE195,".",-1)</f>
        <v>dk</v>
      </c>
      <c r="BG195" s="6" t="s">
        <v>123</v>
      </c>
      <c r="BP195" s="6" t="s">
        <v>4852</v>
      </c>
      <c r="BQ195" s="6" t="s">
        <v>4853</v>
      </c>
      <c r="BR195" s="6" t="s">
        <v>105</v>
      </c>
    </row>
    <row r="196" spans="1:70" ht="45" customHeight="1" x14ac:dyDescent="0.25">
      <c r="A196" s="6">
        <v>196</v>
      </c>
      <c r="B196" s="7" t="s">
        <v>4854</v>
      </c>
      <c r="C196" s="8" t="s">
        <v>4855</v>
      </c>
      <c r="D196" s="6" t="s">
        <v>4856</v>
      </c>
      <c r="E196" s="8" t="s">
        <v>4854</v>
      </c>
      <c r="F196" s="8" t="s">
        <v>4857</v>
      </c>
      <c r="G196" s="6" t="s">
        <v>130</v>
      </c>
      <c r="H196" s="6" t="s">
        <v>131</v>
      </c>
      <c r="I196" s="8" t="s">
        <v>3751</v>
      </c>
      <c r="J196" s="6" t="s">
        <v>3752</v>
      </c>
      <c r="K196" s="9">
        <v>5147</v>
      </c>
      <c r="L196" s="8" t="s">
        <v>3753</v>
      </c>
      <c r="M196" s="9">
        <v>50</v>
      </c>
      <c r="N196" s="6">
        <v>60.349606899999998</v>
      </c>
      <c r="O196" s="6">
        <v>5.2901669999999994</v>
      </c>
      <c r="P196" s="6" t="s">
        <v>4858</v>
      </c>
      <c r="Q196" s="6">
        <v>2</v>
      </c>
      <c r="R196" s="6" t="s">
        <v>79</v>
      </c>
      <c r="T196" s="6"/>
      <c r="X196" s="6" t="s">
        <v>4859</v>
      </c>
      <c r="Y196" s="6" t="s">
        <v>4860</v>
      </c>
      <c r="Z196" s="6" t="s">
        <v>4861</v>
      </c>
      <c r="AA196" s="6" t="s">
        <v>4862</v>
      </c>
      <c r="AC196" s="6">
        <v>621111</v>
      </c>
      <c r="AD196" s="10" t="str">
        <f>_xlfn.XLOOKUP(AC196,[1]Mapping!B:B,[1]Mapping!C:C,"")</f>
        <v xml:space="preserve">Offices of Physicians (except Mental Health Specialists) </v>
      </c>
      <c r="AG196" s="6" t="s">
        <v>4363</v>
      </c>
      <c r="AH196" s="6" t="s">
        <v>3147</v>
      </c>
      <c r="AI196" s="6" t="s">
        <v>1164</v>
      </c>
      <c r="AJ196" s="6" t="s">
        <v>3148</v>
      </c>
      <c r="AK196" s="6" t="s">
        <v>3149</v>
      </c>
      <c r="AL196" s="6" t="s">
        <v>3150</v>
      </c>
      <c r="AM196" s="6" t="s">
        <v>3151</v>
      </c>
      <c r="AN196" s="6" t="s">
        <v>2585</v>
      </c>
      <c r="AO196" s="6" t="s">
        <v>2586</v>
      </c>
      <c r="AQ196" s="6" t="s">
        <v>4364</v>
      </c>
      <c r="AR196" s="6" t="s">
        <v>4365</v>
      </c>
      <c r="AS196" s="6" t="s">
        <v>4863</v>
      </c>
      <c r="AT196" s="6">
        <v>8620</v>
      </c>
      <c r="AU196" s="6" t="s">
        <v>4366</v>
      </c>
      <c r="AV196" s="6" t="s">
        <v>4367</v>
      </c>
      <c r="AW196" s="6" t="s">
        <v>4368</v>
      </c>
      <c r="AX196" s="6" t="s">
        <v>4864</v>
      </c>
      <c r="AY196" s="6" t="s">
        <v>4865</v>
      </c>
      <c r="AZ196" s="6">
        <v>4755176040</v>
      </c>
      <c r="BD196" s="6" t="s">
        <v>4866</v>
      </c>
      <c r="BE196" s="6" t="str">
        <f t="shared" si="6"/>
        <v>jobs.foundever.com</v>
      </c>
      <c r="BF196" s="6" t="str">
        <f t="shared" si="7"/>
        <v>com</v>
      </c>
      <c r="BG196" s="6" t="s">
        <v>150</v>
      </c>
      <c r="BH196" s="6" t="s">
        <v>4867</v>
      </c>
      <c r="BJ196" s="6" t="s">
        <v>4868</v>
      </c>
      <c r="BK196" s="6" t="s">
        <v>4869</v>
      </c>
      <c r="BN196" s="6" t="s">
        <v>4870</v>
      </c>
      <c r="BP196" s="6" t="s">
        <v>4871</v>
      </c>
      <c r="BQ196" s="6" t="s">
        <v>4872</v>
      </c>
      <c r="BR196" s="6" t="s">
        <v>105</v>
      </c>
    </row>
    <row r="197" spans="1:70" ht="45" customHeight="1" x14ac:dyDescent="0.25">
      <c r="A197" s="6">
        <v>197</v>
      </c>
      <c r="B197" s="7" t="s">
        <v>4873</v>
      </c>
      <c r="C197" s="8" t="s">
        <v>4874</v>
      </c>
      <c r="D197" s="6" t="s">
        <v>4875</v>
      </c>
      <c r="E197" s="8" t="s">
        <v>4873</v>
      </c>
      <c r="F197" s="8" t="s">
        <v>4876</v>
      </c>
      <c r="G197" s="6" t="s">
        <v>315</v>
      </c>
      <c r="H197" s="6" t="s">
        <v>316</v>
      </c>
      <c r="J197" s="6" t="s">
        <v>316</v>
      </c>
      <c r="K197" s="9">
        <v>18936</v>
      </c>
      <c r="L197" s="8" t="s">
        <v>4877</v>
      </c>
      <c r="M197" s="9">
        <v>7</v>
      </c>
      <c r="N197" s="6">
        <v>1.2779539</v>
      </c>
      <c r="O197" s="6">
        <v>103.85276229999999</v>
      </c>
      <c r="P197" s="6" t="s">
        <v>4878</v>
      </c>
      <c r="Q197" s="6">
        <v>1</v>
      </c>
      <c r="R197" s="6" t="s">
        <v>79</v>
      </c>
      <c r="S197" s="6">
        <v>2017</v>
      </c>
      <c r="T197" s="6">
        <v>246544</v>
      </c>
      <c r="U197" s="6" t="s">
        <v>80</v>
      </c>
      <c r="V197" s="6">
        <v>1</v>
      </c>
      <c r="W197" s="6" t="s">
        <v>167</v>
      </c>
      <c r="X197" s="6" t="s">
        <v>4879</v>
      </c>
      <c r="Y197" s="6" t="s">
        <v>4880</v>
      </c>
      <c r="Z197" s="6" t="s">
        <v>4881</v>
      </c>
      <c r="AA197" s="6" t="s">
        <v>4882</v>
      </c>
      <c r="AB197" s="6" t="s">
        <v>4883</v>
      </c>
      <c r="AC197" s="6">
        <v>541330</v>
      </c>
      <c r="AD197" s="10" t="str">
        <f>_xlfn.XLOOKUP(AC197,[1]Mapping!B:B,[1]Mapping!C:C,"")</f>
        <v>Engineering Services</v>
      </c>
      <c r="AG197" s="6" t="s">
        <v>4884</v>
      </c>
      <c r="AH197" s="6" t="s">
        <v>2348</v>
      </c>
      <c r="AI197" s="6" t="s">
        <v>4822</v>
      </c>
      <c r="AJ197" s="6" t="s">
        <v>653</v>
      </c>
      <c r="AK197" s="6" t="s">
        <v>654</v>
      </c>
      <c r="AL197" s="6" t="s">
        <v>655</v>
      </c>
      <c r="AM197" s="6" t="s">
        <v>656</v>
      </c>
      <c r="AN197" s="6" t="s">
        <v>655</v>
      </c>
      <c r="AO197" s="6" t="s">
        <v>657</v>
      </c>
      <c r="AQ197" s="6" t="s">
        <v>4885</v>
      </c>
      <c r="AR197" s="6" t="s">
        <v>4886</v>
      </c>
      <c r="AT197" s="6">
        <v>7110</v>
      </c>
      <c r="AU197" s="6" t="s">
        <v>4844</v>
      </c>
      <c r="AV197" s="6" t="s">
        <v>4845</v>
      </c>
      <c r="AW197" s="6" t="s">
        <v>4846</v>
      </c>
      <c r="AY197" s="6" t="s">
        <v>4887</v>
      </c>
      <c r="AZ197" s="6" t="s">
        <v>4888</v>
      </c>
      <c r="BA197" s="6" t="s">
        <v>4889</v>
      </c>
      <c r="BB197" s="6" t="s">
        <v>4889</v>
      </c>
      <c r="BD197" s="6" t="s">
        <v>4890</v>
      </c>
      <c r="BE197" s="6" t="str">
        <f t="shared" si="6"/>
        <v>gartner.com</v>
      </c>
      <c r="BF197" s="6" t="str">
        <f t="shared" si="7"/>
        <v>com</v>
      </c>
      <c r="BG197" s="6" t="s">
        <v>101</v>
      </c>
      <c r="BJ197" s="6" t="s">
        <v>4891</v>
      </c>
      <c r="BK197" s="6" t="s">
        <v>4892</v>
      </c>
      <c r="BQ197" s="6" t="s">
        <v>4893</v>
      </c>
      <c r="BR197" s="6" t="s">
        <v>105</v>
      </c>
    </row>
    <row r="198" spans="1:70" ht="45" customHeight="1" x14ac:dyDescent="0.25">
      <c r="A198" s="6">
        <v>198</v>
      </c>
      <c r="B198" s="7" t="s">
        <v>4894</v>
      </c>
      <c r="C198" s="8" t="s">
        <v>4895</v>
      </c>
      <c r="D198" s="6" t="s">
        <v>4896</v>
      </c>
      <c r="E198" s="8" t="s">
        <v>4894</v>
      </c>
      <c r="F198" s="8" t="s">
        <v>4896</v>
      </c>
      <c r="G198" s="6" t="s">
        <v>130</v>
      </c>
      <c r="H198" s="6" t="s">
        <v>131</v>
      </c>
      <c r="I198" s="8" t="s">
        <v>132</v>
      </c>
      <c r="J198" s="6" t="s">
        <v>132</v>
      </c>
      <c r="K198" s="9">
        <v>277</v>
      </c>
      <c r="L198" s="8" t="s">
        <v>4897</v>
      </c>
      <c r="M198" s="9">
        <v>57</v>
      </c>
      <c r="N198" s="6">
        <v>59.921394600000013</v>
      </c>
      <c r="O198" s="6">
        <v>10.677224000000001</v>
      </c>
      <c r="P198" s="6" t="s">
        <v>4898</v>
      </c>
      <c r="Q198" s="6">
        <v>1</v>
      </c>
      <c r="R198" s="6" t="s">
        <v>79</v>
      </c>
      <c r="T198" s="6"/>
      <c r="X198" s="6" t="s">
        <v>4899</v>
      </c>
      <c r="Y198" s="6" t="s">
        <v>4900</v>
      </c>
      <c r="Z198" s="6" t="s">
        <v>4901</v>
      </c>
      <c r="AC198" s="6">
        <v>621330</v>
      </c>
      <c r="AD198" s="10" t="str">
        <f>_xlfn.XLOOKUP(AC198,[1]Mapping!B:B,[1]Mapping!C:C,"")</f>
        <v xml:space="preserve">Offices of Mental Health Practitioners (except Physicians) </v>
      </c>
      <c r="AG198" s="6" t="s">
        <v>1162</v>
      </c>
      <c r="AH198" s="6" t="s">
        <v>1163</v>
      </c>
      <c r="AI198" s="6" t="s">
        <v>1164</v>
      </c>
      <c r="AQ198" s="6">
        <v>8049</v>
      </c>
      <c r="AR198" s="6" t="s">
        <v>1165</v>
      </c>
      <c r="AT198" s="6">
        <v>8690</v>
      </c>
      <c r="AU198" s="6" t="s">
        <v>1166</v>
      </c>
      <c r="AV198" s="6">
        <v>86.9</v>
      </c>
      <c r="AW198" s="6" t="s">
        <v>1166</v>
      </c>
      <c r="AY198" s="6" t="s">
        <v>4902</v>
      </c>
      <c r="BD198" s="6" t="s">
        <v>4903</v>
      </c>
      <c r="BE198" s="6" t="str">
        <f t="shared" si="6"/>
        <v>gartner.com</v>
      </c>
      <c r="BF198" s="6" t="str">
        <f t="shared" si="7"/>
        <v>com</v>
      </c>
      <c r="BG198" s="6" t="s">
        <v>101</v>
      </c>
      <c r="BQ198" s="6" t="s">
        <v>4904</v>
      </c>
      <c r="BR198" s="6" t="s">
        <v>105</v>
      </c>
    </row>
    <row r="199" spans="1:70" ht="45" customHeight="1" x14ac:dyDescent="0.25">
      <c r="A199" s="6">
        <v>199</v>
      </c>
      <c r="B199" s="7" t="s">
        <v>4905</v>
      </c>
      <c r="C199" s="8" t="s">
        <v>4906</v>
      </c>
      <c r="D199" s="6" t="s">
        <v>4907</v>
      </c>
      <c r="E199" s="6" t="s">
        <v>4908</v>
      </c>
      <c r="F199" s="8" t="s">
        <v>4909</v>
      </c>
      <c r="G199" s="6" t="s">
        <v>840</v>
      </c>
      <c r="H199" s="6" t="s">
        <v>841</v>
      </c>
      <c r="I199" s="6" t="s">
        <v>842</v>
      </c>
      <c r="J199" s="6" t="s">
        <v>843</v>
      </c>
      <c r="K199" s="9" t="s">
        <v>4910</v>
      </c>
      <c r="L199" s="8" t="s">
        <v>4911</v>
      </c>
      <c r="M199" s="9">
        <v>5</v>
      </c>
      <c r="N199" s="6">
        <v>51.504576999999998</v>
      </c>
      <c r="O199" s="6">
        <v>-1.3284799999999999E-2</v>
      </c>
      <c r="P199" s="6" t="s">
        <v>4912</v>
      </c>
      <c r="Q199" s="6">
        <v>1</v>
      </c>
      <c r="R199" s="6" t="s">
        <v>79</v>
      </c>
      <c r="T199" s="6">
        <v>49349144</v>
      </c>
      <c r="U199" s="6" t="s">
        <v>80</v>
      </c>
      <c r="V199" s="6">
        <v>75</v>
      </c>
      <c r="W199" s="6" t="s">
        <v>80</v>
      </c>
      <c r="X199" s="6" t="s">
        <v>4913</v>
      </c>
      <c r="Y199" s="6" t="s">
        <v>4914</v>
      </c>
      <c r="Z199" s="6" t="s">
        <v>4915</v>
      </c>
      <c r="AA199" s="6" t="s">
        <v>4916</v>
      </c>
      <c r="AB199" s="6" t="s">
        <v>4917</v>
      </c>
      <c r="AC199" s="6">
        <v>524126</v>
      </c>
      <c r="AD199" s="10" t="str">
        <f>_xlfn.XLOOKUP(AC199,[1]Mapping!B:B,[1]Mapping!C:C,"")</f>
        <v xml:space="preserve">Direct Property and Casualty Insurance Carriers </v>
      </c>
      <c r="AG199" s="6" t="s">
        <v>760</v>
      </c>
      <c r="AH199" s="6" t="s">
        <v>761</v>
      </c>
      <c r="AI199" s="6" t="s">
        <v>119</v>
      </c>
      <c r="AJ199" s="6" t="s">
        <v>761</v>
      </c>
      <c r="AK199" s="6" t="s">
        <v>762</v>
      </c>
      <c r="AL199" s="6" t="s">
        <v>761</v>
      </c>
      <c r="AM199" s="6" t="s">
        <v>763</v>
      </c>
      <c r="AN199" s="6" t="s">
        <v>764</v>
      </c>
      <c r="AO199" s="6" t="s">
        <v>765</v>
      </c>
      <c r="AQ199" s="6" t="s">
        <v>4918</v>
      </c>
      <c r="AR199" s="6" t="s">
        <v>4919</v>
      </c>
      <c r="AT199" s="6">
        <v>6512</v>
      </c>
      <c r="AU199" s="6" t="s">
        <v>796</v>
      </c>
      <c r="AV199" s="6">
        <v>65.12</v>
      </c>
      <c r="AW199" s="6" t="s">
        <v>796</v>
      </c>
      <c r="AY199" s="6" t="s">
        <v>4920</v>
      </c>
      <c r="AZ199" s="6">
        <v>442039000000</v>
      </c>
      <c r="BA199" s="6" t="s">
        <v>4921</v>
      </c>
      <c r="BB199" s="6" t="s">
        <v>4921</v>
      </c>
      <c r="BC199" s="6" t="s">
        <v>4922</v>
      </c>
      <c r="BD199" s="6" t="s">
        <v>4923</v>
      </c>
      <c r="BE199" s="6" t="str">
        <f t="shared" si="6"/>
        <v>americanexpressgbt.com</v>
      </c>
      <c r="BF199" s="6" t="str">
        <f t="shared" si="7"/>
        <v>com</v>
      </c>
      <c r="BG199" s="6" t="s">
        <v>101</v>
      </c>
      <c r="BQ199" s="6" t="s">
        <v>4924</v>
      </c>
      <c r="BR199" s="6" t="s">
        <v>105</v>
      </c>
    </row>
    <row r="200" spans="1:70" ht="45" customHeight="1" x14ac:dyDescent="0.25">
      <c r="A200" s="6">
        <v>200</v>
      </c>
      <c r="B200" s="7" t="s">
        <v>4925</v>
      </c>
      <c r="C200" s="8" t="s">
        <v>4926</v>
      </c>
      <c r="D200" s="6" t="s">
        <v>4925</v>
      </c>
      <c r="E200" s="6" t="s">
        <v>4927</v>
      </c>
      <c r="F200" s="8" t="s">
        <v>4928</v>
      </c>
      <c r="G200" s="6" t="s">
        <v>1659</v>
      </c>
      <c r="H200" s="6" t="s">
        <v>1660</v>
      </c>
      <c r="I200" s="6" t="s">
        <v>3845</v>
      </c>
      <c r="J200" s="6" t="s">
        <v>3846</v>
      </c>
      <c r="K200" s="9">
        <v>1229</v>
      </c>
      <c r="L200" s="8" t="s">
        <v>4929</v>
      </c>
      <c r="M200" s="9" t="s">
        <v>4930</v>
      </c>
      <c r="N200" s="6">
        <v>23.834505700000001</v>
      </c>
      <c r="O200" s="6">
        <v>90.418493999999995</v>
      </c>
      <c r="P200" s="6" t="s">
        <v>4931</v>
      </c>
      <c r="Q200" s="6">
        <v>1</v>
      </c>
      <c r="R200" s="6" t="s">
        <v>79</v>
      </c>
      <c r="S200" s="6">
        <v>2012</v>
      </c>
      <c r="T200" s="6">
        <v>5911386</v>
      </c>
      <c r="U200" s="6" t="s">
        <v>80</v>
      </c>
      <c r="V200" s="6">
        <v>2400</v>
      </c>
      <c r="W200" s="6" t="s">
        <v>167</v>
      </c>
      <c r="X200" s="6" t="s">
        <v>4932</v>
      </c>
      <c r="Y200" s="6" t="s">
        <v>4933</v>
      </c>
      <c r="Z200" s="6" t="s">
        <v>4934</v>
      </c>
      <c r="AA200" s="6" t="s">
        <v>4935</v>
      </c>
      <c r="AB200" s="6" t="s">
        <v>4936</v>
      </c>
      <c r="AC200" s="6">
        <v>561422</v>
      </c>
      <c r="AD200" s="10" t="str">
        <f>_xlfn.XLOOKUP(AC200,[1]Mapping!B:B,[1]Mapping!C:C,"")</f>
        <v xml:space="preserve">Telemarketing Bureaus and Other Contact Centers </v>
      </c>
      <c r="AE200" s="6" t="s">
        <v>2976</v>
      </c>
      <c r="AF200" s="6" t="s">
        <v>2977</v>
      </c>
      <c r="AG200" s="6" t="s">
        <v>4937</v>
      </c>
      <c r="AH200" s="6" t="s">
        <v>4938</v>
      </c>
      <c r="AI200" s="6" t="s">
        <v>4939</v>
      </c>
      <c r="AJ200" s="6" t="s">
        <v>293</v>
      </c>
      <c r="AK200" s="6" t="s">
        <v>294</v>
      </c>
      <c r="AL200" s="6" t="s">
        <v>295</v>
      </c>
      <c r="AM200" s="6" t="s">
        <v>296</v>
      </c>
      <c r="AN200" s="6" t="s">
        <v>297</v>
      </c>
      <c r="AO200" s="6" t="s">
        <v>298</v>
      </c>
      <c r="AQ200" s="6">
        <v>7389</v>
      </c>
      <c r="AR200" s="6" t="s">
        <v>4940</v>
      </c>
      <c r="AT200" s="6">
        <v>8220</v>
      </c>
      <c r="AU200" s="6" t="s">
        <v>2614</v>
      </c>
      <c r="AV200" s="6">
        <v>82.2</v>
      </c>
      <c r="AW200" s="6" t="s">
        <v>2614</v>
      </c>
      <c r="AY200" s="6" t="s">
        <v>4941</v>
      </c>
      <c r="AZ200" s="6">
        <v>8809610000000</v>
      </c>
      <c r="BA200" s="6" t="s">
        <v>4942</v>
      </c>
      <c r="BB200" s="6" t="s">
        <v>4942</v>
      </c>
      <c r="BC200" s="6" t="s">
        <v>4943</v>
      </c>
      <c r="BD200" s="6" t="s">
        <v>4944</v>
      </c>
      <c r="BE200" s="6" t="str">
        <f t="shared" si="6"/>
        <v>genexinfosys.com</v>
      </c>
      <c r="BF200" s="6" t="str">
        <f t="shared" si="7"/>
        <v>com</v>
      </c>
      <c r="BG200" s="6" t="s">
        <v>101</v>
      </c>
      <c r="BH200" s="6" t="s">
        <v>4945</v>
      </c>
      <c r="BI200" s="6" t="s">
        <v>4946</v>
      </c>
      <c r="BJ200" s="6" t="s">
        <v>4947</v>
      </c>
      <c r="BK200" s="6" t="s">
        <v>4948</v>
      </c>
      <c r="BP200" s="6" t="s">
        <v>4949</v>
      </c>
      <c r="BQ200" s="6" t="s">
        <v>4950</v>
      </c>
      <c r="BR200" s="6" t="s">
        <v>105</v>
      </c>
    </row>
    <row r="201" spans="1:70" ht="45" customHeight="1" x14ac:dyDescent="0.25">
      <c r="A201" s="6">
        <v>201</v>
      </c>
      <c r="B201" s="7" t="s">
        <v>4951</v>
      </c>
      <c r="C201" s="8" t="s">
        <v>4952</v>
      </c>
      <c r="D201" s="6" t="s">
        <v>4953</v>
      </c>
      <c r="E201" s="8" t="s">
        <v>4951</v>
      </c>
      <c r="F201" s="8" t="s">
        <v>4954</v>
      </c>
      <c r="G201" s="6" t="s">
        <v>1400</v>
      </c>
      <c r="H201" s="6" t="s">
        <v>1401</v>
      </c>
      <c r="I201" s="8" t="s">
        <v>1402</v>
      </c>
      <c r="J201" s="6" t="s">
        <v>1403</v>
      </c>
      <c r="K201" s="9">
        <v>75500</v>
      </c>
      <c r="L201" s="8" t="s">
        <v>4955</v>
      </c>
      <c r="M201" s="9">
        <v>26</v>
      </c>
      <c r="N201" s="6">
        <v>24.7881821</v>
      </c>
      <c r="O201" s="6">
        <v>67.076304100000002</v>
      </c>
      <c r="P201" s="6" t="s">
        <v>4956</v>
      </c>
      <c r="Q201" s="6">
        <v>4</v>
      </c>
      <c r="R201" s="6" t="s">
        <v>79</v>
      </c>
      <c r="S201" s="6">
        <v>2002</v>
      </c>
      <c r="T201" s="6">
        <v>3900000</v>
      </c>
      <c r="U201" s="6" t="s">
        <v>167</v>
      </c>
      <c r="V201" s="6">
        <v>1900</v>
      </c>
      <c r="W201" s="6" t="s">
        <v>167</v>
      </c>
      <c r="X201" s="6" t="s">
        <v>4957</v>
      </c>
      <c r="Y201" s="6" t="s">
        <v>4958</v>
      </c>
      <c r="Z201" s="6" t="s">
        <v>4959</v>
      </c>
      <c r="AA201" s="6" t="s">
        <v>4960</v>
      </c>
      <c r="AB201" s="6" t="s">
        <v>4961</v>
      </c>
      <c r="AC201" s="6">
        <v>516210</v>
      </c>
      <c r="AD201" s="10" t="str">
        <f>_xlfn.XLOOKUP(AC201,[1]Mapping!B:B,[1]Mapping!C:C,"")</f>
        <v>Media Streaming Distribution Services, Social Networks, and Other Media Networks and Content Providers</v>
      </c>
      <c r="AE201" s="6">
        <v>513140</v>
      </c>
      <c r="AF201" s="6" t="s">
        <v>4962</v>
      </c>
      <c r="AG201" s="6" t="s">
        <v>4963</v>
      </c>
      <c r="AH201" s="6" t="s">
        <v>1411</v>
      </c>
      <c r="AI201" s="6" t="s">
        <v>1412</v>
      </c>
      <c r="AJ201" s="6" t="s">
        <v>1413</v>
      </c>
      <c r="AK201" s="6" t="s">
        <v>1414</v>
      </c>
      <c r="AL201" s="6" t="s">
        <v>502</v>
      </c>
      <c r="AM201" s="6" t="s">
        <v>503</v>
      </c>
      <c r="AN201" s="6" t="s">
        <v>297</v>
      </c>
      <c r="AO201" s="6" t="s">
        <v>298</v>
      </c>
      <c r="AQ201" s="6" t="s">
        <v>4964</v>
      </c>
      <c r="AR201" s="6" t="s">
        <v>4965</v>
      </c>
      <c r="AS201" s="6" t="s">
        <v>4966</v>
      </c>
      <c r="AT201" s="6" t="s">
        <v>4967</v>
      </c>
      <c r="AU201" s="6" t="s">
        <v>4968</v>
      </c>
      <c r="AV201" s="6" t="s">
        <v>4969</v>
      </c>
      <c r="AW201" s="6" t="s">
        <v>4970</v>
      </c>
      <c r="AX201" s="6" t="s">
        <v>4971</v>
      </c>
      <c r="AY201" s="6" t="s">
        <v>4972</v>
      </c>
      <c r="AZ201" s="6" t="s">
        <v>4973</v>
      </c>
      <c r="BA201" s="6" t="s">
        <v>4974</v>
      </c>
      <c r="BB201" s="6" t="s">
        <v>4975</v>
      </c>
      <c r="BC201" s="6" t="s">
        <v>4976</v>
      </c>
      <c r="BD201" s="6" t="s">
        <v>4977</v>
      </c>
      <c r="BE201" s="6" t="str">
        <f t="shared" si="6"/>
        <v>harpalgeo.tv</v>
      </c>
      <c r="BF201" s="6" t="str">
        <f t="shared" si="7"/>
        <v>tv</v>
      </c>
      <c r="BG201" s="6" t="s">
        <v>101</v>
      </c>
      <c r="BH201" s="6" t="s">
        <v>4978</v>
      </c>
      <c r="BI201" s="6" t="s">
        <v>4979</v>
      </c>
      <c r="BJ201" s="6" t="s">
        <v>4980</v>
      </c>
      <c r="BK201" s="6" t="s">
        <v>4981</v>
      </c>
      <c r="BN201" s="6" t="s">
        <v>4982</v>
      </c>
      <c r="BP201" s="6" t="s">
        <v>4983</v>
      </c>
      <c r="BQ201" s="6" t="s">
        <v>4984</v>
      </c>
      <c r="BR201" s="6" t="s">
        <v>105</v>
      </c>
    </row>
    <row r="202" spans="1:70" ht="45" customHeight="1" x14ac:dyDescent="0.25">
      <c r="A202" s="6">
        <v>202</v>
      </c>
      <c r="B202" s="7" t="s">
        <v>4985</v>
      </c>
      <c r="C202" s="8" t="s">
        <v>4986</v>
      </c>
      <c r="D202" s="6" t="s">
        <v>4987</v>
      </c>
      <c r="E202" s="8" t="s">
        <v>4985</v>
      </c>
      <c r="F202" s="8" t="s">
        <v>4988</v>
      </c>
      <c r="G202" s="6" t="s">
        <v>130</v>
      </c>
      <c r="H202" s="6" t="s">
        <v>131</v>
      </c>
      <c r="I202" s="8" t="s">
        <v>2603</v>
      </c>
      <c r="J202" s="6" t="s">
        <v>2604</v>
      </c>
      <c r="K202" s="9">
        <v>7052</v>
      </c>
      <c r="L202" s="8" t="s">
        <v>4989</v>
      </c>
      <c r="M202" s="9">
        <v>12</v>
      </c>
      <c r="N202" s="6">
        <v>63.422075899999989</v>
      </c>
      <c r="O202" s="6">
        <v>10.4377795</v>
      </c>
      <c r="P202" s="6" t="s">
        <v>4990</v>
      </c>
      <c r="Q202" s="6">
        <v>1</v>
      </c>
      <c r="R202" s="6" t="s">
        <v>79</v>
      </c>
      <c r="S202" s="6">
        <v>2001</v>
      </c>
      <c r="T202" s="6">
        <v>23300000</v>
      </c>
      <c r="U202" s="6" t="s">
        <v>167</v>
      </c>
      <c r="V202" s="6">
        <v>52</v>
      </c>
      <c r="W202" s="6" t="s">
        <v>167</v>
      </c>
      <c r="X202" s="6" t="s">
        <v>4991</v>
      </c>
      <c r="Y202" s="6" t="s">
        <v>4992</v>
      </c>
      <c r="Z202" s="6" t="s">
        <v>4993</v>
      </c>
      <c r="AA202" s="6" t="s">
        <v>4994</v>
      </c>
      <c r="AB202" s="6" t="s">
        <v>4995</v>
      </c>
      <c r="AC202" s="6">
        <v>513210</v>
      </c>
      <c r="AD202" s="10" t="str">
        <f>_xlfn.XLOOKUP(AC202,[1]Mapping!B:B,[1]Mapping!C:C,"")</f>
        <v>Software Publishers</v>
      </c>
      <c r="AG202" s="6" t="s">
        <v>4996</v>
      </c>
      <c r="AH202" s="6" t="s">
        <v>4997</v>
      </c>
      <c r="AI202" s="6" t="s">
        <v>4998</v>
      </c>
      <c r="AJ202" s="6" t="s">
        <v>86</v>
      </c>
      <c r="AK202" s="6" t="s">
        <v>88</v>
      </c>
      <c r="AL202" s="6" t="s">
        <v>89</v>
      </c>
      <c r="AM202" s="6" t="s">
        <v>90</v>
      </c>
      <c r="AN202" s="6" t="s">
        <v>91</v>
      </c>
      <c r="AO202" s="6" t="s">
        <v>92</v>
      </c>
      <c r="AQ202" s="6">
        <v>7372</v>
      </c>
      <c r="AR202" s="6" t="s">
        <v>2077</v>
      </c>
      <c r="AT202" s="6">
        <v>5820</v>
      </c>
      <c r="AU202" s="6" t="s">
        <v>2028</v>
      </c>
      <c r="AV202" s="6">
        <v>58.29</v>
      </c>
      <c r="AW202" s="6" t="s">
        <v>2078</v>
      </c>
      <c r="AY202" s="6" t="s">
        <v>4999</v>
      </c>
      <c r="AZ202" s="6" t="s">
        <v>5000</v>
      </c>
      <c r="BA202" s="6" t="s">
        <v>5001</v>
      </c>
      <c r="BB202" s="6" t="s">
        <v>5001</v>
      </c>
      <c r="BC202" s="6" t="s">
        <v>5002</v>
      </c>
      <c r="BD202" s="6" t="s">
        <v>5003</v>
      </c>
      <c r="BE202" s="6" t="str">
        <f t="shared" si="6"/>
        <v>gintel.com</v>
      </c>
      <c r="BF202" s="6" t="str">
        <f t="shared" si="7"/>
        <v>com</v>
      </c>
      <c r="BG202" s="6" t="s">
        <v>101</v>
      </c>
      <c r="BI202" s="6" t="s">
        <v>5004</v>
      </c>
      <c r="BK202" s="6" t="s">
        <v>5005</v>
      </c>
      <c r="BP202" s="6" t="s">
        <v>5006</v>
      </c>
      <c r="BQ202" s="6" t="s">
        <v>5007</v>
      </c>
      <c r="BR202" s="6" t="s">
        <v>105</v>
      </c>
    </row>
    <row r="203" spans="1:70" ht="45" customHeight="1" x14ac:dyDescent="0.25">
      <c r="A203" s="6">
        <v>203</v>
      </c>
      <c r="B203" s="7" t="s">
        <v>5008</v>
      </c>
      <c r="C203" s="8" t="s">
        <v>5009</v>
      </c>
      <c r="D203" s="6" t="s">
        <v>5010</v>
      </c>
      <c r="E203" s="6" t="s">
        <v>5011</v>
      </c>
      <c r="F203" s="8" t="s">
        <v>5012</v>
      </c>
      <c r="G203" s="6" t="s">
        <v>73</v>
      </c>
      <c r="H203" s="6" t="s">
        <v>74</v>
      </c>
      <c r="I203" s="6"/>
      <c r="J203" s="6" t="s">
        <v>5013</v>
      </c>
      <c r="K203" s="9">
        <v>2630</v>
      </c>
      <c r="L203" s="8" t="s">
        <v>5014</v>
      </c>
      <c r="M203" s="9">
        <v>12</v>
      </c>
      <c r="N203" s="6">
        <v>55.662670000000013</v>
      </c>
      <c r="O203" s="6">
        <v>12.303350999999999</v>
      </c>
      <c r="P203" s="6" t="s">
        <v>5015</v>
      </c>
      <c r="Q203" s="6">
        <v>1</v>
      </c>
      <c r="R203" s="6" t="s">
        <v>79</v>
      </c>
      <c r="S203" s="6">
        <v>2002</v>
      </c>
      <c r="T203" s="6"/>
      <c r="X203" s="6" t="s">
        <v>5016</v>
      </c>
      <c r="Y203" s="6" t="s">
        <v>5017</v>
      </c>
      <c r="Z203" s="6" t="s">
        <v>5018</v>
      </c>
      <c r="AA203" s="6" t="s">
        <v>5019</v>
      </c>
      <c r="AB203" s="6" t="s">
        <v>5020</v>
      </c>
      <c r="AC203" s="6">
        <v>517111</v>
      </c>
      <c r="AD203" s="10" t="str">
        <f>_xlfn.XLOOKUP(AC203,[1]Mapping!B:B,[1]Mapping!C:C,"")</f>
        <v xml:space="preserve">Wired Telecommunications Carriers </v>
      </c>
      <c r="AG203" s="6" t="s">
        <v>5021</v>
      </c>
      <c r="AH203" s="6" t="s">
        <v>5022</v>
      </c>
      <c r="AI203" s="6" t="s">
        <v>89</v>
      </c>
      <c r="AJ203" s="6" t="s">
        <v>174</v>
      </c>
      <c r="AK203" s="6" t="s">
        <v>175</v>
      </c>
      <c r="AL203" s="6" t="s">
        <v>176</v>
      </c>
      <c r="AM203" s="6" t="s">
        <v>177</v>
      </c>
      <c r="AN203" s="6" t="s">
        <v>91</v>
      </c>
      <c r="AO203" s="6" t="s">
        <v>92</v>
      </c>
      <c r="AQ203" s="6">
        <v>4813</v>
      </c>
      <c r="AR203" s="6" t="s">
        <v>2296</v>
      </c>
      <c r="AT203" s="6">
        <v>6110</v>
      </c>
      <c r="AU203" s="6" t="s">
        <v>2297</v>
      </c>
      <c r="AV203" s="6">
        <v>61.1</v>
      </c>
      <c r="AW203" s="6" t="s">
        <v>2297</v>
      </c>
      <c r="AY203" s="6" t="s">
        <v>5023</v>
      </c>
      <c r="AZ203" s="6" t="s">
        <v>5024</v>
      </c>
      <c r="BA203" s="6" t="s">
        <v>5025</v>
      </c>
      <c r="BB203" s="6" t="s">
        <v>5026</v>
      </c>
      <c r="BC203" s="6" t="s">
        <v>5027</v>
      </c>
      <c r="BD203" s="6" t="s">
        <v>5028</v>
      </c>
      <c r="BE203" s="6" t="str">
        <f t="shared" si="6"/>
        <v>gigacontent.dk</v>
      </c>
      <c r="BF203" s="6" t="str">
        <f t="shared" si="7"/>
        <v>dk</v>
      </c>
      <c r="BG203" s="6" t="s">
        <v>123</v>
      </c>
      <c r="BH203" s="6" t="s">
        <v>5029</v>
      </c>
      <c r="BK203" s="6" t="s">
        <v>5030</v>
      </c>
      <c r="BP203" s="6" t="s">
        <v>5031</v>
      </c>
      <c r="BQ203" s="6" t="s">
        <v>5032</v>
      </c>
      <c r="BR203" s="6" t="s">
        <v>105</v>
      </c>
    </row>
    <row r="204" spans="1:70" ht="45" customHeight="1" x14ac:dyDescent="0.25">
      <c r="A204" s="6">
        <v>204</v>
      </c>
      <c r="B204" s="7" t="s">
        <v>5033</v>
      </c>
      <c r="C204" s="8" t="s">
        <v>5034</v>
      </c>
      <c r="D204" s="6" t="s">
        <v>5035</v>
      </c>
      <c r="E204" s="6" t="s">
        <v>5036</v>
      </c>
      <c r="F204" s="8" t="s">
        <v>5037</v>
      </c>
      <c r="G204" s="6" t="s">
        <v>1659</v>
      </c>
      <c r="H204" s="6" t="s">
        <v>1660</v>
      </c>
      <c r="I204" s="6" t="s">
        <v>3845</v>
      </c>
      <c r="J204" s="6" t="s">
        <v>3846</v>
      </c>
      <c r="K204" s="9">
        <v>1212</v>
      </c>
      <c r="L204" s="8" t="s">
        <v>5038</v>
      </c>
      <c r="M204" s="9">
        <v>7</v>
      </c>
      <c r="N204" s="6">
        <v>23.7753193</v>
      </c>
      <c r="O204" s="6">
        <v>90.4158683</v>
      </c>
      <c r="P204" s="6" t="s">
        <v>5039</v>
      </c>
      <c r="Q204" s="6">
        <v>1</v>
      </c>
      <c r="R204" s="6" t="s">
        <v>79</v>
      </c>
      <c r="T204" s="6">
        <v>496709</v>
      </c>
      <c r="U204" s="6" t="s">
        <v>80</v>
      </c>
      <c r="V204" s="6">
        <v>75</v>
      </c>
      <c r="W204" s="6" t="s">
        <v>80</v>
      </c>
      <c r="X204" s="6" t="s">
        <v>5040</v>
      </c>
      <c r="Y204" s="6" t="s">
        <v>5041</v>
      </c>
      <c r="Z204" s="6" t="s">
        <v>5042</v>
      </c>
      <c r="AA204" s="6" t="s">
        <v>5043</v>
      </c>
      <c r="AB204" s="6" t="s">
        <v>5044</v>
      </c>
      <c r="AC204" s="6">
        <v>3152</v>
      </c>
      <c r="AD204" s="10" t="str">
        <f>_xlfn.XLOOKUP(AC204,[1]Mapping!B:B,[1]Mapping!C:C,"")</f>
        <v xml:space="preserve">Cut and Sew Apparel ManufacturingT </v>
      </c>
      <c r="AG204" s="6" t="s">
        <v>5045</v>
      </c>
      <c r="AH204" s="6" t="s">
        <v>5046</v>
      </c>
      <c r="AI204" s="6" t="s">
        <v>431</v>
      </c>
      <c r="AJ204" s="6" t="s">
        <v>1467</v>
      </c>
      <c r="AK204" s="6" t="s">
        <v>1468</v>
      </c>
      <c r="AL204" s="6" t="s">
        <v>1469</v>
      </c>
      <c r="AM204" s="6" t="s">
        <v>1470</v>
      </c>
      <c r="AN204" s="6" t="s">
        <v>259</v>
      </c>
      <c r="AO204" s="6" t="s">
        <v>260</v>
      </c>
      <c r="AQ204" s="6">
        <v>2339</v>
      </c>
      <c r="AR204" s="6" t="s">
        <v>5047</v>
      </c>
      <c r="AS204" s="6" t="s">
        <v>1473</v>
      </c>
      <c r="AT204" s="6">
        <v>1410</v>
      </c>
      <c r="AU204" s="6" t="s">
        <v>5048</v>
      </c>
      <c r="AV204" s="6">
        <v>14.13</v>
      </c>
      <c r="AW204" s="6" t="s">
        <v>5049</v>
      </c>
      <c r="AX204" s="6" t="s">
        <v>1478</v>
      </c>
      <c r="AY204" s="6" t="s">
        <v>5050</v>
      </c>
      <c r="AZ204" s="6" t="s">
        <v>5051</v>
      </c>
      <c r="BA204" s="6" t="s">
        <v>5052</v>
      </c>
      <c r="BD204" s="6" t="s">
        <v>5053</v>
      </c>
      <c r="BE204" s="6" t="str">
        <f t="shared" si="6"/>
        <v>gloryfashions.com</v>
      </c>
      <c r="BF204" s="6" t="str">
        <f t="shared" si="7"/>
        <v>com</v>
      </c>
      <c r="BG204" s="6" t="s">
        <v>101</v>
      </c>
      <c r="BK204" s="6" t="s">
        <v>5054</v>
      </c>
      <c r="BP204" s="6" t="s">
        <v>5055</v>
      </c>
      <c r="BQ204" s="6" t="s">
        <v>5056</v>
      </c>
      <c r="BR204" s="6" t="s">
        <v>105</v>
      </c>
    </row>
    <row r="205" spans="1:70" ht="45" customHeight="1" x14ac:dyDescent="0.25">
      <c r="A205" s="6">
        <v>205</v>
      </c>
      <c r="B205" s="7" t="s">
        <v>5057</v>
      </c>
      <c r="C205" s="8" t="s">
        <v>5058</v>
      </c>
      <c r="D205" s="6" t="s">
        <v>5059</v>
      </c>
      <c r="E205" s="6" t="s">
        <v>5060</v>
      </c>
      <c r="F205" s="8" t="s">
        <v>5061</v>
      </c>
      <c r="G205" s="6" t="s">
        <v>73</v>
      </c>
      <c r="H205" s="6" t="s">
        <v>74</v>
      </c>
      <c r="I205" s="6"/>
      <c r="J205" s="6" t="s">
        <v>486</v>
      </c>
      <c r="K205" s="9">
        <v>2400</v>
      </c>
      <c r="L205" s="8" t="s">
        <v>5062</v>
      </c>
      <c r="M205" s="9">
        <v>24</v>
      </c>
      <c r="N205" s="6">
        <v>55.698562600000002</v>
      </c>
      <c r="O205" s="6">
        <v>12.5332594</v>
      </c>
      <c r="P205" s="6" t="s">
        <v>5063</v>
      </c>
      <c r="Q205" s="6">
        <v>2</v>
      </c>
      <c r="R205" s="6" t="s">
        <v>79</v>
      </c>
      <c r="S205" s="6">
        <v>1862</v>
      </c>
      <c r="T205" s="6">
        <v>225000</v>
      </c>
      <c r="U205" s="6" t="s">
        <v>167</v>
      </c>
      <c r="V205" s="6">
        <v>24</v>
      </c>
      <c r="W205" s="6" t="s">
        <v>167</v>
      </c>
      <c r="X205" s="6" t="s">
        <v>5064</v>
      </c>
      <c r="Y205" s="6" t="s">
        <v>5065</v>
      </c>
      <c r="Z205" s="6" t="s">
        <v>5066</v>
      </c>
      <c r="AA205" s="6" t="s">
        <v>5067</v>
      </c>
      <c r="AB205" s="6" t="s">
        <v>5068</v>
      </c>
      <c r="AC205" s="6">
        <v>443142</v>
      </c>
      <c r="AD205" s="10" t="s">
        <v>5069</v>
      </c>
      <c r="AE205" s="6">
        <v>423410</v>
      </c>
      <c r="AF205" s="6" t="s">
        <v>5069</v>
      </c>
      <c r="AG205" s="6" t="s">
        <v>5070</v>
      </c>
      <c r="AH205" s="6" t="s">
        <v>5071</v>
      </c>
      <c r="AI205" s="6" t="s">
        <v>5072</v>
      </c>
      <c r="AJ205" s="6" t="s">
        <v>255</v>
      </c>
      <c r="AK205" s="6" t="s">
        <v>256</v>
      </c>
      <c r="AL205" s="6" t="s">
        <v>257</v>
      </c>
      <c r="AM205" s="6" t="s">
        <v>258</v>
      </c>
      <c r="AN205" s="6" t="s">
        <v>259</v>
      </c>
      <c r="AO205" s="6" t="s">
        <v>260</v>
      </c>
      <c r="AQ205" s="6">
        <v>5999</v>
      </c>
      <c r="AR205" s="6" t="s">
        <v>5073</v>
      </c>
      <c r="AT205" s="6">
        <v>4778</v>
      </c>
      <c r="AU205" s="6" t="s">
        <v>5074</v>
      </c>
      <c r="AV205" s="6">
        <v>47.78</v>
      </c>
      <c r="AW205" s="6" t="s">
        <v>5074</v>
      </c>
      <c r="AY205" s="6" t="s">
        <v>5075</v>
      </c>
      <c r="AZ205" s="6" t="s">
        <v>5076</v>
      </c>
      <c r="BA205" s="6" t="s">
        <v>5077</v>
      </c>
      <c r="BB205" s="6" t="s">
        <v>5078</v>
      </c>
      <c r="BC205" s="6" t="s">
        <v>5079</v>
      </c>
      <c r="BD205" s="6" t="s">
        <v>5080</v>
      </c>
      <c r="BE205" s="6" t="str">
        <f t="shared" si="6"/>
        <v>goecker.dk</v>
      </c>
      <c r="BF205" s="6" t="str">
        <f t="shared" si="7"/>
        <v>dk</v>
      </c>
      <c r="BG205" s="6" t="s">
        <v>123</v>
      </c>
      <c r="BH205" s="6" t="s">
        <v>5081</v>
      </c>
      <c r="BI205" s="6" t="s">
        <v>5082</v>
      </c>
      <c r="BJ205" s="6" t="s">
        <v>5083</v>
      </c>
      <c r="BK205" s="6" t="s">
        <v>5084</v>
      </c>
      <c r="BN205" s="6" t="s">
        <v>5085</v>
      </c>
      <c r="BP205" s="6" t="s">
        <v>5086</v>
      </c>
      <c r="BQ205" s="6" t="s">
        <v>5087</v>
      </c>
      <c r="BR205" s="6" t="s">
        <v>105</v>
      </c>
    </row>
    <row r="206" spans="1:70" ht="45" customHeight="1" x14ac:dyDescent="0.25">
      <c r="A206" s="6">
        <v>206</v>
      </c>
      <c r="B206" s="7" t="s">
        <v>5088</v>
      </c>
      <c r="C206" s="8" t="s">
        <v>5089</v>
      </c>
      <c r="D206" s="6" t="s">
        <v>5090</v>
      </c>
      <c r="E206" s="6" t="s">
        <v>5091</v>
      </c>
      <c r="F206" s="8" t="s">
        <v>5090</v>
      </c>
      <c r="G206" s="6" t="s">
        <v>73</v>
      </c>
      <c r="H206" s="6" t="s">
        <v>74</v>
      </c>
      <c r="I206" s="6"/>
      <c r="J206" s="6" t="s">
        <v>486</v>
      </c>
      <c r="K206" s="9">
        <v>1401</v>
      </c>
      <c r="L206" s="8" t="s">
        <v>5092</v>
      </c>
      <c r="M206" s="9" t="s">
        <v>5093</v>
      </c>
      <c r="N206" s="6">
        <v>55.67268</v>
      </c>
      <c r="O206" s="6">
        <v>12.5879481</v>
      </c>
      <c r="P206" s="6" t="s">
        <v>5094</v>
      </c>
      <c r="Q206" s="6">
        <v>2</v>
      </c>
      <c r="R206" s="6" t="s">
        <v>79</v>
      </c>
      <c r="S206" s="6">
        <v>2003</v>
      </c>
      <c r="T206" s="6">
        <v>7000000</v>
      </c>
      <c r="U206" s="6" t="s">
        <v>167</v>
      </c>
      <c r="V206" s="6">
        <v>120</v>
      </c>
      <c r="W206" s="6" t="s">
        <v>167</v>
      </c>
      <c r="X206" s="6" t="s">
        <v>5095</v>
      </c>
      <c r="Y206" s="6" t="s">
        <v>5096</v>
      </c>
      <c r="Z206" s="6" t="s">
        <v>5097</v>
      </c>
      <c r="AA206" s="6" t="s">
        <v>5098</v>
      </c>
      <c r="AB206" s="6" t="s">
        <v>5099</v>
      </c>
      <c r="AC206" s="6">
        <v>459420</v>
      </c>
      <c r="AD206" s="10" t="str">
        <f>_xlfn.XLOOKUP(AC206,[1]Mapping!B:B,[1]Mapping!C:C,"")</f>
        <v xml:space="preserve">Gift, Novelty, and Souvenir Retailers </v>
      </c>
      <c r="AG206" s="6" t="s">
        <v>5100</v>
      </c>
      <c r="AH206" s="6" t="s">
        <v>822</v>
      </c>
      <c r="AI206" s="6" t="s">
        <v>822</v>
      </c>
      <c r="AJ206" s="6" t="s">
        <v>5101</v>
      </c>
      <c r="AK206" s="6" t="s">
        <v>5102</v>
      </c>
      <c r="AL206" s="6" t="s">
        <v>5103</v>
      </c>
      <c r="AM206" s="6" t="s">
        <v>5104</v>
      </c>
      <c r="AN206" s="6" t="s">
        <v>1027</v>
      </c>
      <c r="AO206" s="6" t="s">
        <v>1028</v>
      </c>
      <c r="AQ206" s="6" t="s">
        <v>5105</v>
      </c>
      <c r="AR206" s="6" t="s">
        <v>5106</v>
      </c>
      <c r="AT206" s="6" t="s">
        <v>5107</v>
      </c>
      <c r="AU206" s="6" t="s">
        <v>5108</v>
      </c>
      <c r="AV206" s="6" t="s">
        <v>5109</v>
      </c>
      <c r="AW206" s="6" t="s">
        <v>5110</v>
      </c>
      <c r="AY206" s="6" t="s">
        <v>5111</v>
      </c>
      <c r="AZ206" s="6" t="s">
        <v>5112</v>
      </c>
      <c r="BA206" s="6" t="s">
        <v>5113</v>
      </c>
      <c r="BB206" s="6" t="s">
        <v>5113</v>
      </c>
      <c r="BC206" s="6" t="s">
        <v>5113</v>
      </c>
      <c r="BD206" s="6" t="s">
        <v>5114</v>
      </c>
      <c r="BE206" s="6" t="str">
        <f t="shared" si="6"/>
        <v>gogift.com</v>
      </c>
      <c r="BF206" s="6" t="str">
        <f t="shared" si="7"/>
        <v>com</v>
      </c>
      <c r="BG206" s="6" t="s">
        <v>101</v>
      </c>
      <c r="BK206" s="6" t="s">
        <v>5115</v>
      </c>
      <c r="BP206" s="6" t="s">
        <v>5116</v>
      </c>
      <c r="BQ206" s="6" t="s">
        <v>5117</v>
      </c>
      <c r="BR206" s="6" t="s">
        <v>105</v>
      </c>
    </row>
    <row r="207" spans="1:70" ht="45" customHeight="1" x14ac:dyDescent="0.25">
      <c r="A207" s="6">
        <v>207</v>
      </c>
      <c r="B207" s="7" t="s">
        <v>5118</v>
      </c>
      <c r="C207" s="8" t="s">
        <v>5119</v>
      </c>
      <c r="D207" s="6" t="s">
        <v>5120</v>
      </c>
      <c r="E207" s="8" t="s">
        <v>5118</v>
      </c>
      <c r="F207" s="8" t="s">
        <v>5118</v>
      </c>
      <c r="G207" s="6" t="s">
        <v>315</v>
      </c>
      <c r="H207" s="6" t="s">
        <v>316</v>
      </c>
      <c r="I207" s="6"/>
      <c r="J207" s="6" t="s">
        <v>316</v>
      </c>
      <c r="K207" s="9">
        <v>117371</v>
      </c>
      <c r="L207" s="8" t="s">
        <v>5121</v>
      </c>
      <c r="M207" s="9">
        <v>70</v>
      </c>
      <c r="N207" s="6">
        <v>1.2761807000000001</v>
      </c>
      <c r="O207" s="6">
        <v>103.8000401</v>
      </c>
      <c r="P207" s="6" t="s">
        <v>5122</v>
      </c>
      <c r="Q207" s="6">
        <v>1</v>
      </c>
      <c r="R207" s="6" t="s">
        <v>79</v>
      </c>
      <c r="T207" s="6"/>
      <c r="X207" s="6" t="s">
        <v>5123</v>
      </c>
      <c r="Y207" s="6" t="s">
        <v>5124</v>
      </c>
      <c r="Z207" s="6" t="s">
        <v>5125</v>
      </c>
      <c r="AA207" s="6" t="s">
        <v>5126</v>
      </c>
      <c r="AB207" s="6" t="s">
        <v>5127</v>
      </c>
      <c r="AC207" s="6">
        <v>519130</v>
      </c>
      <c r="AD207" s="10" t="s">
        <v>496</v>
      </c>
      <c r="AE207" s="6">
        <v>541613</v>
      </c>
      <c r="AF207" s="6" t="s">
        <v>496</v>
      </c>
      <c r="AG207" s="6" t="s">
        <v>5128</v>
      </c>
      <c r="AH207" s="6" t="s">
        <v>5129</v>
      </c>
      <c r="AI207" s="6" t="s">
        <v>499</v>
      </c>
      <c r="AJ207" s="6" t="s">
        <v>1413</v>
      </c>
      <c r="AK207" s="6" t="s">
        <v>1414</v>
      </c>
      <c r="AL207" s="6" t="s">
        <v>502</v>
      </c>
      <c r="AM207" s="6" t="s">
        <v>503</v>
      </c>
      <c r="AN207" s="6" t="s">
        <v>297</v>
      </c>
      <c r="AO207" s="6" t="s">
        <v>298</v>
      </c>
      <c r="AQ207" s="6">
        <v>7375</v>
      </c>
      <c r="AR207" s="6" t="s">
        <v>5130</v>
      </c>
      <c r="AT207" s="6">
        <v>6312</v>
      </c>
      <c r="AU207" s="6" t="s">
        <v>5131</v>
      </c>
      <c r="AV207" s="6">
        <v>63.12</v>
      </c>
      <c r="AW207" s="6" t="s">
        <v>5131</v>
      </c>
      <c r="AY207" s="6" t="s">
        <v>5132</v>
      </c>
      <c r="BD207" s="6" t="s">
        <v>5133</v>
      </c>
      <c r="BE207" s="6" t="str">
        <f t="shared" si="6"/>
        <v>google.com.sg</v>
      </c>
      <c r="BF207" s="6" t="str">
        <f t="shared" si="7"/>
        <v>sg</v>
      </c>
      <c r="BG207" s="6" t="s">
        <v>5134</v>
      </c>
      <c r="BH207" s="6" t="s">
        <v>5135</v>
      </c>
      <c r="BI207" s="6" t="s">
        <v>5136</v>
      </c>
      <c r="BJ207" s="6" t="s">
        <v>5137</v>
      </c>
      <c r="BK207" s="6" t="s">
        <v>5138</v>
      </c>
      <c r="BN207" s="6" t="s">
        <v>5139</v>
      </c>
      <c r="BQ207" s="6" t="s">
        <v>5140</v>
      </c>
      <c r="BR207" s="6" t="s">
        <v>105</v>
      </c>
    </row>
    <row r="208" spans="1:70" ht="45" customHeight="1" x14ac:dyDescent="0.25">
      <c r="A208" s="6">
        <v>208</v>
      </c>
      <c r="B208" s="7" t="s">
        <v>5141</v>
      </c>
      <c r="C208" s="8" t="s">
        <v>5142</v>
      </c>
      <c r="D208" s="6" t="s">
        <v>5143</v>
      </c>
      <c r="E208" s="8" t="s">
        <v>5141</v>
      </c>
      <c r="F208" s="8" t="s">
        <v>5144</v>
      </c>
      <c r="G208" s="6" t="s">
        <v>570</v>
      </c>
      <c r="H208" s="6" t="s">
        <v>571</v>
      </c>
      <c r="I208" s="8" t="s">
        <v>572</v>
      </c>
      <c r="J208" s="6" t="s">
        <v>3358</v>
      </c>
      <c r="K208" s="9" t="s">
        <v>5145</v>
      </c>
      <c r="L208" s="8" t="s">
        <v>5146</v>
      </c>
      <c r="N208" s="6">
        <v>53.339823199999998</v>
      </c>
      <c r="O208" s="6">
        <v>-6.2362671000000001</v>
      </c>
      <c r="P208" s="6" t="s">
        <v>5147</v>
      </c>
      <c r="Q208" s="6">
        <v>3</v>
      </c>
      <c r="R208" s="6" t="s">
        <v>79</v>
      </c>
      <c r="T208" s="6"/>
      <c r="X208" s="6" t="s">
        <v>5148</v>
      </c>
      <c r="Z208" s="6" t="s">
        <v>5149</v>
      </c>
      <c r="AA208" s="6" t="s">
        <v>5150</v>
      </c>
      <c r="AC208" s="6">
        <v>519290</v>
      </c>
      <c r="AD208" s="10" t="str">
        <f>_xlfn.XLOOKUP(AC208,[1]Mapping!B:B,[1]Mapping!C:C,"")</f>
        <v>Web Search Portals and All Other Information Services</v>
      </c>
      <c r="AG208" s="6" t="s">
        <v>581</v>
      </c>
      <c r="AH208" s="6" t="s">
        <v>174</v>
      </c>
      <c r="AI208" s="6" t="s">
        <v>87</v>
      </c>
      <c r="AJ208" s="6" t="s">
        <v>174</v>
      </c>
      <c r="AK208" s="6" t="s">
        <v>175</v>
      </c>
      <c r="AL208" s="6" t="s">
        <v>176</v>
      </c>
      <c r="AM208" s="6" t="s">
        <v>177</v>
      </c>
      <c r="AN208" s="6" t="s">
        <v>91</v>
      </c>
      <c r="AO208" s="6" t="s">
        <v>92</v>
      </c>
      <c r="AQ208" s="6" t="s">
        <v>5151</v>
      </c>
      <c r="AR208" s="6" t="s">
        <v>5152</v>
      </c>
      <c r="AT208" s="6" t="s">
        <v>5153</v>
      </c>
      <c r="AU208" s="6" t="s">
        <v>5154</v>
      </c>
      <c r="AV208" s="6" t="s">
        <v>5155</v>
      </c>
      <c r="AW208" s="6" t="s">
        <v>5154</v>
      </c>
      <c r="AY208" s="6" t="s">
        <v>5156</v>
      </c>
      <c r="AZ208" s="6" t="s">
        <v>5157</v>
      </c>
      <c r="BA208" s="6" t="s">
        <v>5158</v>
      </c>
      <c r="BD208" s="6" t="s">
        <v>5159</v>
      </c>
      <c r="BE208" s="6" t="str">
        <f t="shared" si="6"/>
        <v>google.ie</v>
      </c>
      <c r="BF208" s="6" t="str">
        <f t="shared" si="7"/>
        <v>ie</v>
      </c>
      <c r="BG208" s="6" t="s">
        <v>101</v>
      </c>
      <c r="BH208" s="6" t="s">
        <v>5160</v>
      </c>
      <c r="BI208" s="6" t="s">
        <v>5161</v>
      </c>
      <c r="BJ208" s="6" t="s">
        <v>5162</v>
      </c>
      <c r="BK208" s="6" t="s">
        <v>5163</v>
      </c>
      <c r="BN208" s="6" t="s">
        <v>5164</v>
      </c>
      <c r="BQ208" s="6" t="s">
        <v>5165</v>
      </c>
      <c r="BR208" s="6" t="s">
        <v>105</v>
      </c>
    </row>
    <row r="209" spans="1:70" ht="45" customHeight="1" x14ac:dyDescent="0.25">
      <c r="A209" s="6">
        <v>209</v>
      </c>
      <c r="B209" s="7" t="s">
        <v>5166</v>
      </c>
      <c r="C209" s="8" t="s">
        <v>5167</v>
      </c>
      <c r="D209" s="6" t="s">
        <v>5143</v>
      </c>
      <c r="E209" s="8" t="s">
        <v>5168</v>
      </c>
      <c r="F209" s="8" t="s">
        <v>5168</v>
      </c>
      <c r="G209" s="6" t="s">
        <v>570</v>
      </c>
      <c r="H209" s="6" t="s">
        <v>571</v>
      </c>
      <c r="I209" s="6" t="s">
        <v>572</v>
      </c>
      <c r="J209" s="6" t="s">
        <v>3358</v>
      </c>
      <c r="K209" s="9" t="s">
        <v>5145</v>
      </c>
      <c r="L209" s="8" t="s">
        <v>5146</v>
      </c>
      <c r="N209" s="6">
        <v>53.339823199999998</v>
      </c>
      <c r="O209" s="6">
        <v>-6.2362671000000001</v>
      </c>
      <c r="P209" s="6" t="s">
        <v>5169</v>
      </c>
      <c r="Q209" s="6">
        <v>2</v>
      </c>
      <c r="R209" s="6" t="s">
        <v>79</v>
      </c>
      <c r="S209" s="6">
        <v>2012</v>
      </c>
      <c r="T209" s="6"/>
      <c r="X209" s="6" t="s">
        <v>5148</v>
      </c>
      <c r="Y209" s="6" t="s">
        <v>5170</v>
      </c>
      <c r="Z209" s="6" t="s">
        <v>5171</v>
      </c>
      <c r="AA209" s="6" t="s">
        <v>5172</v>
      </c>
      <c r="AB209" s="6" t="s">
        <v>5173</v>
      </c>
      <c r="AC209" s="6">
        <v>518210</v>
      </c>
      <c r="AD209" s="10" t="str">
        <f>_xlfn.XLOOKUP(AC209,[1]Mapping!B:B,[1]Mapping!C:C,"")</f>
        <v>Computing Infrastructure Providers, Data Processing, Web Hosting, and Related Services</v>
      </c>
      <c r="AE209" s="6" t="s">
        <v>4410</v>
      </c>
      <c r="AF209" s="6" t="s">
        <v>4411</v>
      </c>
      <c r="AG209" s="6" t="s">
        <v>5174</v>
      </c>
      <c r="AH209" s="6" t="s">
        <v>5175</v>
      </c>
      <c r="AI209" s="6" t="s">
        <v>5176</v>
      </c>
      <c r="AJ209" s="6" t="s">
        <v>174</v>
      </c>
      <c r="AK209" s="6" t="s">
        <v>175</v>
      </c>
      <c r="AL209" s="6" t="s">
        <v>176</v>
      </c>
      <c r="AM209" s="6" t="s">
        <v>177</v>
      </c>
      <c r="AN209" s="6" t="s">
        <v>91</v>
      </c>
      <c r="AO209" s="6" t="s">
        <v>92</v>
      </c>
      <c r="AQ209" s="6">
        <v>7389</v>
      </c>
      <c r="AR209" s="6" t="s">
        <v>4940</v>
      </c>
      <c r="AT209" s="6">
        <v>6311</v>
      </c>
      <c r="AU209" s="6" t="s">
        <v>917</v>
      </c>
      <c r="AV209" s="6">
        <v>63.11</v>
      </c>
      <c r="AW209" s="6" t="s">
        <v>917</v>
      </c>
      <c r="AY209" s="6" t="s">
        <v>5156</v>
      </c>
      <c r="AZ209" s="6" t="s">
        <v>5177</v>
      </c>
      <c r="BA209" s="6" t="s">
        <v>5178</v>
      </c>
      <c r="BD209" s="6" t="s">
        <v>5159</v>
      </c>
      <c r="BE209" s="6" t="str">
        <f t="shared" si="6"/>
        <v>google.ie</v>
      </c>
      <c r="BF209" s="6" t="str">
        <f t="shared" si="7"/>
        <v>ie</v>
      </c>
      <c r="BG209" s="6" t="s">
        <v>101</v>
      </c>
      <c r="BQ209" s="6" t="s">
        <v>5179</v>
      </c>
      <c r="BR209" s="6" t="s">
        <v>105</v>
      </c>
    </row>
    <row r="210" spans="1:70" ht="45" customHeight="1" x14ac:dyDescent="0.25">
      <c r="A210" s="6">
        <v>210</v>
      </c>
      <c r="B210" s="7" t="s">
        <v>5180</v>
      </c>
      <c r="C210" s="8" t="s">
        <v>5181</v>
      </c>
      <c r="D210" s="6" t="s">
        <v>5143</v>
      </c>
      <c r="E210" s="8" t="s">
        <v>5180</v>
      </c>
      <c r="F210" s="8" t="s">
        <v>5182</v>
      </c>
      <c r="G210" s="6" t="s">
        <v>570</v>
      </c>
      <c r="H210" s="6" t="s">
        <v>571</v>
      </c>
      <c r="I210" s="8" t="s">
        <v>572</v>
      </c>
      <c r="J210" s="6" t="s">
        <v>3358</v>
      </c>
      <c r="K210" s="9" t="s">
        <v>5145</v>
      </c>
      <c r="L210" s="8" t="s">
        <v>5146</v>
      </c>
      <c r="N210" s="6">
        <v>53.339823199999998</v>
      </c>
      <c r="O210" s="6">
        <v>-6.2362671000000001</v>
      </c>
      <c r="P210" s="6" t="s">
        <v>5183</v>
      </c>
      <c r="Q210" s="6">
        <v>1</v>
      </c>
      <c r="R210" s="6" t="s">
        <v>79</v>
      </c>
      <c r="S210" s="6">
        <v>2003</v>
      </c>
      <c r="T210" s="6"/>
      <c r="X210" s="6" t="s">
        <v>5184</v>
      </c>
      <c r="Y210" s="6" t="s">
        <v>5185</v>
      </c>
      <c r="Z210" s="6" t="s">
        <v>5186</v>
      </c>
      <c r="AA210" s="6" t="s">
        <v>5148</v>
      </c>
      <c r="AB210" s="6" t="s">
        <v>5187</v>
      </c>
      <c r="AC210" s="6">
        <v>519130</v>
      </c>
      <c r="AD210" s="10" t="s">
        <v>496</v>
      </c>
      <c r="AE210" s="6">
        <v>541613</v>
      </c>
      <c r="AF210" s="6" t="s">
        <v>496</v>
      </c>
      <c r="AG210" s="6" t="s">
        <v>5128</v>
      </c>
      <c r="AH210" s="6" t="s">
        <v>5188</v>
      </c>
      <c r="AI210" s="6" t="s">
        <v>499</v>
      </c>
      <c r="AJ210" s="6" t="s">
        <v>2001</v>
      </c>
      <c r="AK210" s="6" t="s">
        <v>2002</v>
      </c>
      <c r="AL210" s="6" t="s">
        <v>328</v>
      </c>
      <c r="AM210" s="6" t="s">
        <v>329</v>
      </c>
      <c r="AN210" s="6" t="s">
        <v>297</v>
      </c>
      <c r="AO210" s="6" t="s">
        <v>298</v>
      </c>
      <c r="AQ210" s="6">
        <v>7375</v>
      </c>
      <c r="AR210" s="6" t="s">
        <v>5130</v>
      </c>
      <c r="AT210" s="6">
        <v>6312</v>
      </c>
      <c r="AU210" s="6" t="s">
        <v>5131</v>
      </c>
      <c r="AV210" s="6">
        <v>63.12</v>
      </c>
      <c r="AW210" s="6" t="s">
        <v>5131</v>
      </c>
      <c r="AY210" s="6" t="s">
        <v>5156</v>
      </c>
      <c r="AZ210" s="6">
        <v>3538810000000</v>
      </c>
      <c r="BA210" s="6" t="s">
        <v>5189</v>
      </c>
      <c r="BB210" s="6" t="s">
        <v>5189</v>
      </c>
      <c r="BD210" s="6" t="s">
        <v>5159</v>
      </c>
      <c r="BE210" s="6" t="str">
        <f t="shared" si="6"/>
        <v>google.ie</v>
      </c>
      <c r="BF210" s="6" t="str">
        <f t="shared" si="7"/>
        <v>ie</v>
      </c>
      <c r="BG210" s="6" t="s">
        <v>337</v>
      </c>
      <c r="BQ210" s="6" t="s">
        <v>5190</v>
      </c>
      <c r="BR210" s="6" t="s">
        <v>105</v>
      </c>
    </row>
    <row r="211" spans="1:70" ht="45" customHeight="1" x14ac:dyDescent="0.25">
      <c r="A211" s="6">
        <v>211</v>
      </c>
      <c r="B211" s="7" t="s">
        <v>5191</v>
      </c>
      <c r="C211" s="8" t="s">
        <v>5192</v>
      </c>
      <c r="D211" s="6" t="s">
        <v>5193</v>
      </c>
      <c r="E211" s="8" t="s">
        <v>5191</v>
      </c>
      <c r="F211" s="8" t="s">
        <v>5194</v>
      </c>
      <c r="G211" s="6" t="s">
        <v>1659</v>
      </c>
      <c r="H211" s="6" t="s">
        <v>1660</v>
      </c>
      <c r="I211" s="8" t="s">
        <v>1661</v>
      </c>
      <c r="J211" s="6" t="s">
        <v>1662</v>
      </c>
      <c r="K211" s="9">
        <v>1229</v>
      </c>
      <c r="L211" s="8" t="s">
        <v>5195</v>
      </c>
      <c r="M211" s="9">
        <v>1</v>
      </c>
      <c r="N211" s="6">
        <v>23.812100999999998</v>
      </c>
      <c r="O211" s="6">
        <v>90.426051000000001</v>
      </c>
      <c r="P211" s="6" t="s">
        <v>5196</v>
      </c>
      <c r="Q211" s="6">
        <v>1</v>
      </c>
      <c r="R211" s="6" t="s">
        <v>79</v>
      </c>
      <c r="T211" s="6"/>
      <c r="X211" s="6" t="s">
        <v>5197</v>
      </c>
      <c r="Y211" s="6" t="s">
        <v>5198</v>
      </c>
      <c r="Z211" s="6" t="s">
        <v>5199</v>
      </c>
      <c r="AC211" s="6">
        <v>541410</v>
      </c>
      <c r="AD211" s="10" t="str">
        <f>_xlfn.XLOOKUP(AC211,[1]Mapping!B:B,[1]Mapping!C:C,"")</f>
        <v>Interior Design Services</v>
      </c>
      <c r="AG211" s="6" t="s">
        <v>5200</v>
      </c>
      <c r="AH211" s="6" t="s">
        <v>4821</v>
      </c>
      <c r="AI211" s="6" t="s">
        <v>4822</v>
      </c>
      <c r="AQ211" s="6">
        <v>7389</v>
      </c>
      <c r="AR211" s="6" t="s">
        <v>5201</v>
      </c>
      <c r="AT211" s="6">
        <v>7410</v>
      </c>
      <c r="AU211" s="6" t="s">
        <v>5202</v>
      </c>
      <c r="AV211" s="6">
        <v>74.099999999999994</v>
      </c>
      <c r="AW211" s="6" t="s">
        <v>5203</v>
      </c>
      <c r="AY211" s="6" t="s">
        <v>5204</v>
      </c>
      <c r="AZ211" s="6">
        <v>8801750000000</v>
      </c>
      <c r="BD211" s="6" t="s">
        <v>5205</v>
      </c>
      <c r="BE211" s="6" t="str">
        <f t="shared" si="6"/>
        <v>aatsh.com</v>
      </c>
      <c r="BF211" s="6" t="str">
        <f t="shared" si="7"/>
        <v>com</v>
      </c>
      <c r="BG211" s="6" t="s">
        <v>744</v>
      </c>
      <c r="BQ211" s="6" t="s">
        <v>5206</v>
      </c>
      <c r="BR211" s="6" t="s">
        <v>105</v>
      </c>
    </row>
    <row r="212" spans="1:70" ht="45" customHeight="1" x14ac:dyDescent="0.25">
      <c r="A212" s="6">
        <v>212</v>
      </c>
      <c r="B212" s="7" t="s">
        <v>5207</v>
      </c>
      <c r="C212" s="8" t="s">
        <v>5208</v>
      </c>
      <c r="D212" s="6" t="s">
        <v>5207</v>
      </c>
      <c r="E212" s="8" t="s">
        <v>5207</v>
      </c>
      <c r="F212" s="8" t="s">
        <v>5207</v>
      </c>
      <c r="G212" s="6" t="e">
        <f>#REF!</f>
        <v>#REF!</v>
      </c>
      <c r="H212" s="6" t="e">
        <f>#REF!</f>
        <v>#REF!</v>
      </c>
      <c r="I212" s="6" t="e">
        <f>#REF!</f>
        <v>#REF!</v>
      </c>
      <c r="J212" s="6" t="e">
        <f>#REF!</f>
        <v>#REF!</v>
      </c>
      <c r="K212" s="9" t="e">
        <f>#REF!</f>
        <v>#REF!</v>
      </c>
      <c r="L212" s="8" t="s">
        <v>5209</v>
      </c>
      <c r="M212" s="9" t="e">
        <f>#REF!</f>
        <v>#REF!</v>
      </c>
      <c r="P212" s="6" t="s">
        <v>5210</v>
      </c>
      <c r="Q212" s="6">
        <v>1</v>
      </c>
      <c r="R212" s="6" t="s">
        <v>79</v>
      </c>
      <c r="T212" s="6">
        <v>18099732</v>
      </c>
      <c r="U212" s="6" t="s">
        <v>80</v>
      </c>
      <c r="V212" s="6">
        <v>30</v>
      </c>
      <c r="W212" s="6" t="s">
        <v>80</v>
      </c>
      <c r="X212" s="6" t="s">
        <v>5211</v>
      </c>
      <c r="Y212" s="6" t="s">
        <v>5212</v>
      </c>
      <c r="Z212" s="6" t="s">
        <v>5213</v>
      </c>
      <c r="AA212" s="6" t="s">
        <v>5214</v>
      </c>
      <c r="AC212" s="6">
        <v>441120</v>
      </c>
      <c r="AD212" s="10" t="str">
        <f>_xlfn.XLOOKUP(AC212,[1]Mapping!B:B,[1]Mapping!C:C,"")</f>
        <v xml:space="preserve">Used Car Dealers </v>
      </c>
      <c r="AG212" s="6" t="s">
        <v>5215</v>
      </c>
      <c r="AH212" s="6" t="s">
        <v>5215</v>
      </c>
      <c r="AI212" s="6" t="s">
        <v>5216</v>
      </c>
      <c r="AQ212" s="6">
        <v>5521</v>
      </c>
      <c r="AR212" s="6" t="s">
        <v>5217</v>
      </c>
      <c r="AS212" s="6" t="s">
        <v>5218</v>
      </c>
      <c r="AT212" s="6">
        <v>4510</v>
      </c>
      <c r="AU212" s="6" t="s">
        <v>5219</v>
      </c>
      <c r="AV212" s="6" t="s">
        <v>5220</v>
      </c>
      <c r="AW212" s="6" t="s">
        <v>5221</v>
      </c>
      <c r="AX212" s="6" t="s">
        <v>5222</v>
      </c>
      <c r="AY212" s="6">
        <v>4524457957</v>
      </c>
      <c r="AZ212" s="6" t="s">
        <v>5223</v>
      </c>
      <c r="BA212" s="6" t="s">
        <v>5224</v>
      </c>
      <c r="BB212" s="6" t="s">
        <v>5224</v>
      </c>
      <c r="BD212" s="6" t="s">
        <v>5225</v>
      </c>
      <c r="BE212" s="6" t="str">
        <f t="shared" si="6"/>
        <v>jyskauto.dk</v>
      </c>
      <c r="BF212" s="6" t="str">
        <f t="shared" si="7"/>
        <v>dk</v>
      </c>
      <c r="BG212" s="6" t="s">
        <v>123</v>
      </c>
      <c r="BP212" s="6" t="s">
        <v>5226</v>
      </c>
      <c r="BQ212" s="6" t="s">
        <v>5227</v>
      </c>
      <c r="BR212" s="6" t="s">
        <v>105</v>
      </c>
    </row>
    <row r="213" spans="1:70" ht="45" customHeight="1" x14ac:dyDescent="0.25">
      <c r="A213" s="6">
        <v>213</v>
      </c>
      <c r="B213" s="7" t="s">
        <v>5228</v>
      </c>
      <c r="C213" s="8" t="s">
        <v>5229</v>
      </c>
      <c r="D213" s="6" t="s">
        <v>5230</v>
      </c>
      <c r="E213" s="6" t="s">
        <v>5231</v>
      </c>
      <c r="F213" s="8" t="s">
        <v>5232</v>
      </c>
      <c r="G213" s="6" t="s">
        <v>612</v>
      </c>
      <c r="H213" s="6" t="s">
        <v>613</v>
      </c>
      <c r="I213" s="6" t="s">
        <v>614</v>
      </c>
      <c r="J213" s="6" t="s">
        <v>1763</v>
      </c>
      <c r="K213" s="9">
        <v>47301</v>
      </c>
      <c r="L213" s="8" t="s">
        <v>5233</v>
      </c>
      <c r="M213" s="9">
        <v>1</v>
      </c>
      <c r="N213" s="6">
        <v>3.105477</v>
      </c>
      <c r="O213" s="6">
        <v>101.5954674</v>
      </c>
      <c r="P213" s="6" t="s">
        <v>5234</v>
      </c>
      <c r="Q213" s="6">
        <v>2</v>
      </c>
      <c r="R213" s="6" t="s">
        <v>79</v>
      </c>
      <c r="S213" s="6">
        <v>2021</v>
      </c>
      <c r="T213" s="6">
        <v>181636</v>
      </c>
      <c r="U213" s="6" t="s">
        <v>80</v>
      </c>
      <c r="V213" s="6">
        <v>6</v>
      </c>
      <c r="W213" s="6" t="s">
        <v>80</v>
      </c>
      <c r="X213" s="6" t="s">
        <v>5235</v>
      </c>
      <c r="Y213" s="6" t="s">
        <v>5236</v>
      </c>
      <c r="Z213" s="6" t="s">
        <v>5237</v>
      </c>
      <c r="AA213" s="6" t="s">
        <v>5238</v>
      </c>
      <c r="AB213" s="6" t="s">
        <v>5239</v>
      </c>
      <c r="AC213" s="6">
        <v>611420</v>
      </c>
      <c r="AD213" s="10" t="str">
        <f>_xlfn.XLOOKUP(AC213,[1]Mapping!B:B,[1]Mapping!C:C,"")</f>
        <v xml:space="preserve">Computer Training </v>
      </c>
      <c r="AG213" s="6" t="s">
        <v>5240</v>
      </c>
      <c r="AH213" s="6" t="s">
        <v>1669</v>
      </c>
      <c r="AI213" s="6" t="s">
        <v>942</v>
      </c>
      <c r="AJ213" s="6" t="s">
        <v>174</v>
      </c>
      <c r="AK213" s="6" t="s">
        <v>175</v>
      </c>
      <c r="AL213" s="6" t="s">
        <v>176</v>
      </c>
      <c r="AM213" s="6" t="s">
        <v>177</v>
      </c>
      <c r="AN213" s="6" t="s">
        <v>91</v>
      </c>
      <c r="AO213" s="6" t="s">
        <v>92</v>
      </c>
      <c r="AQ213" s="6">
        <v>8243</v>
      </c>
      <c r="AR213" s="6" t="s">
        <v>2922</v>
      </c>
      <c r="AT213" s="6">
        <v>8549</v>
      </c>
      <c r="AU213" s="6" t="s">
        <v>2924</v>
      </c>
      <c r="AV213" s="6" t="s">
        <v>2925</v>
      </c>
      <c r="AW213" s="6" t="s">
        <v>2926</v>
      </c>
      <c r="AY213" s="6" t="s">
        <v>5241</v>
      </c>
      <c r="BA213" s="6" t="s">
        <v>5242</v>
      </c>
      <c r="BD213" s="6" t="s">
        <v>5243</v>
      </c>
      <c r="BE213" s="6" t="str">
        <f t="shared" si="6"/>
        <v>greenpacket.com</v>
      </c>
      <c r="BF213" s="6" t="str">
        <f t="shared" si="7"/>
        <v>com</v>
      </c>
      <c r="BG213" s="6" t="s">
        <v>101</v>
      </c>
      <c r="BH213" s="6" t="s">
        <v>5244</v>
      </c>
      <c r="BI213" s="6" t="s">
        <v>5245</v>
      </c>
      <c r="BJ213" s="6" t="s">
        <v>5246</v>
      </c>
      <c r="BK213" s="6" t="s">
        <v>5247</v>
      </c>
      <c r="BN213" s="6" t="s">
        <v>5248</v>
      </c>
      <c r="BP213" s="6" t="s">
        <v>5249</v>
      </c>
      <c r="BQ213" s="6" t="s">
        <v>5250</v>
      </c>
      <c r="BR213" s="6" t="s">
        <v>105</v>
      </c>
    </row>
    <row r="214" spans="1:70" ht="45" customHeight="1" x14ac:dyDescent="0.25">
      <c r="A214" s="6">
        <v>214</v>
      </c>
      <c r="B214" s="7" t="s">
        <v>5251</v>
      </c>
      <c r="C214" s="8" t="s">
        <v>5252</v>
      </c>
      <c r="D214" s="6" t="s">
        <v>5253</v>
      </c>
      <c r="E214" s="6" t="s">
        <v>5254</v>
      </c>
      <c r="F214" s="8" t="s">
        <v>5255</v>
      </c>
      <c r="G214" s="6" t="s">
        <v>73</v>
      </c>
      <c r="H214" s="6" t="s">
        <v>74</v>
      </c>
      <c r="I214" s="6"/>
      <c r="J214" s="6" t="s">
        <v>1494</v>
      </c>
      <c r="K214" s="9">
        <v>2750</v>
      </c>
      <c r="L214" s="8" t="s">
        <v>5256</v>
      </c>
      <c r="M214" s="9">
        <v>31</v>
      </c>
      <c r="N214" s="6">
        <v>55.723459899999987</v>
      </c>
      <c r="O214" s="6">
        <v>12.3748571</v>
      </c>
      <c r="P214" s="6" t="s">
        <v>5257</v>
      </c>
      <c r="Q214" s="6">
        <v>11</v>
      </c>
      <c r="R214" s="6" t="s">
        <v>79</v>
      </c>
      <c r="T214" s="6"/>
      <c r="X214" s="6" t="s">
        <v>5258</v>
      </c>
      <c r="Y214" s="6" t="s">
        <v>5259</v>
      </c>
      <c r="Z214" s="6" t="s">
        <v>5260</v>
      </c>
      <c r="AA214" s="6" t="s">
        <v>5261</v>
      </c>
      <c r="AB214" s="6" t="s">
        <v>5262</v>
      </c>
      <c r="AC214" s="6">
        <v>449210</v>
      </c>
      <c r="AD214" s="10" t="str">
        <f>_xlfn.XLOOKUP(AC214,[1]Mapping!B:B,[1]Mapping!C:C,"")</f>
        <v xml:space="preserve">Electronics and Appliance Retailers </v>
      </c>
      <c r="AE214" s="6">
        <v>811210</v>
      </c>
      <c r="AF214" s="6" t="s">
        <v>5263</v>
      </c>
      <c r="AG214" s="6" t="s">
        <v>964</v>
      </c>
      <c r="AH214" s="6" t="s">
        <v>965</v>
      </c>
      <c r="AI214" s="6" t="s">
        <v>733</v>
      </c>
      <c r="AJ214" s="6" t="s">
        <v>255</v>
      </c>
      <c r="AK214" s="6" t="s">
        <v>256</v>
      </c>
      <c r="AL214" s="6" t="s">
        <v>257</v>
      </c>
      <c r="AM214" s="6" t="s">
        <v>258</v>
      </c>
      <c r="AN214" s="6" t="s">
        <v>259</v>
      </c>
      <c r="AO214" s="6" t="s">
        <v>260</v>
      </c>
      <c r="AQ214" s="6" t="s">
        <v>3339</v>
      </c>
      <c r="AR214" s="6" t="s">
        <v>3340</v>
      </c>
      <c r="AT214" s="6" t="s">
        <v>3341</v>
      </c>
      <c r="AU214" s="6" t="s">
        <v>3342</v>
      </c>
      <c r="AV214" s="6" t="s">
        <v>3343</v>
      </c>
      <c r="AW214" s="6" t="s">
        <v>3344</v>
      </c>
      <c r="AY214" s="6">
        <v>4533155123</v>
      </c>
      <c r="AZ214" s="6" t="s">
        <v>5264</v>
      </c>
      <c r="BA214" s="6" t="s">
        <v>5265</v>
      </c>
      <c r="BB214" s="6" t="s">
        <v>5265</v>
      </c>
      <c r="BC214" s="6" t="s">
        <v>5266</v>
      </c>
      <c r="BD214" s="6" t="s">
        <v>5267</v>
      </c>
      <c r="BE214" s="6" t="str">
        <f t="shared" si="6"/>
        <v>greenmind.dk</v>
      </c>
      <c r="BF214" s="6" t="str">
        <f t="shared" si="7"/>
        <v>dk</v>
      </c>
      <c r="BG214" s="6" t="s">
        <v>123</v>
      </c>
      <c r="BH214" s="6" t="s">
        <v>5268</v>
      </c>
      <c r="BJ214" s="6" t="s">
        <v>5269</v>
      </c>
      <c r="BK214" s="6" t="s">
        <v>5270</v>
      </c>
      <c r="BP214" s="6" t="s">
        <v>5271</v>
      </c>
      <c r="BQ214" s="6" t="s">
        <v>5272</v>
      </c>
      <c r="BR214" s="6" t="s">
        <v>105</v>
      </c>
    </row>
    <row r="215" spans="1:70" ht="45" customHeight="1" x14ac:dyDescent="0.25">
      <c r="A215" s="6">
        <v>215</v>
      </c>
      <c r="B215" s="7" t="s">
        <v>5273</v>
      </c>
      <c r="C215" s="8" t="s">
        <v>5274</v>
      </c>
      <c r="D215" s="6" t="s">
        <v>5275</v>
      </c>
      <c r="E215" s="6" t="s">
        <v>5276</v>
      </c>
      <c r="F215" s="8" t="s">
        <v>5277</v>
      </c>
      <c r="G215" s="6" t="s">
        <v>1659</v>
      </c>
      <c r="H215" s="6" t="s">
        <v>1660</v>
      </c>
      <c r="I215" s="6" t="s">
        <v>1661</v>
      </c>
      <c r="J215" s="6" t="s">
        <v>1662</v>
      </c>
      <c r="K215" s="9">
        <v>1212</v>
      </c>
      <c r="L215" s="8" t="s">
        <v>5278</v>
      </c>
      <c r="M215" s="9">
        <v>1</v>
      </c>
      <c r="N215" s="6">
        <v>23.777409500000001</v>
      </c>
      <c r="O215" s="6">
        <v>90.417438899999993</v>
      </c>
      <c r="P215" s="6" t="s">
        <v>5279</v>
      </c>
      <c r="Q215" s="6">
        <v>1</v>
      </c>
      <c r="R215" s="6" t="s">
        <v>79</v>
      </c>
      <c r="S215" s="6">
        <v>2005</v>
      </c>
      <c r="T215" s="6">
        <v>48755</v>
      </c>
      <c r="U215" s="6" t="s">
        <v>80</v>
      </c>
      <c r="V215" s="6">
        <v>6</v>
      </c>
      <c r="W215" s="6" t="s">
        <v>167</v>
      </c>
      <c r="X215" s="6" t="s">
        <v>5280</v>
      </c>
      <c r="Y215" s="6" t="s">
        <v>5281</v>
      </c>
      <c r="Z215" s="6" t="s">
        <v>5282</v>
      </c>
      <c r="AA215" s="6" t="s">
        <v>5283</v>
      </c>
      <c r="AB215" s="6" t="s">
        <v>5284</v>
      </c>
      <c r="AC215" s="6">
        <v>541820</v>
      </c>
      <c r="AD215" s="10" t="str">
        <f>_xlfn.XLOOKUP(AC215,[1]Mapping!B:B,[1]Mapping!C:C,"")</f>
        <v>Public Relations Agencies</v>
      </c>
      <c r="AG215" s="6" t="s">
        <v>2868</v>
      </c>
      <c r="AH215" s="6" t="s">
        <v>1143</v>
      </c>
      <c r="AI215" s="6" t="s">
        <v>500</v>
      </c>
      <c r="AJ215" s="6" t="s">
        <v>293</v>
      </c>
      <c r="AK215" s="6" t="s">
        <v>294</v>
      </c>
      <c r="AL215" s="6" t="s">
        <v>295</v>
      </c>
      <c r="AM215" s="6" t="s">
        <v>296</v>
      </c>
      <c r="AN215" s="6" t="s">
        <v>297</v>
      </c>
      <c r="AO215" s="6" t="s">
        <v>298</v>
      </c>
      <c r="AQ215" s="6">
        <v>8743</v>
      </c>
      <c r="AR215" s="6" t="s">
        <v>2869</v>
      </c>
      <c r="AT215" s="6">
        <v>7020</v>
      </c>
      <c r="AU215" s="6" t="s">
        <v>378</v>
      </c>
      <c r="AV215" s="6" t="s">
        <v>379</v>
      </c>
      <c r="AW215" s="6" t="s">
        <v>380</v>
      </c>
      <c r="AY215" s="6" t="s">
        <v>5285</v>
      </c>
      <c r="AZ215" s="6">
        <v>8801710000000</v>
      </c>
      <c r="BA215" s="6" t="s">
        <v>5286</v>
      </c>
      <c r="BB215" s="6" t="s">
        <v>5287</v>
      </c>
      <c r="BC215" s="6" t="s">
        <v>5286</v>
      </c>
      <c r="BD215" s="6" t="s">
        <v>5288</v>
      </c>
      <c r="BE215" s="6" t="str">
        <f t="shared" si="6"/>
        <v>grey.com</v>
      </c>
      <c r="BF215" s="6" t="str">
        <f t="shared" si="7"/>
        <v>com</v>
      </c>
      <c r="BG215" s="6" t="s">
        <v>101</v>
      </c>
      <c r="BH215" s="6" t="s">
        <v>5289</v>
      </c>
      <c r="BI215" s="6" t="s">
        <v>5290</v>
      </c>
      <c r="BK215" s="6" t="s">
        <v>5291</v>
      </c>
      <c r="BP215" s="6" t="s">
        <v>5292</v>
      </c>
      <c r="BQ215" s="6" t="s">
        <v>5293</v>
      </c>
      <c r="BR215" s="6" t="s">
        <v>105</v>
      </c>
    </row>
    <row r="216" spans="1:70" ht="45" customHeight="1" x14ac:dyDescent="0.25">
      <c r="A216" s="6">
        <v>216</v>
      </c>
      <c r="B216" s="7" t="s">
        <v>5294</v>
      </c>
      <c r="C216" s="8" t="s">
        <v>5295</v>
      </c>
      <c r="D216" s="6" t="s">
        <v>5296</v>
      </c>
      <c r="E216" s="6" t="s">
        <v>5297</v>
      </c>
      <c r="F216" s="8" t="s">
        <v>5298</v>
      </c>
      <c r="G216" s="6" t="s">
        <v>840</v>
      </c>
      <c r="H216" s="6" t="s">
        <v>841</v>
      </c>
      <c r="I216" s="6" t="s">
        <v>842</v>
      </c>
      <c r="J216" s="6" t="s">
        <v>843</v>
      </c>
      <c r="K216" s="9" t="s">
        <v>5299</v>
      </c>
      <c r="L216" s="8" t="s">
        <v>5300</v>
      </c>
      <c r="M216" s="9">
        <v>1</v>
      </c>
      <c r="N216" s="6">
        <v>51.509452799999998</v>
      </c>
      <c r="O216" s="6">
        <v>-8.9983399999999991E-2</v>
      </c>
      <c r="P216" s="6" t="s">
        <v>5301</v>
      </c>
      <c r="Q216" s="6">
        <v>1</v>
      </c>
      <c r="R216" s="6" t="s">
        <v>79</v>
      </c>
      <c r="S216" s="6">
        <v>1987</v>
      </c>
      <c r="T216" s="6">
        <v>4346020</v>
      </c>
      <c r="U216" s="6" t="s">
        <v>80</v>
      </c>
      <c r="V216" s="6">
        <v>35</v>
      </c>
      <c r="W216" s="6" t="s">
        <v>80</v>
      </c>
      <c r="X216" s="6" t="s">
        <v>5302</v>
      </c>
      <c r="Y216" s="6" t="s">
        <v>5303</v>
      </c>
      <c r="Z216" s="6" t="s">
        <v>5304</v>
      </c>
      <c r="AA216" s="6" t="s">
        <v>5305</v>
      </c>
      <c r="AB216" s="6" t="s">
        <v>5306</v>
      </c>
      <c r="AC216" s="6">
        <v>813910</v>
      </c>
      <c r="AD216" s="10" t="str">
        <f>_xlfn.XLOOKUP(AC216,[1]Mapping!B:B,[1]Mapping!C:C,"")</f>
        <v xml:space="preserve">Business Associations </v>
      </c>
      <c r="AG216" s="6" t="s">
        <v>5307</v>
      </c>
      <c r="AH216" s="6" t="s">
        <v>5308</v>
      </c>
      <c r="AI216" s="6" t="s">
        <v>5309</v>
      </c>
      <c r="AJ216" s="6" t="s">
        <v>500</v>
      </c>
      <c r="AK216" s="6" t="s">
        <v>501</v>
      </c>
      <c r="AL216" s="6" t="s">
        <v>502</v>
      </c>
      <c r="AM216" s="6" t="s">
        <v>503</v>
      </c>
      <c r="AN216" s="6" t="s">
        <v>297</v>
      </c>
      <c r="AO216" s="6" t="s">
        <v>298</v>
      </c>
      <c r="AQ216" s="6">
        <v>8611</v>
      </c>
      <c r="AR216" s="6" t="s">
        <v>352</v>
      </c>
      <c r="AS216" s="6" t="s">
        <v>5310</v>
      </c>
      <c r="AT216" s="6">
        <v>9411</v>
      </c>
      <c r="AU216" s="6" t="s">
        <v>354</v>
      </c>
      <c r="AV216" s="6">
        <v>94.11</v>
      </c>
      <c r="AW216" s="6" t="s">
        <v>354</v>
      </c>
      <c r="AX216" s="6" t="s">
        <v>5311</v>
      </c>
      <c r="AY216" s="6">
        <v>442074000000</v>
      </c>
      <c r="AZ216" s="6">
        <v>442074000000</v>
      </c>
      <c r="BA216" s="6" t="s">
        <v>5312</v>
      </c>
      <c r="BB216" s="6" t="s">
        <v>5312</v>
      </c>
      <c r="BD216" s="6" t="s">
        <v>5313</v>
      </c>
      <c r="BE216" s="6" t="str">
        <f t="shared" si="6"/>
        <v>gsma.com</v>
      </c>
      <c r="BF216" s="6" t="str">
        <f t="shared" si="7"/>
        <v>com</v>
      </c>
      <c r="BG216" s="6" t="s">
        <v>101</v>
      </c>
      <c r="BI216" s="6" t="s">
        <v>5314</v>
      </c>
      <c r="BJ216" s="6" t="s">
        <v>5315</v>
      </c>
      <c r="BK216" s="6" t="s">
        <v>5316</v>
      </c>
      <c r="BN216" s="6" t="s">
        <v>5317</v>
      </c>
      <c r="BP216" s="6" t="s">
        <v>5318</v>
      </c>
      <c r="BQ216" s="6" t="s">
        <v>5319</v>
      </c>
      <c r="BR216" s="6" t="s">
        <v>105</v>
      </c>
    </row>
    <row r="217" spans="1:70" ht="45" customHeight="1" x14ac:dyDescent="0.25">
      <c r="A217" s="6">
        <v>217</v>
      </c>
      <c r="B217" s="7" t="s">
        <v>5320</v>
      </c>
      <c r="C217" s="8" t="s">
        <v>5321</v>
      </c>
      <c r="D217" s="6" t="s">
        <v>5322</v>
      </c>
      <c r="E217" s="6" t="s">
        <v>5323</v>
      </c>
      <c r="F217" s="8" t="s">
        <v>5324</v>
      </c>
      <c r="G217" s="6" t="s">
        <v>452</v>
      </c>
      <c r="H217" s="6" t="s">
        <v>453</v>
      </c>
      <c r="I217" s="6" t="s">
        <v>5325</v>
      </c>
      <c r="J217" s="6" t="s">
        <v>5326</v>
      </c>
      <c r="K217" s="9">
        <v>150070</v>
      </c>
      <c r="L217" s="8" t="s">
        <v>5327</v>
      </c>
      <c r="M217" s="9">
        <v>8</v>
      </c>
      <c r="N217" s="6">
        <v>45.691465000000001</v>
      </c>
      <c r="O217" s="6">
        <v>126.505726</v>
      </c>
      <c r="P217" s="6" t="s">
        <v>5328</v>
      </c>
      <c r="Q217" s="6">
        <v>5</v>
      </c>
      <c r="R217" s="6" t="s">
        <v>79</v>
      </c>
      <c r="S217" s="6">
        <v>1998</v>
      </c>
      <c r="T217" s="6">
        <v>9130445</v>
      </c>
      <c r="U217" s="6" t="s">
        <v>80</v>
      </c>
      <c r="V217" s="6">
        <v>150</v>
      </c>
      <c r="W217" s="6" t="s">
        <v>80</v>
      </c>
      <c r="X217" s="6" t="s">
        <v>5329</v>
      </c>
      <c r="Y217" s="6" t="s">
        <v>5330</v>
      </c>
      <c r="Z217" s="6" t="s">
        <v>5331</v>
      </c>
      <c r="AA217" s="6" t="s">
        <v>5332</v>
      </c>
      <c r="AB217" s="6" t="s">
        <v>5333</v>
      </c>
      <c r="AC217" s="6">
        <v>335910</v>
      </c>
      <c r="AD217" s="10" t="str">
        <f>_xlfn.XLOOKUP(AC217,[1]Mapping!B:B,[1]Mapping!C:C,"")</f>
        <v xml:space="preserve">Battery Manufacturing </v>
      </c>
      <c r="AG217" s="6" t="s">
        <v>1239</v>
      </c>
      <c r="AH217" s="6" t="s">
        <v>1240</v>
      </c>
      <c r="AI217" s="6" t="s">
        <v>1240</v>
      </c>
      <c r="AJ217" s="6" t="s">
        <v>1241</v>
      </c>
      <c r="AK217" s="6" t="s">
        <v>1242</v>
      </c>
      <c r="AL217" s="6" t="s">
        <v>219</v>
      </c>
      <c r="AM217" s="6" t="s">
        <v>220</v>
      </c>
      <c r="AN217" s="6" t="s">
        <v>221</v>
      </c>
      <c r="AO217" s="6" t="s">
        <v>222</v>
      </c>
      <c r="AQ217" s="6" t="s">
        <v>1243</v>
      </c>
      <c r="AR217" s="6" t="s">
        <v>1244</v>
      </c>
      <c r="AT217" s="6">
        <v>2720</v>
      </c>
      <c r="AU217" s="6" t="s">
        <v>1246</v>
      </c>
      <c r="AV217" s="6">
        <v>27.2</v>
      </c>
      <c r="AW217" s="6" t="s">
        <v>1246</v>
      </c>
      <c r="AY217" s="6">
        <v>8613800000000</v>
      </c>
      <c r="AZ217" s="6" t="s">
        <v>5334</v>
      </c>
      <c r="BA217" s="6" t="s">
        <v>5335</v>
      </c>
      <c r="BD217" s="6" t="s">
        <v>5336</v>
      </c>
      <c r="BE217" s="6" t="str">
        <f t="shared" si="6"/>
        <v>cncoslight.com</v>
      </c>
      <c r="BF217" s="6" t="str">
        <f t="shared" si="7"/>
        <v>com</v>
      </c>
      <c r="BG217" s="6" t="s">
        <v>101</v>
      </c>
      <c r="BP217" s="6" t="s">
        <v>5337</v>
      </c>
      <c r="BQ217" s="6" t="s">
        <v>5338</v>
      </c>
      <c r="BR217" s="6" t="s">
        <v>105</v>
      </c>
    </row>
    <row r="218" spans="1:70" ht="45" customHeight="1" x14ac:dyDescent="0.25">
      <c r="A218" s="6">
        <v>218</v>
      </c>
      <c r="B218" s="7" t="s">
        <v>5339</v>
      </c>
      <c r="C218" s="8" t="s">
        <v>5340</v>
      </c>
      <c r="D218" s="6" t="s">
        <v>5341</v>
      </c>
      <c r="E218" s="8" t="s">
        <v>5342</v>
      </c>
      <c r="F218" s="8" t="s">
        <v>5342</v>
      </c>
      <c r="G218" s="6" t="s">
        <v>73</v>
      </c>
      <c r="H218" s="6" t="s">
        <v>74</v>
      </c>
      <c r="I218" s="6"/>
      <c r="J218" s="6" t="s">
        <v>5343</v>
      </c>
      <c r="K218" s="9">
        <v>7130</v>
      </c>
      <c r="L218" s="8" t="s">
        <v>5344</v>
      </c>
      <c r="M218" s="9">
        <v>1</v>
      </c>
      <c r="N218" s="6">
        <v>55.710664599999987</v>
      </c>
      <c r="O218" s="6">
        <v>9.9805853999999989</v>
      </c>
      <c r="P218" s="6" t="s">
        <v>2395</v>
      </c>
      <c r="Q218" s="6">
        <v>1</v>
      </c>
      <c r="R218" s="6" t="s">
        <v>79</v>
      </c>
      <c r="T218" s="6">
        <v>1038391</v>
      </c>
      <c r="U218" s="6" t="s">
        <v>80</v>
      </c>
      <c r="V218" s="6">
        <v>3</v>
      </c>
      <c r="W218" s="6" t="s">
        <v>80</v>
      </c>
      <c r="X218" s="6" t="s">
        <v>5345</v>
      </c>
      <c r="Y218" s="6" t="s">
        <v>5346</v>
      </c>
      <c r="Z218" s="6" t="s">
        <v>5347</v>
      </c>
      <c r="AC218" s="6">
        <v>482111</v>
      </c>
      <c r="AD218" s="10" t="str">
        <f>_xlfn.XLOOKUP(AC218,[1]Mapping!B:B,[1]Mapping!C:C,"")</f>
        <v xml:space="preserve">Line-Haul Railroads </v>
      </c>
      <c r="AG218" s="6" t="s">
        <v>5348</v>
      </c>
      <c r="AH218" s="6" t="s">
        <v>4566</v>
      </c>
      <c r="AI218" s="6" t="s">
        <v>4567</v>
      </c>
      <c r="AQ218" s="6">
        <v>4011</v>
      </c>
      <c r="AR218" s="6" t="s">
        <v>5349</v>
      </c>
      <c r="AT218" s="6" t="s">
        <v>5350</v>
      </c>
      <c r="AU218" s="6" t="s">
        <v>5351</v>
      </c>
      <c r="AV218" s="6" t="s">
        <v>5352</v>
      </c>
      <c r="AW218" s="6" t="s">
        <v>5353</v>
      </c>
      <c r="AY218" s="6" t="s">
        <v>5354</v>
      </c>
      <c r="AZ218" s="6" t="s">
        <v>5355</v>
      </c>
      <c r="BA218" s="6" t="s">
        <v>5356</v>
      </c>
      <c r="BB218" s="6" t="s">
        <v>5357</v>
      </c>
      <c r="BC218" s="6" t="s">
        <v>5358</v>
      </c>
      <c r="BD218" s="6" t="s">
        <v>5359</v>
      </c>
      <c r="BE218" s="6" t="str">
        <f t="shared" si="6"/>
        <v>ec-sikring.dk</v>
      </c>
      <c r="BF218" s="6" t="str">
        <f t="shared" si="7"/>
        <v>dk</v>
      </c>
      <c r="BG218" s="6" t="s">
        <v>123</v>
      </c>
      <c r="BH218" s="6" t="s">
        <v>5360</v>
      </c>
      <c r="BK218" s="6" t="s">
        <v>5361</v>
      </c>
      <c r="BN218" s="6" t="s">
        <v>5362</v>
      </c>
      <c r="BP218" s="6" t="s">
        <v>5363</v>
      </c>
      <c r="BQ218" s="6" t="s">
        <v>5364</v>
      </c>
      <c r="BR218" s="6" t="s">
        <v>105</v>
      </c>
    </row>
    <row r="219" spans="1:70" ht="45" customHeight="1" x14ac:dyDescent="0.25">
      <c r="A219" s="6">
        <v>219</v>
      </c>
      <c r="B219" s="7" t="s">
        <v>5365</v>
      </c>
      <c r="C219" s="8" t="s">
        <v>5366</v>
      </c>
      <c r="D219" s="6" t="s">
        <v>5367</v>
      </c>
      <c r="E219" s="6" t="s">
        <v>569</v>
      </c>
      <c r="F219" s="8" t="s">
        <v>5368</v>
      </c>
      <c r="G219" s="6" t="s">
        <v>160</v>
      </c>
      <c r="H219" s="6" t="s">
        <v>161</v>
      </c>
      <c r="I219" s="6" t="s">
        <v>281</v>
      </c>
      <c r="J219" s="6" t="s">
        <v>282</v>
      </c>
      <c r="K219" s="9" t="s">
        <v>5369</v>
      </c>
      <c r="L219" s="8" t="s">
        <v>5370</v>
      </c>
      <c r="M219" s="9" t="s">
        <v>5371</v>
      </c>
      <c r="N219" s="6">
        <v>59.313137699999999</v>
      </c>
      <c r="O219" s="6">
        <v>18.0675828</v>
      </c>
      <c r="P219" s="6" t="s">
        <v>4281</v>
      </c>
      <c r="Q219" s="6">
        <v>1</v>
      </c>
      <c r="R219" s="6" t="s">
        <v>79</v>
      </c>
      <c r="S219" s="6">
        <v>2012</v>
      </c>
      <c r="V219" s="6">
        <v>20</v>
      </c>
      <c r="X219" s="6" t="s">
        <v>5372</v>
      </c>
      <c r="Y219" s="6" t="s">
        <v>5373</v>
      </c>
      <c r="Z219" s="6" t="s">
        <v>5374</v>
      </c>
      <c r="AC219" s="10">
        <v>524113</v>
      </c>
      <c r="AD219" s="10" t="str">
        <f>_xlfn.XLOOKUP(AC219,[1]Mapping!B:B,[1]Mapping!C:C,"")</f>
        <v xml:space="preserve">Direct Life Insurance Carriers </v>
      </c>
      <c r="AE219" s="6">
        <v>524210</v>
      </c>
      <c r="AF219" s="6" t="s">
        <v>4689</v>
      </c>
      <c r="AG219" s="6" t="s">
        <v>761</v>
      </c>
      <c r="AH219" s="6" t="s">
        <v>5375</v>
      </c>
      <c r="AI219" s="6" t="s">
        <v>1050</v>
      </c>
      <c r="AJ219" s="6" t="s">
        <v>5376</v>
      </c>
      <c r="AK219" s="6">
        <v>6411</v>
      </c>
      <c r="AL219" s="6" t="s">
        <v>761</v>
      </c>
      <c r="AM219" s="6">
        <v>6400</v>
      </c>
      <c r="AN219" s="6" t="s">
        <v>5377</v>
      </c>
      <c r="AO219" s="6">
        <v>6000</v>
      </c>
      <c r="AQ219" s="6">
        <v>6411</v>
      </c>
      <c r="AR219" s="6" t="s">
        <v>5378</v>
      </c>
      <c r="AS219" s="6" t="s">
        <v>761</v>
      </c>
      <c r="AT219" s="6">
        <v>6511</v>
      </c>
      <c r="AU219" s="6" t="s">
        <v>761</v>
      </c>
      <c r="AV219" s="6">
        <v>65.12</v>
      </c>
      <c r="AW219" s="6" t="s">
        <v>796</v>
      </c>
      <c r="AX219" s="6" t="s">
        <v>5379</v>
      </c>
      <c r="AY219" s="6" t="s">
        <v>5380</v>
      </c>
      <c r="BB219" s="6" t="s">
        <v>5381</v>
      </c>
      <c r="BD219" s="6" t="s">
        <v>5382</v>
      </c>
      <c r="BE219" s="6" t="str">
        <f t="shared" si="6"/>
        <v>helpforsakring.se</v>
      </c>
      <c r="BF219" s="6" t="str">
        <f t="shared" si="7"/>
        <v>se</v>
      </c>
      <c r="BG219" s="6" t="s">
        <v>308</v>
      </c>
      <c r="BJ219" s="6" t="s">
        <v>5383</v>
      </c>
      <c r="BK219" s="6" t="s">
        <v>5384</v>
      </c>
      <c r="BQ219" s="6" t="s">
        <v>5385</v>
      </c>
      <c r="BR219" s="6" t="s">
        <v>105</v>
      </c>
    </row>
    <row r="220" spans="1:70" ht="45" customHeight="1" x14ac:dyDescent="0.25">
      <c r="A220" s="6">
        <v>220</v>
      </c>
      <c r="B220" s="7" t="s">
        <v>5386</v>
      </c>
      <c r="C220" s="8" t="s">
        <v>5387</v>
      </c>
      <c r="D220" s="6" t="s">
        <v>5388</v>
      </c>
      <c r="E220" s="8" t="s">
        <v>5386</v>
      </c>
      <c r="F220" s="8" t="s">
        <v>5389</v>
      </c>
      <c r="G220" s="6" t="s">
        <v>130</v>
      </c>
      <c r="H220" s="6" t="s">
        <v>131</v>
      </c>
      <c r="I220" s="8" t="s">
        <v>132</v>
      </c>
      <c r="J220" s="6" t="s">
        <v>132</v>
      </c>
      <c r="K220" s="9">
        <v>368</v>
      </c>
      <c r="L220" s="8" t="s">
        <v>5390</v>
      </c>
      <c r="M220" s="9">
        <v>3</v>
      </c>
      <c r="N220" s="6">
        <v>59.928714600000013</v>
      </c>
      <c r="O220" s="6">
        <v>10.7099271</v>
      </c>
      <c r="P220" s="6" t="s">
        <v>5391</v>
      </c>
      <c r="Q220" s="6">
        <v>1</v>
      </c>
      <c r="R220" s="6" t="s">
        <v>79</v>
      </c>
      <c r="S220" s="6">
        <v>2005</v>
      </c>
      <c r="T220" s="6">
        <v>24600000</v>
      </c>
      <c r="U220" s="6" t="s">
        <v>167</v>
      </c>
      <c r="V220" s="6">
        <v>250</v>
      </c>
      <c r="W220" s="6" t="s">
        <v>167</v>
      </c>
      <c r="X220" s="6" t="s">
        <v>5392</v>
      </c>
      <c r="Y220" s="6" t="s">
        <v>5393</v>
      </c>
      <c r="Z220" s="6" t="s">
        <v>5394</v>
      </c>
      <c r="AA220" s="6" t="s">
        <v>5395</v>
      </c>
      <c r="AB220" s="6" t="s">
        <v>5396</v>
      </c>
      <c r="AC220" s="6">
        <v>524126</v>
      </c>
      <c r="AD220" s="10" t="str">
        <f>_xlfn.XLOOKUP(AC220,[1]Mapping!B:B,[1]Mapping!C:C,"")</f>
        <v xml:space="preserve">Direct Property and Casualty Insurance Carriers </v>
      </c>
      <c r="AG220" s="6" t="s">
        <v>760</v>
      </c>
      <c r="AH220" s="6" t="s">
        <v>761</v>
      </c>
      <c r="AI220" s="6" t="s">
        <v>119</v>
      </c>
      <c r="AJ220" s="6" t="s">
        <v>293</v>
      </c>
      <c r="AK220" s="6" t="s">
        <v>294</v>
      </c>
      <c r="AL220" s="6" t="s">
        <v>295</v>
      </c>
      <c r="AM220" s="6" t="s">
        <v>296</v>
      </c>
      <c r="AN220" s="6" t="s">
        <v>297</v>
      </c>
      <c r="AO220" s="6" t="s">
        <v>298</v>
      </c>
      <c r="AQ220" s="6" t="s">
        <v>4918</v>
      </c>
      <c r="AR220" s="6" t="s">
        <v>4919</v>
      </c>
      <c r="AT220" s="6">
        <v>6512</v>
      </c>
      <c r="AU220" s="6" t="s">
        <v>796</v>
      </c>
      <c r="AV220" s="6">
        <v>65.12</v>
      </c>
      <c r="AW220" s="6" t="s">
        <v>796</v>
      </c>
      <c r="AY220" s="6" t="s">
        <v>5397</v>
      </c>
      <c r="AZ220" s="6" t="s">
        <v>5398</v>
      </c>
      <c r="BA220" s="6" t="s">
        <v>5399</v>
      </c>
      <c r="BB220" s="6" t="s">
        <v>5399</v>
      </c>
      <c r="BC220" s="6" t="s">
        <v>5400</v>
      </c>
      <c r="BD220" s="6" t="s">
        <v>5401</v>
      </c>
      <c r="BE220" s="6" t="str">
        <f t="shared" si="6"/>
        <v>help.no</v>
      </c>
      <c r="BF220" s="6" t="str">
        <f t="shared" si="7"/>
        <v>no</v>
      </c>
      <c r="BG220" s="6" t="s">
        <v>150</v>
      </c>
      <c r="BJ220" s="6" t="s">
        <v>5402</v>
      </c>
      <c r="BK220" s="6" t="s">
        <v>5403</v>
      </c>
      <c r="BP220" s="6" t="s">
        <v>5404</v>
      </c>
      <c r="BQ220" s="6" t="s">
        <v>5405</v>
      </c>
      <c r="BR220" s="6" t="s">
        <v>105</v>
      </c>
    </row>
    <row r="221" spans="1:70" ht="45" customHeight="1" x14ac:dyDescent="0.25">
      <c r="A221" s="6">
        <v>221</v>
      </c>
      <c r="B221" s="7" t="s">
        <v>5406</v>
      </c>
      <c r="C221" s="8" t="s">
        <v>5407</v>
      </c>
      <c r="D221" s="6" t="s">
        <v>5388</v>
      </c>
      <c r="E221" s="8" t="s">
        <v>5388</v>
      </c>
      <c r="F221" s="8" t="s">
        <v>5408</v>
      </c>
      <c r="G221" s="6" t="s">
        <v>130</v>
      </c>
      <c r="H221" s="6" t="s">
        <v>131</v>
      </c>
      <c r="I221" s="8" t="s">
        <v>132</v>
      </c>
      <c r="J221" s="6" t="s">
        <v>132</v>
      </c>
      <c r="K221" s="9">
        <v>368</v>
      </c>
      <c r="L221" s="8" t="s">
        <v>5390</v>
      </c>
      <c r="M221" s="9">
        <v>3</v>
      </c>
      <c r="N221" s="6">
        <v>59.928714600000013</v>
      </c>
      <c r="O221" s="6">
        <v>10.7099271</v>
      </c>
      <c r="P221" s="6" t="s">
        <v>5409</v>
      </c>
      <c r="Q221" s="6">
        <v>1</v>
      </c>
      <c r="R221" s="6" t="s">
        <v>79</v>
      </c>
      <c r="S221" s="6">
        <v>2015</v>
      </c>
      <c r="T221" s="6">
        <v>895237</v>
      </c>
      <c r="U221" s="6" t="s">
        <v>80</v>
      </c>
      <c r="V221" s="6">
        <v>6</v>
      </c>
      <c r="W221" s="6" t="s">
        <v>167</v>
      </c>
      <c r="X221" s="6" t="s">
        <v>5410</v>
      </c>
      <c r="Y221" s="6" t="s">
        <v>5411</v>
      </c>
      <c r="Z221" s="6" t="s">
        <v>5412</v>
      </c>
      <c r="AA221" s="6" t="s">
        <v>5413</v>
      </c>
      <c r="AB221" s="6" t="s">
        <v>5414</v>
      </c>
      <c r="AC221" s="6">
        <v>524210</v>
      </c>
      <c r="AD221" s="10" t="str">
        <f>_xlfn.XLOOKUP(AC221,[1]Mapping!B:B,[1]Mapping!C:C,"")</f>
        <v xml:space="preserve">Insurance Agencies and Brokerages </v>
      </c>
      <c r="AG221" s="6" t="s">
        <v>760</v>
      </c>
      <c r="AH221" s="6" t="s">
        <v>761</v>
      </c>
      <c r="AI221" s="6" t="s">
        <v>119</v>
      </c>
      <c r="AJ221" s="6" t="s">
        <v>293</v>
      </c>
      <c r="AK221" s="6" t="s">
        <v>294</v>
      </c>
      <c r="AL221" s="6" t="s">
        <v>295</v>
      </c>
      <c r="AM221" s="6" t="s">
        <v>296</v>
      </c>
      <c r="AN221" s="6" t="s">
        <v>297</v>
      </c>
      <c r="AO221" s="6" t="s">
        <v>298</v>
      </c>
      <c r="AQ221" s="6">
        <v>6411</v>
      </c>
      <c r="AR221" s="6" t="s">
        <v>5415</v>
      </c>
      <c r="AT221" s="6">
        <v>6622</v>
      </c>
      <c r="AU221" s="6" t="s">
        <v>5416</v>
      </c>
      <c r="AV221" s="6">
        <v>66.22</v>
      </c>
      <c r="AW221" s="6" t="s">
        <v>5416</v>
      </c>
      <c r="AY221" s="6" t="s">
        <v>5397</v>
      </c>
      <c r="AZ221" s="6" t="s">
        <v>5417</v>
      </c>
      <c r="BA221" s="6" t="s">
        <v>5400</v>
      </c>
      <c r="BB221" s="6" t="s">
        <v>5418</v>
      </c>
      <c r="BC221" s="6" t="s">
        <v>5419</v>
      </c>
      <c r="BD221" s="6" t="s">
        <v>5401</v>
      </c>
      <c r="BE221" s="6" t="str">
        <f t="shared" si="6"/>
        <v>help.no</v>
      </c>
      <c r="BF221" s="6" t="str">
        <f t="shared" si="7"/>
        <v>no</v>
      </c>
      <c r="BG221" s="6" t="s">
        <v>123</v>
      </c>
      <c r="BJ221" s="6" t="s">
        <v>5402</v>
      </c>
      <c r="BK221" s="6" t="s">
        <v>5420</v>
      </c>
      <c r="BP221" s="6" t="s">
        <v>5421</v>
      </c>
      <c r="BQ221" s="6" t="s">
        <v>5422</v>
      </c>
      <c r="BR221" s="6" t="s">
        <v>105</v>
      </c>
    </row>
    <row r="222" spans="1:70" ht="45" customHeight="1" x14ac:dyDescent="0.25">
      <c r="A222" s="6">
        <v>222</v>
      </c>
      <c r="B222" s="7" t="s">
        <v>5423</v>
      </c>
      <c r="C222" s="8" t="s">
        <v>5424</v>
      </c>
      <c r="D222" s="6" t="s">
        <v>5425</v>
      </c>
      <c r="E222" s="6" t="s">
        <v>5426</v>
      </c>
      <c r="F222" s="8" t="s">
        <v>5427</v>
      </c>
      <c r="G222" s="6" t="s">
        <v>73</v>
      </c>
      <c r="H222" s="6" t="s">
        <v>74</v>
      </c>
      <c r="I222" s="6"/>
      <c r="J222" s="6" t="s">
        <v>5428</v>
      </c>
      <c r="K222" s="9">
        <v>8600</v>
      </c>
      <c r="L222" s="8" t="s">
        <v>5429</v>
      </c>
      <c r="M222" s="9">
        <v>17</v>
      </c>
      <c r="N222" s="6">
        <v>56.187182</v>
      </c>
      <c r="O222" s="6">
        <v>9.5650195</v>
      </c>
      <c r="P222" s="6" t="s">
        <v>5430</v>
      </c>
      <c r="Q222" s="6">
        <v>1</v>
      </c>
      <c r="R222" s="6" t="s">
        <v>79</v>
      </c>
      <c r="T222" s="6">
        <v>6757578</v>
      </c>
      <c r="U222" s="6" t="s">
        <v>80</v>
      </c>
      <c r="V222" s="6">
        <v>50</v>
      </c>
      <c r="W222" s="6" t="s">
        <v>167</v>
      </c>
      <c r="X222" s="6" t="s">
        <v>5431</v>
      </c>
      <c r="Y222" s="6" t="s">
        <v>5432</v>
      </c>
      <c r="Z222" s="6" t="s">
        <v>5433</v>
      </c>
      <c r="AA222" s="6" t="s">
        <v>5434</v>
      </c>
      <c r="AC222" s="6">
        <v>238320</v>
      </c>
      <c r="AD222" s="10" t="str">
        <f>_xlfn.XLOOKUP(AC222,[1]Mapping!B:B,[1]Mapping!C:C,"")</f>
        <v>Painting and Wall Covering Contractors</v>
      </c>
      <c r="AG222" s="6" t="s">
        <v>5435</v>
      </c>
      <c r="AH222" s="6" t="s">
        <v>291</v>
      </c>
      <c r="AI222" s="6" t="s">
        <v>292</v>
      </c>
      <c r="AJ222" s="6" t="s">
        <v>3065</v>
      </c>
      <c r="AK222" s="6" t="s">
        <v>3066</v>
      </c>
      <c r="AL222" s="6" t="s">
        <v>2321</v>
      </c>
      <c r="AM222" s="6" t="s">
        <v>2323</v>
      </c>
      <c r="AN222" s="6" t="s">
        <v>655</v>
      </c>
      <c r="AO222" s="6" t="s">
        <v>657</v>
      </c>
      <c r="AQ222" s="6" t="s">
        <v>5436</v>
      </c>
      <c r="AR222" s="6" t="s">
        <v>5437</v>
      </c>
      <c r="AT222" s="6">
        <v>4330</v>
      </c>
      <c r="AU222" s="6" t="s">
        <v>5438</v>
      </c>
      <c r="AV222" s="6" t="s">
        <v>5439</v>
      </c>
      <c r="AW222" s="6" t="s">
        <v>5440</v>
      </c>
      <c r="AY222" s="6" t="s">
        <v>5441</v>
      </c>
      <c r="AZ222" s="6" t="s">
        <v>5442</v>
      </c>
      <c r="BA222" s="6" t="s">
        <v>5443</v>
      </c>
      <c r="BB222" s="6" t="s">
        <v>5444</v>
      </c>
      <c r="BC222" s="6" t="s">
        <v>5445</v>
      </c>
      <c r="BD222" s="6" t="s">
        <v>5446</v>
      </c>
      <c r="BE222" s="6" t="str">
        <f t="shared" si="6"/>
        <v>herm.dk</v>
      </c>
      <c r="BF222" s="6" t="str">
        <f t="shared" si="7"/>
        <v>dk</v>
      </c>
      <c r="BG222" s="6" t="s">
        <v>123</v>
      </c>
      <c r="BP222" s="6" t="s">
        <v>5447</v>
      </c>
      <c r="BQ222" s="6" t="s">
        <v>5448</v>
      </c>
      <c r="BR222" s="6" t="s">
        <v>105</v>
      </c>
    </row>
    <row r="223" spans="1:70" ht="45" customHeight="1" x14ac:dyDescent="0.25">
      <c r="A223" s="6">
        <v>223</v>
      </c>
      <c r="B223" s="7" t="s">
        <v>5449</v>
      </c>
      <c r="C223" s="8" t="s">
        <v>5450</v>
      </c>
      <c r="D223" s="6" t="s">
        <v>5451</v>
      </c>
      <c r="E223" s="8" t="s">
        <v>5449</v>
      </c>
      <c r="F223" s="8" t="s">
        <v>5452</v>
      </c>
      <c r="G223" s="6" t="s">
        <v>130</v>
      </c>
      <c r="H223" s="6" t="s">
        <v>131</v>
      </c>
      <c r="I223" s="8" t="s">
        <v>132</v>
      </c>
      <c r="J223" s="6" t="s">
        <v>132</v>
      </c>
      <c r="K223" s="9">
        <v>461</v>
      </c>
      <c r="L223" s="8" t="s">
        <v>5453</v>
      </c>
      <c r="M223" s="9" t="s">
        <v>5454</v>
      </c>
      <c r="N223" s="6">
        <v>59.931715699999998</v>
      </c>
      <c r="O223" s="6">
        <v>10.757275399999999</v>
      </c>
      <c r="P223" s="6" t="s">
        <v>5455</v>
      </c>
      <c r="Q223" s="6">
        <v>1</v>
      </c>
      <c r="R223" s="6" t="s">
        <v>79</v>
      </c>
      <c r="S223" s="6">
        <v>2018</v>
      </c>
      <c r="T223" s="6">
        <v>810583</v>
      </c>
      <c r="U223" s="6" t="s">
        <v>80</v>
      </c>
      <c r="V223" s="6">
        <v>3</v>
      </c>
      <c r="W223" s="6" t="s">
        <v>167</v>
      </c>
      <c r="X223" s="6" t="s">
        <v>5456</v>
      </c>
      <c r="Y223" s="6" t="s">
        <v>5457</v>
      </c>
      <c r="Z223" s="6" t="s">
        <v>5458</v>
      </c>
      <c r="AA223" s="6" t="s">
        <v>5459</v>
      </c>
      <c r="AB223" s="6" t="s">
        <v>5460</v>
      </c>
      <c r="AC223" s="6">
        <v>541613</v>
      </c>
      <c r="AD223" s="10" t="str">
        <f>_xlfn.XLOOKUP(AC223,[1]Mapping!B:B,[1]Mapping!C:C,"")</f>
        <v xml:space="preserve">Marketing Consulting Services </v>
      </c>
      <c r="AG223" s="6" t="s">
        <v>5461</v>
      </c>
      <c r="AH223" s="6" t="s">
        <v>5462</v>
      </c>
      <c r="AI223" s="6" t="s">
        <v>652</v>
      </c>
      <c r="AJ223" s="6" t="s">
        <v>255</v>
      </c>
      <c r="AK223" s="6" t="s">
        <v>256</v>
      </c>
      <c r="AL223" s="6" t="s">
        <v>257</v>
      </c>
      <c r="AM223" s="6" t="s">
        <v>258</v>
      </c>
      <c r="AN223" s="6" t="s">
        <v>259</v>
      </c>
      <c r="AO223" s="6" t="s">
        <v>260</v>
      </c>
      <c r="AQ223" s="6">
        <v>7311</v>
      </c>
      <c r="AR223" s="6" t="s">
        <v>1121</v>
      </c>
      <c r="AS223" s="6" t="s">
        <v>5463</v>
      </c>
      <c r="AT223" s="6">
        <v>7310</v>
      </c>
      <c r="AU223" s="6" t="s">
        <v>1123</v>
      </c>
      <c r="AV223" s="6">
        <v>73.11</v>
      </c>
      <c r="AW223" s="6" t="s">
        <v>1124</v>
      </c>
      <c r="AX223" s="6" t="s">
        <v>5464</v>
      </c>
      <c r="AY223" s="6" t="s">
        <v>5465</v>
      </c>
      <c r="AZ223" s="6">
        <v>4745404047</v>
      </c>
      <c r="BA223" s="6" t="s">
        <v>5466</v>
      </c>
      <c r="BD223" s="6" t="s">
        <v>5467</v>
      </c>
      <c r="BE223" s="6" t="str">
        <f t="shared" si="6"/>
        <v>hestagentur.no</v>
      </c>
      <c r="BF223" s="6" t="str">
        <f t="shared" si="7"/>
        <v>no</v>
      </c>
      <c r="BG223" s="6" t="s">
        <v>150</v>
      </c>
      <c r="BH223" s="6" t="s">
        <v>5468</v>
      </c>
      <c r="BJ223" s="6" t="s">
        <v>5469</v>
      </c>
      <c r="BK223" s="6" t="s">
        <v>5470</v>
      </c>
      <c r="BP223" s="6" t="s">
        <v>5471</v>
      </c>
      <c r="BQ223" s="6" t="s">
        <v>5472</v>
      </c>
      <c r="BR223" s="6" t="s">
        <v>105</v>
      </c>
    </row>
    <row r="224" spans="1:70" ht="45" customHeight="1" x14ac:dyDescent="0.25">
      <c r="A224" s="6">
        <v>224</v>
      </c>
      <c r="B224" s="7" t="s">
        <v>5473</v>
      </c>
      <c r="C224" s="8" t="s">
        <v>5474</v>
      </c>
      <c r="D224" s="6" t="s">
        <v>5473</v>
      </c>
      <c r="E224" s="6" t="s">
        <v>5475</v>
      </c>
      <c r="F224" s="8" t="s">
        <v>5476</v>
      </c>
      <c r="G224" s="6" t="s">
        <v>73</v>
      </c>
      <c r="H224" s="6" t="s">
        <v>74</v>
      </c>
      <c r="I224" s="6"/>
      <c r="J224" s="6" t="s">
        <v>2206</v>
      </c>
      <c r="K224" s="9">
        <v>7100</v>
      </c>
      <c r="L224" s="8" t="s">
        <v>5477</v>
      </c>
      <c r="M224" s="9">
        <v>9</v>
      </c>
      <c r="N224" s="6">
        <v>55.725732999999998</v>
      </c>
      <c r="O224" s="6">
        <v>9.5705179999999999</v>
      </c>
      <c r="P224" s="6" t="s">
        <v>5478</v>
      </c>
      <c r="Q224" s="6">
        <v>1</v>
      </c>
      <c r="R224" s="6" t="s">
        <v>79</v>
      </c>
      <c r="S224" s="6">
        <v>2008</v>
      </c>
      <c r="T224" s="6">
        <v>10603541</v>
      </c>
      <c r="U224" s="6" t="s">
        <v>80</v>
      </c>
      <c r="V224" s="6">
        <v>50</v>
      </c>
      <c r="W224" s="6" t="s">
        <v>80</v>
      </c>
      <c r="X224" s="6" t="s">
        <v>5479</v>
      </c>
      <c r="Y224" s="6" t="s">
        <v>5480</v>
      </c>
      <c r="Z224" s="6" t="s">
        <v>5481</v>
      </c>
      <c r="AA224" s="6" t="s">
        <v>5482</v>
      </c>
      <c r="AB224" s="6" t="s">
        <v>5483</v>
      </c>
      <c r="AC224" s="6">
        <v>238210</v>
      </c>
      <c r="AD224" s="10" t="str">
        <f>_xlfn.XLOOKUP(AC224,[1]Mapping!B:B,[1]Mapping!C:C,"")</f>
        <v>Electrical Contractors and Other Wiring Installation Contractors</v>
      </c>
      <c r="AG224" s="6" t="s">
        <v>5484</v>
      </c>
      <c r="AH224" s="6" t="s">
        <v>5485</v>
      </c>
      <c r="AI224" s="6" t="s">
        <v>292</v>
      </c>
      <c r="AQ224" s="6">
        <v>1731</v>
      </c>
      <c r="AR224" s="6" t="s">
        <v>5486</v>
      </c>
      <c r="AS224" s="6" t="s">
        <v>5487</v>
      </c>
      <c r="AT224" s="6">
        <v>4321</v>
      </c>
      <c r="AU224" s="6" t="s">
        <v>534</v>
      </c>
      <c r="AV224" s="6">
        <v>43.21</v>
      </c>
      <c r="AW224" s="6" t="s">
        <v>534</v>
      </c>
      <c r="AX224" s="6" t="s">
        <v>5488</v>
      </c>
      <c r="AY224" s="6" t="s">
        <v>5489</v>
      </c>
      <c r="AZ224" s="6" t="s">
        <v>5490</v>
      </c>
      <c r="BA224" s="6" t="s">
        <v>5491</v>
      </c>
      <c r="BB224" s="6" t="s">
        <v>5491</v>
      </c>
      <c r="BC224" s="6" t="s">
        <v>5492</v>
      </c>
      <c r="BD224" s="6" t="s">
        <v>5493</v>
      </c>
      <c r="BE224" s="6" t="str">
        <f t="shared" si="6"/>
        <v>hetek.dk</v>
      </c>
      <c r="BF224" s="6" t="str">
        <f t="shared" si="7"/>
        <v>dk</v>
      </c>
      <c r="BG224" s="6" t="s">
        <v>123</v>
      </c>
      <c r="BH224" s="6" t="s">
        <v>5494</v>
      </c>
      <c r="BK224" s="6" t="s">
        <v>5495</v>
      </c>
      <c r="BP224" s="6" t="s">
        <v>5496</v>
      </c>
      <c r="BQ224" s="6" t="s">
        <v>5497</v>
      </c>
      <c r="BR224" s="6" t="s">
        <v>105</v>
      </c>
    </row>
    <row r="225" spans="1:70" ht="45" customHeight="1" x14ac:dyDescent="0.25">
      <c r="A225" s="6">
        <v>225</v>
      </c>
      <c r="B225" s="7" t="s">
        <v>5498</v>
      </c>
      <c r="C225" s="8" t="s">
        <v>5499</v>
      </c>
      <c r="D225" s="6" t="s">
        <v>5500</v>
      </c>
      <c r="E225" s="8" t="s">
        <v>5501</v>
      </c>
      <c r="F225" s="8" t="s">
        <v>5501</v>
      </c>
      <c r="G225" s="6" t="s">
        <v>612</v>
      </c>
      <c r="H225" s="6" t="s">
        <v>613</v>
      </c>
      <c r="I225" s="6" t="s">
        <v>751</v>
      </c>
      <c r="J225" s="6" t="s">
        <v>752</v>
      </c>
      <c r="K225" s="9">
        <v>59200</v>
      </c>
      <c r="L225" s="8" t="s">
        <v>5502</v>
      </c>
      <c r="M225" s="9">
        <v>2</v>
      </c>
      <c r="N225" s="6">
        <v>3.1141123999999998</v>
      </c>
      <c r="O225" s="6">
        <v>101.6632718</v>
      </c>
      <c r="P225" s="6" t="s">
        <v>5503</v>
      </c>
      <c r="Q225" s="6">
        <v>3</v>
      </c>
      <c r="R225" s="6" t="s">
        <v>79</v>
      </c>
      <c r="X225" s="6" t="s">
        <v>5504</v>
      </c>
      <c r="Y225" s="6" t="s">
        <v>5505</v>
      </c>
      <c r="AC225" s="10">
        <f>_xlfn.XLOOKUP(AH225,[1]Mapping!C:C,[1]Mapping!B:B,"",1)</f>
        <v>332510</v>
      </c>
      <c r="AD225" s="10" t="s">
        <v>5506</v>
      </c>
      <c r="AE225" s="6">
        <v>423430</v>
      </c>
      <c r="AF225" s="6" t="s">
        <v>2554</v>
      </c>
      <c r="AG225" s="6" t="s">
        <v>176</v>
      </c>
      <c r="AH225" s="6" t="s">
        <v>1502</v>
      </c>
      <c r="AI225" s="6" t="s">
        <v>1290</v>
      </c>
      <c r="AJ225" s="6" t="s">
        <v>5507</v>
      </c>
      <c r="AK225" s="6">
        <v>3571</v>
      </c>
      <c r="AL225" s="6" t="s">
        <v>1292</v>
      </c>
      <c r="AM225" s="6">
        <v>737100</v>
      </c>
      <c r="AN225" s="6" t="s">
        <v>176</v>
      </c>
      <c r="AO225" s="6">
        <v>4500</v>
      </c>
      <c r="AQ225" s="6">
        <v>3571</v>
      </c>
      <c r="AR225" s="6" t="s">
        <v>5508</v>
      </c>
      <c r="AT225" s="6">
        <v>2620</v>
      </c>
      <c r="AU225" s="6" t="s">
        <v>5509</v>
      </c>
      <c r="AV225" s="6">
        <v>26.2</v>
      </c>
      <c r="AW225" s="6" t="s">
        <v>5510</v>
      </c>
      <c r="AX225" s="6">
        <v>2600</v>
      </c>
      <c r="AY225" s="6" t="s">
        <v>5511</v>
      </c>
      <c r="AZ225" s="6" t="s">
        <v>5512</v>
      </c>
      <c r="BD225" s="6" t="s">
        <v>5513</v>
      </c>
      <c r="BE225" s="6" t="str">
        <f t="shared" si="6"/>
        <v>hpe.com</v>
      </c>
      <c r="BF225" s="6" t="str">
        <f t="shared" si="7"/>
        <v>com</v>
      </c>
      <c r="BG225" s="6" t="s">
        <v>101</v>
      </c>
      <c r="BK225" s="6" t="s">
        <v>5514</v>
      </c>
      <c r="BQ225" s="6" t="s">
        <v>5515</v>
      </c>
      <c r="BR225" s="6" t="s">
        <v>105</v>
      </c>
    </row>
    <row r="226" spans="1:70" ht="45" customHeight="1" x14ac:dyDescent="0.25">
      <c r="A226" s="6">
        <v>226</v>
      </c>
      <c r="B226" s="7" t="s">
        <v>5516</v>
      </c>
      <c r="C226" s="8" t="s">
        <v>5517</v>
      </c>
      <c r="D226" s="6" t="s">
        <v>5518</v>
      </c>
      <c r="E226" s="6" t="s">
        <v>5519</v>
      </c>
      <c r="F226" s="8" t="s">
        <v>5520</v>
      </c>
      <c r="G226" s="6" t="s">
        <v>1324</v>
      </c>
      <c r="H226" s="6" t="s">
        <v>1325</v>
      </c>
      <c r="I226" s="6" t="s">
        <v>1326</v>
      </c>
      <c r="J226" s="6" t="s">
        <v>1327</v>
      </c>
      <c r="K226" s="9">
        <v>10500</v>
      </c>
      <c r="L226" s="8" t="s">
        <v>5521</v>
      </c>
      <c r="M226" s="9">
        <v>968</v>
      </c>
      <c r="N226" s="6">
        <v>13.7272222</v>
      </c>
      <c r="O226" s="6">
        <v>100.5405892</v>
      </c>
      <c r="P226" s="6" t="s">
        <v>5522</v>
      </c>
      <c r="Q226" s="6">
        <v>2</v>
      </c>
      <c r="R226" s="6" t="s">
        <v>79</v>
      </c>
      <c r="T226" s="6">
        <v>185821</v>
      </c>
      <c r="U226" s="6" t="s">
        <v>80</v>
      </c>
      <c r="V226" s="6">
        <v>6</v>
      </c>
      <c r="W226" s="6" t="s">
        <v>80</v>
      </c>
      <c r="X226" s="6" t="s">
        <v>5523</v>
      </c>
      <c r="Y226" s="6" t="s">
        <v>5524</v>
      </c>
      <c r="Z226" s="6" t="s">
        <v>5525</v>
      </c>
      <c r="AA226" s="6" t="s">
        <v>5526</v>
      </c>
      <c r="AC226" s="6">
        <v>339910</v>
      </c>
      <c r="AD226" s="10" t="str">
        <f>_xlfn.XLOOKUP(AC226,[1]Mapping!B:B,[1]Mapping!C:C,"")</f>
        <v xml:space="preserve">Jewelry and Silverware Manufacturing </v>
      </c>
      <c r="AG226" s="6" t="s">
        <v>5527</v>
      </c>
      <c r="AH226" s="6" t="s">
        <v>5528</v>
      </c>
      <c r="AI226" s="6" t="s">
        <v>1467</v>
      </c>
      <c r="AJ226" s="6" t="s">
        <v>1467</v>
      </c>
      <c r="AK226" s="6" t="s">
        <v>1468</v>
      </c>
      <c r="AL226" s="6" t="s">
        <v>1469</v>
      </c>
      <c r="AM226" s="6" t="s">
        <v>1470</v>
      </c>
      <c r="AN226" s="6" t="s">
        <v>259</v>
      </c>
      <c r="AO226" s="6" t="s">
        <v>260</v>
      </c>
      <c r="AQ226" s="6" t="s">
        <v>5529</v>
      </c>
      <c r="AR226" s="6" t="s">
        <v>5530</v>
      </c>
      <c r="AT226" s="6" t="s">
        <v>5531</v>
      </c>
      <c r="AU226" s="6" t="s">
        <v>5532</v>
      </c>
      <c r="AV226" s="6" t="s">
        <v>5533</v>
      </c>
      <c r="AW226" s="6" t="s">
        <v>5534</v>
      </c>
      <c r="AY226" s="6" t="s">
        <v>5535</v>
      </c>
      <c r="AZ226" s="6">
        <v>66805740411</v>
      </c>
      <c r="BA226" s="6" t="s">
        <v>5536</v>
      </c>
      <c r="BD226" s="6" t="s">
        <v>5537</v>
      </c>
      <c r="BE226" s="6" t="str">
        <f t="shared" si="6"/>
        <v>hpe.com</v>
      </c>
      <c r="BF226" s="6" t="str">
        <f t="shared" si="7"/>
        <v>com</v>
      </c>
      <c r="BG226" s="6" t="s">
        <v>101</v>
      </c>
      <c r="BH226" s="6" t="s">
        <v>5538</v>
      </c>
      <c r="BJ226" s="6" t="s">
        <v>5539</v>
      </c>
      <c r="BK226" s="6" t="s">
        <v>5540</v>
      </c>
      <c r="BN226" s="6" t="s">
        <v>5541</v>
      </c>
      <c r="BP226" s="6" t="s">
        <v>5542</v>
      </c>
      <c r="BQ226" s="6" t="s">
        <v>5543</v>
      </c>
      <c r="BR226" s="6" t="s">
        <v>105</v>
      </c>
    </row>
    <row r="227" spans="1:70" ht="45" customHeight="1" x14ac:dyDescent="0.25">
      <c r="A227" s="6">
        <v>227</v>
      </c>
      <c r="B227" s="7" t="s">
        <v>5544</v>
      </c>
      <c r="C227" s="8" t="s">
        <v>5545</v>
      </c>
      <c r="D227" s="6" t="s">
        <v>5546</v>
      </c>
      <c r="E227" s="8" t="s">
        <v>611</v>
      </c>
      <c r="F227" s="8" t="s">
        <v>611</v>
      </c>
      <c r="G227" s="6" t="s">
        <v>73</v>
      </c>
      <c r="H227" s="6" t="s">
        <v>74</v>
      </c>
      <c r="I227" s="6"/>
      <c r="J227" s="6" t="s">
        <v>5547</v>
      </c>
      <c r="K227" s="9">
        <v>3450</v>
      </c>
      <c r="L227" s="8" t="s">
        <v>5548</v>
      </c>
      <c r="M227" s="9">
        <v>8</v>
      </c>
      <c r="N227" s="6">
        <v>55.863360999999998</v>
      </c>
      <c r="O227" s="6">
        <v>12.329614599999999</v>
      </c>
      <c r="P227" s="6" t="s">
        <v>5549</v>
      </c>
      <c r="Q227" s="6">
        <v>1</v>
      </c>
      <c r="X227" s="6" t="s">
        <v>5550</v>
      </c>
      <c r="Y227" s="6" t="s">
        <v>5551</v>
      </c>
      <c r="AC227" s="10">
        <f>_xlfn.XLOOKUP(AH227,[1]Mapping!C:C,[1]Mapping!B:B,"",1)</f>
        <v>561720</v>
      </c>
      <c r="AD227" s="10" t="s">
        <v>2977</v>
      </c>
      <c r="AE227" s="6">
        <v>423430</v>
      </c>
      <c r="AF227" s="6" t="s">
        <v>2554</v>
      </c>
      <c r="AG227" s="6" t="s">
        <v>176</v>
      </c>
      <c r="AH227" s="6" t="s">
        <v>3789</v>
      </c>
      <c r="AI227" s="6" t="s">
        <v>1290</v>
      </c>
      <c r="AJ227" s="6" t="s">
        <v>504</v>
      </c>
      <c r="AK227" s="6">
        <v>7371</v>
      </c>
      <c r="AL227" s="6" t="s">
        <v>1292</v>
      </c>
      <c r="AM227" s="6">
        <v>737100</v>
      </c>
      <c r="AN227" s="6" t="s">
        <v>176</v>
      </c>
      <c r="AO227" s="6">
        <v>4500</v>
      </c>
      <c r="AQ227" s="6">
        <v>7371</v>
      </c>
      <c r="AR227" s="6" t="s">
        <v>504</v>
      </c>
      <c r="AT227" s="6">
        <v>6201</v>
      </c>
      <c r="AU227" s="6" t="s">
        <v>505</v>
      </c>
      <c r="AV227" s="6">
        <v>62.01</v>
      </c>
      <c r="AW227" s="6" t="s">
        <v>505</v>
      </c>
      <c r="AX227" s="6">
        <v>6200</v>
      </c>
      <c r="AY227" s="6" t="s">
        <v>5535</v>
      </c>
      <c r="BD227" s="6" t="s">
        <v>5552</v>
      </c>
      <c r="BE227" s="6" t="str">
        <f t="shared" si="6"/>
        <v>hpe.com</v>
      </c>
      <c r="BF227" s="6" t="str">
        <f t="shared" si="7"/>
        <v>com</v>
      </c>
      <c r="BG227" s="6" t="s">
        <v>101</v>
      </c>
      <c r="BQ227" s="6" t="s">
        <v>5553</v>
      </c>
      <c r="BR227" s="6" t="s">
        <v>105</v>
      </c>
    </row>
    <row r="228" spans="1:70" ht="45" customHeight="1" x14ac:dyDescent="0.25">
      <c r="A228" s="6">
        <v>228</v>
      </c>
      <c r="B228" s="7" t="s">
        <v>5554</v>
      </c>
      <c r="C228" s="8" t="s">
        <v>5555</v>
      </c>
      <c r="D228" s="6" t="s">
        <v>5556</v>
      </c>
      <c r="E228" s="8" t="s">
        <v>5554</v>
      </c>
      <c r="F228" s="8" t="s">
        <v>5557</v>
      </c>
      <c r="G228" s="6" t="s">
        <v>130</v>
      </c>
      <c r="H228" s="6" t="s">
        <v>131</v>
      </c>
      <c r="I228" s="8" t="s">
        <v>2572</v>
      </c>
      <c r="J228" s="6" t="s">
        <v>4300</v>
      </c>
      <c r="K228" s="9">
        <v>1364</v>
      </c>
      <c r="L228" s="8" t="s">
        <v>5558</v>
      </c>
      <c r="M228" s="9" t="s">
        <v>5559</v>
      </c>
      <c r="N228" s="6">
        <v>59.894464199999987</v>
      </c>
      <c r="O228" s="6">
        <v>10.6276595</v>
      </c>
      <c r="P228" s="6" t="s">
        <v>5560</v>
      </c>
      <c r="Q228" s="6">
        <v>1</v>
      </c>
      <c r="R228" s="6" t="s">
        <v>79</v>
      </c>
      <c r="T228" s="6">
        <v>365616</v>
      </c>
      <c r="U228" s="6" t="s">
        <v>80</v>
      </c>
      <c r="V228" s="6">
        <v>1</v>
      </c>
      <c r="W228" s="6" t="s">
        <v>167</v>
      </c>
      <c r="X228" s="6" t="s">
        <v>5561</v>
      </c>
      <c r="Y228" s="6" t="s">
        <v>5562</v>
      </c>
      <c r="Z228" s="6" t="s">
        <v>5563</v>
      </c>
      <c r="AA228" s="6" t="s">
        <v>5564</v>
      </c>
      <c r="AB228" s="6" t="s">
        <v>5565</v>
      </c>
      <c r="AC228" s="6">
        <v>221118</v>
      </c>
      <c r="AD228" s="10" t="str">
        <f>_xlfn.XLOOKUP(AC228,[1]Mapping!B:B,[1]Mapping!C:C,"")</f>
        <v xml:space="preserve">Other Electric Power Generation </v>
      </c>
      <c r="AG228" s="6" t="s">
        <v>5566</v>
      </c>
      <c r="AH228" s="6" t="s">
        <v>5567</v>
      </c>
      <c r="AI228" s="6" t="s">
        <v>3762</v>
      </c>
      <c r="AJ228" s="6" t="s">
        <v>3482</v>
      </c>
      <c r="AK228" s="6" t="s">
        <v>3483</v>
      </c>
      <c r="AL228" s="6" t="s">
        <v>3484</v>
      </c>
      <c r="AM228" s="6" t="s">
        <v>3485</v>
      </c>
      <c r="AN228" s="6" t="s">
        <v>655</v>
      </c>
      <c r="AO228" s="6" t="s">
        <v>657</v>
      </c>
      <c r="AQ228" s="6" t="s">
        <v>3763</v>
      </c>
      <c r="AR228" s="6" t="s">
        <v>3764</v>
      </c>
      <c r="AT228" s="6">
        <v>3510</v>
      </c>
      <c r="AU228" s="6" t="s">
        <v>3766</v>
      </c>
      <c r="AV228" s="6" t="s">
        <v>3767</v>
      </c>
      <c r="AW228" s="6" t="s">
        <v>3768</v>
      </c>
      <c r="AY228" s="6" t="s">
        <v>5568</v>
      </c>
      <c r="AZ228" s="6">
        <v>4780061000</v>
      </c>
      <c r="BD228" s="6" t="s">
        <v>5569</v>
      </c>
      <c r="BE228" s="6" t="str">
        <f t="shared" si="6"/>
        <v>thinkev.com</v>
      </c>
      <c r="BF228" s="6" t="str">
        <f t="shared" si="7"/>
        <v>com</v>
      </c>
      <c r="BG228" s="6" t="s">
        <v>101</v>
      </c>
      <c r="BP228" s="6" t="s">
        <v>5570</v>
      </c>
      <c r="BQ228" s="6" t="s">
        <v>5571</v>
      </c>
      <c r="BR228" s="6" t="s">
        <v>105</v>
      </c>
    </row>
    <row r="229" spans="1:70" ht="45" customHeight="1" x14ac:dyDescent="0.25">
      <c r="A229" s="6">
        <v>229</v>
      </c>
      <c r="B229" s="7" t="s">
        <v>5572</v>
      </c>
      <c r="C229" s="8" t="s">
        <v>5573</v>
      </c>
      <c r="D229" s="6" t="s">
        <v>5546</v>
      </c>
      <c r="E229" s="8" t="s">
        <v>5572</v>
      </c>
      <c r="F229" s="8" t="s">
        <v>5574</v>
      </c>
      <c r="G229" s="6" t="s">
        <v>315</v>
      </c>
      <c r="H229" s="6" t="s">
        <v>316</v>
      </c>
      <c r="J229" s="6" t="s">
        <v>316</v>
      </c>
      <c r="K229" s="9">
        <v>109841</v>
      </c>
      <c r="L229" s="8" t="s">
        <v>5575</v>
      </c>
      <c r="M229" s="9">
        <v>1</v>
      </c>
      <c r="N229" s="6">
        <v>1.2823681</v>
      </c>
      <c r="O229" s="6">
        <v>103.805136</v>
      </c>
      <c r="P229" s="6" t="s">
        <v>5576</v>
      </c>
      <c r="Q229" s="6">
        <v>2</v>
      </c>
      <c r="R229" s="6" t="s">
        <v>79</v>
      </c>
      <c r="T229" s="6">
        <v>2034038</v>
      </c>
      <c r="U229" s="6" t="s">
        <v>80</v>
      </c>
      <c r="V229" s="6">
        <v>15</v>
      </c>
      <c r="W229" s="6" t="s">
        <v>80</v>
      </c>
      <c r="X229" s="6" t="s">
        <v>5577</v>
      </c>
      <c r="Y229" s="6" t="s">
        <v>5578</v>
      </c>
      <c r="Z229" s="6" t="s">
        <v>5579</v>
      </c>
      <c r="AA229" s="6" t="s">
        <v>5580</v>
      </c>
      <c r="AB229" s="6" t="s">
        <v>5581</v>
      </c>
      <c r="AC229" s="6">
        <v>458110</v>
      </c>
      <c r="AD229" s="10" t="str">
        <f>_xlfn.XLOOKUP(AC229,[1]Mapping!B:B,[1]Mapping!C:C,"")</f>
        <v xml:space="preserve">Clothing and Clothing Accessories Retailers </v>
      </c>
      <c r="AG229" s="6" t="s">
        <v>5582</v>
      </c>
      <c r="AH229" s="6" t="s">
        <v>1466</v>
      </c>
      <c r="AI229" s="6" t="s">
        <v>1467</v>
      </c>
      <c r="AJ229" s="6" t="s">
        <v>1467</v>
      </c>
      <c r="AK229" s="6" t="s">
        <v>1468</v>
      </c>
      <c r="AL229" s="6" t="s">
        <v>1469</v>
      </c>
      <c r="AM229" s="6" t="s">
        <v>1470</v>
      </c>
      <c r="AN229" s="6" t="s">
        <v>259</v>
      </c>
      <c r="AO229" s="6" t="s">
        <v>260</v>
      </c>
      <c r="AQ229" s="6" t="s">
        <v>1471</v>
      </c>
      <c r="AR229" s="6" t="s">
        <v>1472</v>
      </c>
      <c r="AT229" s="6" t="s">
        <v>1474</v>
      </c>
      <c r="AU229" s="6" t="s">
        <v>1475</v>
      </c>
      <c r="AV229" s="6" t="s">
        <v>1476</v>
      </c>
      <c r="AW229" s="6" t="s">
        <v>1477</v>
      </c>
      <c r="AY229" s="6" t="s">
        <v>5535</v>
      </c>
      <c r="AZ229" s="6" t="s">
        <v>5583</v>
      </c>
      <c r="BA229" s="6" t="s">
        <v>5584</v>
      </c>
      <c r="BB229" s="6" t="s">
        <v>5584</v>
      </c>
      <c r="BD229" s="6" t="s">
        <v>5585</v>
      </c>
      <c r="BE229" s="6" t="str">
        <f t="shared" si="6"/>
        <v>hpe.com</v>
      </c>
      <c r="BF229" s="6" t="str">
        <f t="shared" si="7"/>
        <v>com</v>
      </c>
      <c r="BG229" s="6" t="s">
        <v>101</v>
      </c>
      <c r="BH229" s="6" t="s">
        <v>5586</v>
      </c>
      <c r="BP229" s="6" t="s">
        <v>5587</v>
      </c>
      <c r="BQ229" s="6" t="s">
        <v>5588</v>
      </c>
      <c r="BR229" s="6" t="s">
        <v>105</v>
      </c>
    </row>
    <row r="230" spans="1:70" ht="45" customHeight="1" x14ac:dyDescent="0.25">
      <c r="A230" s="6">
        <v>230</v>
      </c>
      <c r="B230" s="7" t="s">
        <v>5589</v>
      </c>
      <c r="C230" s="8" t="s">
        <v>5590</v>
      </c>
      <c r="D230" s="6" t="s">
        <v>5546</v>
      </c>
      <c r="E230" s="8" t="s">
        <v>5591</v>
      </c>
      <c r="F230" s="8" t="s">
        <v>5591</v>
      </c>
      <c r="G230" s="6" t="s">
        <v>160</v>
      </c>
      <c r="H230" s="6" t="s">
        <v>161</v>
      </c>
      <c r="I230" s="6" t="s">
        <v>281</v>
      </c>
      <c r="J230" s="6" t="s">
        <v>1350</v>
      </c>
      <c r="K230" s="9" t="s">
        <v>5592</v>
      </c>
      <c r="L230" s="8" t="s">
        <v>5593</v>
      </c>
      <c r="M230" s="9">
        <v>20</v>
      </c>
      <c r="N230" s="6">
        <v>59.378380800000002</v>
      </c>
      <c r="O230" s="6">
        <v>18.009405099999999</v>
      </c>
      <c r="P230" s="6" t="s">
        <v>5594</v>
      </c>
      <c r="Q230" s="6">
        <v>2</v>
      </c>
      <c r="R230" s="6" t="s">
        <v>79</v>
      </c>
      <c r="T230" s="6"/>
      <c r="Z230" s="6" t="s">
        <v>5595</v>
      </c>
      <c r="AA230" s="6" t="s">
        <v>5596</v>
      </c>
      <c r="AC230" s="6">
        <v>518210</v>
      </c>
      <c r="AD230" s="10" t="str">
        <f>_xlfn.XLOOKUP(AC230,[1]Mapping!B:B,[1]Mapping!C:C,"")</f>
        <v>Computing Infrastructure Providers, Data Processing, Web Hosting, and Related Services</v>
      </c>
      <c r="AG230" s="6" t="s">
        <v>173</v>
      </c>
      <c r="AH230" s="6" t="s">
        <v>86</v>
      </c>
      <c r="AI230" s="6" t="s">
        <v>87</v>
      </c>
      <c r="AQ230" s="6" t="s">
        <v>178</v>
      </c>
      <c r="AR230" s="6" t="s">
        <v>179</v>
      </c>
      <c r="AT230" s="6" t="s">
        <v>181</v>
      </c>
      <c r="AU230" s="6" t="s">
        <v>182</v>
      </c>
      <c r="AV230" s="6" t="s">
        <v>183</v>
      </c>
      <c r="AW230" s="6" t="s">
        <v>184</v>
      </c>
      <c r="AY230" s="6" t="s">
        <v>5597</v>
      </c>
      <c r="BD230" s="6" t="s">
        <v>5598</v>
      </c>
      <c r="BE230" s="6" t="str">
        <f t="shared" si="6"/>
        <v>hpe.com</v>
      </c>
      <c r="BF230" s="6" t="str">
        <f t="shared" si="7"/>
        <v>com</v>
      </c>
      <c r="BG230" s="6" t="s">
        <v>101</v>
      </c>
      <c r="BQ230" s="6" t="s">
        <v>5599</v>
      </c>
      <c r="BR230" s="6" t="s">
        <v>105</v>
      </c>
    </row>
    <row r="231" spans="1:70" ht="45" customHeight="1" x14ac:dyDescent="0.25">
      <c r="A231" s="6">
        <v>231</v>
      </c>
      <c r="B231" s="7" t="s">
        <v>5600</v>
      </c>
      <c r="C231" s="8" t="s">
        <v>5601</v>
      </c>
      <c r="D231" s="6" t="s">
        <v>5602</v>
      </c>
      <c r="E231" s="8" t="s">
        <v>5600</v>
      </c>
      <c r="F231" s="8" t="s">
        <v>5603</v>
      </c>
      <c r="G231" s="6" t="s">
        <v>201</v>
      </c>
      <c r="H231" s="6" t="s">
        <v>202</v>
      </c>
      <c r="I231" s="8" t="s">
        <v>203</v>
      </c>
      <c r="J231" s="6" t="s">
        <v>5604</v>
      </c>
      <c r="K231" s="9">
        <v>90064</v>
      </c>
      <c r="L231" s="8" t="s">
        <v>5605</v>
      </c>
      <c r="M231" s="9">
        <v>10917</v>
      </c>
      <c r="N231" s="6">
        <v>34.039517199999999</v>
      </c>
      <c r="O231" s="6">
        <v>-118.43013759999999</v>
      </c>
      <c r="P231" s="6" t="s">
        <v>5606</v>
      </c>
      <c r="Q231" s="6">
        <v>1</v>
      </c>
      <c r="R231" s="6" t="s">
        <v>79</v>
      </c>
      <c r="S231" s="6">
        <v>1984</v>
      </c>
      <c r="T231" s="6">
        <v>1932906</v>
      </c>
      <c r="U231" s="6" t="s">
        <v>80</v>
      </c>
      <c r="V231" s="6">
        <v>6</v>
      </c>
      <c r="W231" s="6" t="s">
        <v>167</v>
      </c>
      <c r="X231" s="6" t="s">
        <v>5607</v>
      </c>
      <c r="Y231" s="6" t="s">
        <v>5608</v>
      </c>
      <c r="Z231" s="6" t="s">
        <v>5609</v>
      </c>
      <c r="AA231" s="6" t="s">
        <v>5610</v>
      </c>
      <c r="AB231" s="6" t="s">
        <v>5611</v>
      </c>
      <c r="AC231" s="6">
        <v>541512</v>
      </c>
      <c r="AD231" s="10" t="str">
        <f>_xlfn.XLOOKUP(AC231,[1]Mapping!B:B,[1]Mapping!C:C,"")</f>
        <v xml:space="preserve">Computer Systems Design Services </v>
      </c>
      <c r="AE231" s="6" t="s">
        <v>5612</v>
      </c>
      <c r="AF231" s="6" t="s">
        <v>3787</v>
      </c>
      <c r="AG231" s="6" t="s">
        <v>5613</v>
      </c>
      <c r="AH231" s="6" t="s">
        <v>5614</v>
      </c>
      <c r="AI231" s="6" t="s">
        <v>499</v>
      </c>
      <c r="AJ231" s="6" t="s">
        <v>5615</v>
      </c>
      <c r="AK231" s="6" t="s">
        <v>5616</v>
      </c>
      <c r="AL231" s="6" t="s">
        <v>2321</v>
      </c>
      <c r="AM231" s="6" t="s">
        <v>2323</v>
      </c>
      <c r="AN231" s="6" t="s">
        <v>655</v>
      </c>
      <c r="AO231" s="6" t="s">
        <v>657</v>
      </c>
      <c r="AQ231" s="6">
        <v>7373</v>
      </c>
      <c r="AR231" s="6" t="s">
        <v>2820</v>
      </c>
      <c r="AS231" s="6" t="s">
        <v>5617</v>
      </c>
      <c r="AT231" s="6">
        <v>6202</v>
      </c>
      <c r="AU231" s="6" t="s">
        <v>2821</v>
      </c>
      <c r="AV231" s="6">
        <v>62.02</v>
      </c>
      <c r="AW231" s="6" t="s">
        <v>2822</v>
      </c>
      <c r="AX231" s="6" t="s">
        <v>5618</v>
      </c>
      <c r="AY231" s="6" t="s">
        <v>5619</v>
      </c>
      <c r="AZ231" s="6" t="s">
        <v>5620</v>
      </c>
      <c r="BA231" s="6" t="s">
        <v>5621</v>
      </c>
      <c r="BB231" s="6" t="s">
        <v>5621</v>
      </c>
      <c r="BD231" s="6" t="s">
        <v>5622</v>
      </c>
      <c r="BE231" s="6" t="str">
        <f t="shared" si="6"/>
        <v>hightouchremodeling.com</v>
      </c>
      <c r="BF231" s="6" t="str">
        <f t="shared" si="7"/>
        <v>com</v>
      </c>
      <c r="BG231" s="6" t="s">
        <v>101</v>
      </c>
      <c r="BH231" s="6" t="s">
        <v>5623</v>
      </c>
      <c r="BJ231" s="6" t="s">
        <v>5624</v>
      </c>
      <c r="BK231" s="6" t="s">
        <v>5625</v>
      </c>
      <c r="BP231" s="6" t="s">
        <v>5626</v>
      </c>
      <c r="BQ231" s="6" t="s">
        <v>5627</v>
      </c>
      <c r="BR231" s="6" t="s">
        <v>105</v>
      </c>
    </row>
    <row r="232" spans="1:70" ht="45" customHeight="1" x14ac:dyDescent="0.25">
      <c r="A232" s="6">
        <v>232</v>
      </c>
      <c r="B232" s="7" t="s">
        <v>5628</v>
      </c>
      <c r="C232" s="8" t="s">
        <v>5629</v>
      </c>
      <c r="D232" s="6" t="s">
        <v>5630</v>
      </c>
      <c r="E232" s="8" t="s">
        <v>5628</v>
      </c>
      <c r="F232" s="8" t="s">
        <v>5631</v>
      </c>
      <c r="G232" s="6" t="s">
        <v>73</v>
      </c>
      <c r="H232" s="6" t="s">
        <v>74</v>
      </c>
      <c r="J232" s="6" t="s">
        <v>3031</v>
      </c>
      <c r="K232" s="9">
        <v>8000</v>
      </c>
      <c r="L232" s="8" t="s">
        <v>5632</v>
      </c>
      <c r="M232" s="9">
        <v>23</v>
      </c>
      <c r="N232" s="6">
        <v>56.150657000000002</v>
      </c>
      <c r="O232" s="6">
        <v>10.213290000000001</v>
      </c>
      <c r="P232" s="6" t="s">
        <v>5633</v>
      </c>
      <c r="Q232" s="6">
        <v>4</v>
      </c>
      <c r="R232" s="6" t="s">
        <v>79</v>
      </c>
      <c r="S232" s="6">
        <v>1973</v>
      </c>
      <c r="T232" s="6">
        <v>139000</v>
      </c>
      <c r="U232" s="6" t="s">
        <v>167</v>
      </c>
      <c r="V232" s="6">
        <v>20</v>
      </c>
      <c r="W232" s="6" t="s">
        <v>167</v>
      </c>
      <c r="X232" s="6" t="s">
        <v>5634</v>
      </c>
      <c r="Y232" s="6" t="s">
        <v>5635</v>
      </c>
      <c r="Z232" s="6" t="s">
        <v>5636</v>
      </c>
      <c r="AA232" s="6" t="s">
        <v>5637</v>
      </c>
      <c r="AB232" s="6" t="s">
        <v>5638</v>
      </c>
      <c r="AC232" s="6">
        <v>513210</v>
      </c>
      <c r="AD232" s="10" t="str">
        <f>_xlfn.XLOOKUP(AC232,[1]Mapping!B:B,[1]Mapping!C:C,"")</f>
        <v>Software Publishers</v>
      </c>
      <c r="AG232" s="6" t="s">
        <v>5639</v>
      </c>
      <c r="AH232" s="6" t="s">
        <v>5640</v>
      </c>
      <c r="AI232" s="6" t="s">
        <v>499</v>
      </c>
      <c r="AJ232" s="6" t="s">
        <v>2001</v>
      </c>
      <c r="AK232" s="6" t="s">
        <v>2002</v>
      </c>
      <c r="AL232" s="6" t="s">
        <v>328</v>
      </c>
      <c r="AM232" s="6" t="s">
        <v>329</v>
      </c>
      <c r="AN232" s="6" t="s">
        <v>297</v>
      </c>
      <c r="AO232" s="6" t="s">
        <v>298</v>
      </c>
      <c r="AQ232" s="6">
        <v>7372</v>
      </c>
      <c r="AR232" s="6" t="s">
        <v>2077</v>
      </c>
      <c r="AT232" s="6">
        <v>5820</v>
      </c>
      <c r="AU232" s="6" t="s">
        <v>2028</v>
      </c>
      <c r="AV232" s="6">
        <v>58.29</v>
      </c>
      <c r="AW232" s="6" t="s">
        <v>2078</v>
      </c>
      <c r="AY232" s="6" t="s">
        <v>5641</v>
      </c>
      <c r="AZ232" s="6" t="s">
        <v>5642</v>
      </c>
      <c r="BA232" s="6" t="s">
        <v>5643</v>
      </c>
      <c r="BD232" s="6" t="s">
        <v>5644</v>
      </c>
      <c r="BE232" s="6" t="str">
        <f t="shared" si="6"/>
        <v>holdsport.dk</v>
      </c>
      <c r="BF232" s="6" t="str">
        <f t="shared" si="7"/>
        <v>dk</v>
      </c>
      <c r="BG232" s="6" t="s">
        <v>123</v>
      </c>
      <c r="BH232" s="6" t="s">
        <v>5645</v>
      </c>
      <c r="BI232" s="6" t="s">
        <v>5646</v>
      </c>
      <c r="BJ232" s="6" t="s">
        <v>5647</v>
      </c>
      <c r="BK232" s="6" t="s">
        <v>5648</v>
      </c>
      <c r="BL232" s="6" t="s">
        <v>5649</v>
      </c>
      <c r="BM232" s="6" t="s">
        <v>5650</v>
      </c>
      <c r="BN232" s="6" t="s">
        <v>5651</v>
      </c>
      <c r="BP232" s="6" t="s">
        <v>5652</v>
      </c>
      <c r="BQ232" s="6" t="s">
        <v>5653</v>
      </c>
      <c r="BR232" s="6" t="s">
        <v>105</v>
      </c>
    </row>
    <row r="233" spans="1:70" ht="45" customHeight="1" x14ac:dyDescent="0.25">
      <c r="A233" s="6">
        <v>233</v>
      </c>
      <c r="B233" s="7" t="s">
        <v>5654</v>
      </c>
      <c r="C233" s="8" t="s">
        <v>5655</v>
      </c>
      <c r="D233" s="6" t="s">
        <v>5656</v>
      </c>
      <c r="E233" s="6" t="s">
        <v>5657</v>
      </c>
      <c r="F233" s="8" t="s">
        <v>5658</v>
      </c>
      <c r="G233" s="6" t="s">
        <v>5659</v>
      </c>
      <c r="H233" s="6" t="s">
        <v>5660</v>
      </c>
      <c r="I233" s="6" t="s">
        <v>5661</v>
      </c>
      <c r="J233" s="6" t="s">
        <v>5662</v>
      </c>
      <c r="K233" s="9">
        <v>59929</v>
      </c>
      <c r="L233" s="8" t="s">
        <v>5663</v>
      </c>
      <c r="M233" s="9">
        <v>1</v>
      </c>
      <c r="N233" s="6">
        <v>51.378669899999998</v>
      </c>
      <c r="O233" s="6">
        <v>8.6404776999999999</v>
      </c>
      <c r="P233" s="6" t="s">
        <v>5664</v>
      </c>
      <c r="Q233" s="6">
        <v>1</v>
      </c>
      <c r="R233" s="6" t="s">
        <v>79</v>
      </c>
      <c r="S233" s="6">
        <v>1927</v>
      </c>
      <c r="T233" s="6">
        <v>21240352</v>
      </c>
      <c r="U233" s="6" t="s">
        <v>80</v>
      </c>
      <c r="V233" s="6">
        <v>90</v>
      </c>
      <c r="W233" s="6" t="s">
        <v>167</v>
      </c>
      <c r="X233" s="6" t="s">
        <v>5665</v>
      </c>
      <c r="Y233" s="6" t="s">
        <v>5666</v>
      </c>
      <c r="Z233" s="6" t="s">
        <v>5667</v>
      </c>
      <c r="AA233" s="6" t="s">
        <v>5668</v>
      </c>
      <c r="AB233" s="6" t="s">
        <v>5669</v>
      </c>
      <c r="AC233" s="6">
        <v>335910</v>
      </c>
      <c r="AD233" s="10" t="str">
        <f>_xlfn.XLOOKUP(AC233,[1]Mapping!B:B,[1]Mapping!C:C,"")</f>
        <v xml:space="preserve">Battery Manufacturing </v>
      </c>
      <c r="AG233" s="6" t="s">
        <v>1239</v>
      </c>
      <c r="AH233" s="6" t="s">
        <v>1240</v>
      </c>
      <c r="AI233" s="6" t="s">
        <v>1240</v>
      </c>
      <c r="AJ233" s="6" t="s">
        <v>1241</v>
      </c>
      <c r="AK233" s="6" t="s">
        <v>1242</v>
      </c>
      <c r="AL233" s="6" t="s">
        <v>219</v>
      </c>
      <c r="AM233" s="6" t="s">
        <v>220</v>
      </c>
      <c r="AN233" s="6" t="s">
        <v>221</v>
      </c>
      <c r="AO233" s="6" t="s">
        <v>222</v>
      </c>
      <c r="AQ233" s="6" t="s">
        <v>1243</v>
      </c>
      <c r="AR233" s="6" t="s">
        <v>1244</v>
      </c>
      <c r="AS233" s="6" t="s">
        <v>5670</v>
      </c>
      <c r="AT233" s="6">
        <v>2720</v>
      </c>
      <c r="AU233" s="6" t="s">
        <v>1246</v>
      </c>
      <c r="AV233" s="6">
        <v>27.2</v>
      </c>
      <c r="AW233" s="6" t="s">
        <v>1246</v>
      </c>
      <c r="AX233" s="6" t="s">
        <v>5671</v>
      </c>
      <c r="AY233" s="6" t="s">
        <v>5672</v>
      </c>
      <c r="AZ233" s="6" t="s">
        <v>5673</v>
      </c>
      <c r="BA233" s="6" t="s">
        <v>5674</v>
      </c>
      <c r="BB233" s="6" t="s">
        <v>5674</v>
      </c>
      <c r="BD233" s="6" t="s">
        <v>5675</v>
      </c>
      <c r="BE233" s="6" t="str">
        <f t="shared" si="6"/>
        <v>hoppecke.com</v>
      </c>
      <c r="BF233" s="6" t="str">
        <f t="shared" si="7"/>
        <v>com</v>
      </c>
      <c r="BG233" s="6" t="s">
        <v>101</v>
      </c>
      <c r="BH233" s="6" t="s">
        <v>5676</v>
      </c>
      <c r="BJ233" s="6" t="s">
        <v>5677</v>
      </c>
      <c r="BK233" s="6" t="s">
        <v>5678</v>
      </c>
      <c r="BN233" s="6" t="s">
        <v>5679</v>
      </c>
      <c r="BP233" s="6" t="s">
        <v>5680</v>
      </c>
      <c r="BQ233" s="6" t="s">
        <v>5681</v>
      </c>
      <c r="BR233" s="6" t="s">
        <v>105</v>
      </c>
    </row>
    <row r="234" spans="1:70" ht="45" customHeight="1" x14ac:dyDescent="0.25">
      <c r="A234" s="6">
        <v>234</v>
      </c>
      <c r="B234" s="7" t="s">
        <v>5682</v>
      </c>
      <c r="C234" s="8" t="s">
        <v>5683</v>
      </c>
      <c r="D234" s="6" t="s">
        <v>5684</v>
      </c>
      <c r="E234" s="8" t="s">
        <v>5685</v>
      </c>
      <c r="F234" s="8" t="s">
        <v>5685</v>
      </c>
      <c r="G234" s="6" t="s">
        <v>1324</v>
      </c>
      <c r="H234" s="6" t="s">
        <v>1325</v>
      </c>
      <c r="I234" s="6" t="s">
        <v>1326</v>
      </c>
      <c r="J234" s="6" t="s">
        <v>1327</v>
      </c>
      <c r="K234" s="9">
        <v>10500</v>
      </c>
      <c r="L234" s="8" t="s">
        <v>5686</v>
      </c>
      <c r="N234" s="6">
        <v>13.727363499999999</v>
      </c>
      <c r="O234" s="6">
        <v>100.54049639999999</v>
      </c>
      <c r="P234" s="6" t="s">
        <v>5687</v>
      </c>
      <c r="Q234" s="6">
        <v>2</v>
      </c>
      <c r="R234" s="6" t="s">
        <v>79</v>
      </c>
      <c r="S234" s="6">
        <v>1979</v>
      </c>
      <c r="T234" s="6">
        <v>2426858</v>
      </c>
      <c r="U234" s="6" t="s">
        <v>80</v>
      </c>
      <c r="V234" s="6">
        <v>75</v>
      </c>
      <c r="W234" s="6" t="s">
        <v>80</v>
      </c>
      <c r="X234" s="6" t="s">
        <v>5688</v>
      </c>
      <c r="Y234" s="6" t="s">
        <v>5689</v>
      </c>
      <c r="Z234" s="6" t="s">
        <v>5690</v>
      </c>
      <c r="AA234" s="6" t="s">
        <v>5691</v>
      </c>
      <c r="AB234" s="6" t="s">
        <v>5692</v>
      </c>
      <c r="AC234" s="6">
        <v>339910</v>
      </c>
      <c r="AD234" s="10" t="str">
        <f>_xlfn.XLOOKUP(AC234,[1]Mapping!B:B,[1]Mapping!C:C,"")</f>
        <v xml:space="preserve">Jewelry and Silverware Manufacturing </v>
      </c>
      <c r="AG234" s="6" t="s">
        <v>5527</v>
      </c>
      <c r="AH234" s="6" t="s">
        <v>5528</v>
      </c>
      <c r="AI234" s="6" t="s">
        <v>1467</v>
      </c>
      <c r="AJ234" s="6" t="s">
        <v>1467</v>
      </c>
      <c r="AK234" s="6" t="s">
        <v>1468</v>
      </c>
      <c r="AL234" s="6" t="s">
        <v>1469</v>
      </c>
      <c r="AM234" s="6" t="s">
        <v>1470</v>
      </c>
      <c r="AN234" s="6" t="s">
        <v>259</v>
      </c>
      <c r="AO234" s="6" t="s">
        <v>260</v>
      </c>
      <c r="AQ234" s="6" t="s">
        <v>5529</v>
      </c>
      <c r="AR234" s="6" t="s">
        <v>5530</v>
      </c>
      <c r="AS234" s="6" t="s">
        <v>5693</v>
      </c>
      <c r="AT234" s="6" t="s">
        <v>5531</v>
      </c>
      <c r="AU234" s="6" t="s">
        <v>5532</v>
      </c>
      <c r="AV234" s="6" t="s">
        <v>5533</v>
      </c>
      <c r="AW234" s="6" t="s">
        <v>5534</v>
      </c>
      <c r="AX234" s="6" t="s">
        <v>5694</v>
      </c>
      <c r="AY234" s="6" t="s">
        <v>5695</v>
      </c>
      <c r="AZ234" s="6" t="s">
        <v>5696</v>
      </c>
      <c r="BA234" s="6" t="s">
        <v>5697</v>
      </c>
      <c r="BD234" s="6" t="s">
        <v>5698</v>
      </c>
      <c r="BE234" s="6" t="str">
        <f t="shared" si="6"/>
        <v>hp.com</v>
      </c>
      <c r="BF234" s="6" t="str">
        <f t="shared" si="7"/>
        <v>com</v>
      </c>
      <c r="BG234" s="6" t="s">
        <v>101</v>
      </c>
      <c r="BH234" s="6" t="s">
        <v>5699</v>
      </c>
      <c r="BI234" s="6" t="s">
        <v>5700</v>
      </c>
      <c r="BJ234" s="6" t="s">
        <v>5701</v>
      </c>
      <c r="BK234" s="6" t="s">
        <v>5702</v>
      </c>
      <c r="BN234" s="6" t="s">
        <v>5703</v>
      </c>
      <c r="BP234" s="6" t="s">
        <v>5704</v>
      </c>
      <c r="BQ234" s="6" t="s">
        <v>5705</v>
      </c>
      <c r="BR234" s="6" t="s">
        <v>105</v>
      </c>
    </row>
    <row r="235" spans="1:70" ht="45" customHeight="1" x14ac:dyDescent="0.25">
      <c r="A235" s="6">
        <v>235</v>
      </c>
      <c r="B235" s="7" t="s">
        <v>5706</v>
      </c>
      <c r="C235" s="8" t="s">
        <v>5707</v>
      </c>
      <c r="D235" s="6" t="s">
        <v>5708</v>
      </c>
      <c r="E235" s="6" t="s">
        <v>5709</v>
      </c>
      <c r="F235" s="8" t="s">
        <v>5710</v>
      </c>
      <c r="G235" s="6" t="s">
        <v>73</v>
      </c>
      <c r="H235" s="6" t="s">
        <v>74</v>
      </c>
      <c r="I235" s="6"/>
      <c r="J235" s="6" t="s">
        <v>5547</v>
      </c>
      <c r="K235" s="9">
        <v>3450</v>
      </c>
      <c r="L235" s="8" t="s">
        <v>5548</v>
      </c>
      <c r="M235" s="9">
        <v>8</v>
      </c>
      <c r="N235" s="6">
        <v>55.8632171</v>
      </c>
      <c r="O235" s="6">
        <v>12.328913200000001</v>
      </c>
      <c r="P235" s="6" t="s">
        <v>5711</v>
      </c>
      <c r="Q235" s="6">
        <v>1</v>
      </c>
      <c r="R235" s="6" t="s">
        <v>79</v>
      </c>
      <c r="S235" s="6">
        <v>2001</v>
      </c>
      <c r="T235" s="6">
        <v>1083719</v>
      </c>
      <c r="U235" s="6" t="s">
        <v>80</v>
      </c>
      <c r="V235" s="6">
        <v>11</v>
      </c>
      <c r="W235" s="6" t="s">
        <v>167</v>
      </c>
      <c r="X235" s="6" t="s">
        <v>5688</v>
      </c>
      <c r="Y235" s="6" t="s">
        <v>5712</v>
      </c>
      <c r="Z235" s="6" t="s">
        <v>5713</v>
      </c>
      <c r="AA235" s="6" t="s">
        <v>5714</v>
      </c>
      <c r="AC235" s="6">
        <v>541214</v>
      </c>
      <c r="AD235" s="10" t="str">
        <f>_xlfn.XLOOKUP(AC235,[1]Mapping!B:B,[1]Mapping!C:C,"")</f>
        <v xml:space="preserve">Payroll Services </v>
      </c>
      <c r="AG235" s="6" t="s">
        <v>1094</v>
      </c>
      <c r="AH235" s="6" t="s">
        <v>1095</v>
      </c>
      <c r="AI235" s="6" t="s">
        <v>119</v>
      </c>
      <c r="AJ235" s="6" t="s">
        <v>293</v>
      </c>
      <c r="AK235" s="6" t="s">
        <v>294</v>
      </c>
      <c r="AL235" s="6" t="s">
        <v>295</v>
      </c>
      <c r="AM235" s="6" t="s">
        <v>296</v>
      </c>
      <c r="AN235" s="6" t="s">
        <v>297</v>
      </c>
      <c r="AO235" s="6" t="s">
        <v>298</v>
      </c>
      <c r="AQ235" s="6" t="s">
        <v>5715</v>
      </c>
      <c r="AR235" s="6" t="s">
        <v>5716</v>
      </c>
      <c r="AS235" s="6" t="s">
        <v>5717</v>
      </c>
      <c r="AT235" s="6">
        <v>6920</v>
      </c>
      <c r="AU235" s="6" t="s">
        <v>1098</v>
      </c>
      <c r="AV235" s="6">
        <v>69.2</v>
      </c>
      <c r="AW235" s="6" t="s">
        <v>1098</v>
      </c>
      <c r="AX235" s="6" t="s">
        <v>5718</v>
      </c>
      <c r="AY235" s="6" t="s">
        <v>5719</v>
      </c>
      <c r="AZ235" s="6" t="s">
        <v>5720</v>
      </c>
      <c r="BA235" s="6" t="s">
        <v>5721</v>
      </c>
      <c r="BB235" s="6" t="s">
        <v>5722</v>
      </c>
      <c r="BC235" s="6" t="s">
        <v>5721</v>
      </c>
      <c r="BD235" s="6" t="s">
        <v>5723</v>
      </c>
      <c r="BE235" s="6" t="str">
        <f t="shared" si="6"/>
        <v>hp.com</v>
      </c>
      <c r="BF235" s="6" t="str">
        <f t="shared" si="7"/>
        <v>com</v>
      </c>
      <c r="BG235" s="6" t="s">
        <v>123</v>
      </c>
      <c r="BH235" s="6" t="s">
        <v>5699</v>
      </c>
      <c r="BI235" s="6" t="s">
        <v>5700</v>
      </c>
      <c r="BJ235" s="6" t="s">
        <v>5701</v>
      </c>
      <c r="BK235" s="6" t="s">
        <v>5702</v>
      </c>
      <c r="BL235" s="6" t="s">
        <v>5724</v>
      </c>
      <c r="BM235" s="6" t="s">
        <v>5725</v>
      </c>
      <c r="BN235" s="6" t="s">
        <v>5703</v>
      </c>
      <c r="BP235" s="6" t="s">
        <v>5726</v>
      </c>
      <c r="BQ235" s="6" t="s">
        <v>5727</v>
      </c>
      <c r="BR235" s="6" t="s">
        <v>105</v>
      </c>
    </row>
    <row r="236" spans="1:70" ht="45" customHeight="1" x14ac:dyDescent="0.25">
      <c r="A236" s="6">
        <v>236</v>
      </c>
      <c r="B236" s="7" t="s">
        <v>5728</v>
      </c>
      <c r="C236" s="8" t="s">
        <v>5729</v>
      </c>
      <c r="D236" s="6" t="s">
        <v>5556</v>
      </c>
      <c r="E236" s="8" t="s">
        <v>5728</v>
      </c>
      <c r="F236" s="8" t="s">
        <v>5730</v>
      </c>
      <c r="G236" s="6" t="s">
        <v>130</v>
      </c>
      <c r="H236" s="6" t="s">
        <v>131</v>
      </c>
      <c r="I236" s="8" t="s">
        <v>2572</v>
      </c>
      <c r="J236" s="6" t="s">
        <v>4300</v>
      </c>
      <c r="K236" s="9">
        <v>1364</v>
      </c>
      <c r="L236" s="8" t="s">
        <v>5558</v>
      </c>
      <c r="M236" s="9" t="s">
        <v>5559</v>
      </c>
      <c r="N236" s="6">
        <v>59.894464199999987</v>
      </c>
      <c r="O236" s="6">
        <v>10.6276595</v>
      </c>
      <c r="P236" s="6" t="s">
        <v>5731</v>
      </c>
      <c r="Q236" s="6">
        <v>1</v>
      </c>
      <c r="S236" s="6">
        <v>2015</v>
      </c>
      <c r="T236" s="6"/>
      <c r="V236" s="6">
        <v>75</v>
      </c>
      <c r="W236" s="6" t="s">
        <v>80</v>
      </c>
      <c r="X236" s="6" t="s">
        <v>5732</v>
      </c>
      <c r="Y236" s="6" t="s">
        <v>5733</v>
      </c>
      <c r="Z236" s="6" t="s">
        <v>5734</v>
      </c>
      <c r="AA236" s="6" t="s">
        <v>5735</v>
      </c>
      <c r="AB236" s="6" t="s">
        <v>5736</v>
      </c>
      <c r="AC236" s="6">
        <v>423430</v>
      </c>
      <c r="AD236" s="10" t="str">
        <f>_xlfn.XLOOKUP(AC236,[1]Mapping!B:B,[1]Mapping!C:C,"")</f>
        <v xml:space="preserve">Computer and Computer Peripheral Equipment and Software Merchant Wholesalers </v>
      </c>
      <c r="AG236" s="6" t="s">
        <v>5737</v>
      </c>
      <c r="AH236" s="6" t="s">
        <v>5738</v>
      </c>
      <c r="AI236" s="6" t="s">
        <v>5739</v>
      </c>
      <c r="AJ236" s="6" t="s">
        <v>1502</v>
      </c>
      <c r="AK236" s="6" t="s">
        <v>1503</v>
      </c>
      <c r="AL236" s="6" t="s">
        <v>176</v>
      </c>
      <c r="AM236" s="6" t="s">
        <v>177</v>
      </c>
      <c r="AN236" s="6" t="s">
        <v>91</v>
      </c>
      <c r="AO236" s="6" t="s">
        <v>92</v>
      </c>
      <c r="AQ236" s="6">
        <v>5045</v>
      </c>
      <c r="AR236" s="6" t="s">
        <v>1294</v>
      </c>
      <c r="AT236" s="6">
        <v>4651</v>
      </c>
      <c r="AU236" s="6" t="s">
        <v>1296</v>
      </c>
      <c r="AV236" s="6">
        <v>46.51</v>
      </c>
      <c r="AW236" s="6" t="s">
        <v>1296</v>
      </c>
      <c r="AY236" s="6" t="s">
        <v>5568</v>
      </c>
      <c r="AZ236" s="6" t="s">
        <v>5740</v>
      </c>
      <c r="BA236" s="6" t="s">
        <v>5741</v>
      </c>
      <c r="BD236" s="6" t="s">
        <v>5742</v>
      </c>
      <c r="BE236" s="6" t="str">
        <f t="shared" si="6"/>
        <v>hp.com</v>
      </c>
      <c r="BF236" s="6" t="str">
        <f t="shared" si="7"/>
        <v>com</v>
      </c>
      <c r="BG236" s="6" t="s">
        <v>150</v>
      </c>
      <c r="BP236" s="6" t="s">
        <v>5743</v>
      </c>
      <c r="BQ236" s="6" t="s">
        <v>5744</v>
      </c>
      <c r="BR236" s="6" t="s">
        <v>105</v>
      </c>
    </row>
    <row r="237" spans="1:70" ht="45" customHeight="1" x14ac:dyDescent="0.25">
      <c r="A237" s="6">
        <v>237</v>
      </c>
      <c r="B237" s="7" t="s">
        <v>5745</v>
      </c>
      <c r="C237" s="8" t="s">
        <v>5746</v>
      </c>
      <c r="D237" s="6" t="s">
        <v>5747</v>
      </c>
      <c r="E237" s="8" t="s">
        <v>5748</v>
      </c>
      <c r="F237" s="8" t="s">
        <v>5748</v>
      </c>
      <c r="G237" s="6" t="s">
        <v>612</v>
      </c>
      <c r="H237" s="6" t="s">
        <v>613</v>
      </c>
      <c r="I237" s="6" t="s">
        <v>1305</v>
      </c>
      <c r="J237" s="6" t="s">
        <v>752</v>
      </c>
      <c r="K237" s="9">
        <v>50490</v>
      </c>
      <c r="L237" s="8" t="s">
        <v>5749</v>
      </c>
      <c r="N237" s="6">
        <v>3.1507953</v>
      </c>
      <c r="O237" s="6">
        <v>101.66410209999999</v>
      </c>
      <c r="P237" s="6" t="s">
        <v>5750</v>
      </c>
      <c r="Q237" s="6">
        <v>1</v>
      </c>
      <c r="R237" s="6" t="s">
        <v>79</v>
      </c>
      <c r="S237" s="6">
        <v>2015</v>
      </c>
      <c r="T237" s="6"/>
      <c r="X237" s="6" t="s">
        <v>5751</v>
      </c>
      <c r="Y237" s="6" t="s">
        <v>5752</v>
      </c>
      <c r="Z237" s="6" t="s">
        <v>5753</v>
      </c>
      <c r="AA237" s="6" t="s">
        <v>5754</v>
      </c>
      <c r="AB237" s="6" t="s">
        <v>5755</v>
      </c>
      <c r="AC237" s="6">
        <v>443142</v>
      </c>
      <c r="AD237" s="6" t="s">
        <v>2977</v>
      </c>
      <c r="AE237" s="6">
        <v>541512</v>
      </c>
      <c r="AF237" s="6" t="s">
        <v>2977</v>
      </c>
      <c r="AG237" s="6" t="s">
        <v>5756</v>
      </c>
      <c r="AH237" s="6" t="s">
        <v>5757</v>
      </c>
      <c r="AI237" s="6" t="s">
        <v>5758</v>
      </c>
      <c r="AJ237" s="6" t="s">
        <v>293</v>
      </c>
      <c r="AK237" s="6" t="s">
        <v>294</v>
      </c>
      <c r="AL237" s="6" t="s">
        <v>295</v>
      </c>
      <c r="AM237" s="6" t="s">
        <v>296</v>
      </c>
      <c r="AN237" s="6" t="s">
        <v>297</v>
      </c>
      <c r="AO237" s="6" t="s">
        <v>298</v>
      </c>
      <c r="AQ237" s="6">
        <v>7812</v>
      </c>
      <c r="AR237" s="6" t="s">
        <v>5759</v>
      </c>
      <c r="AT237" s="6">
        <v>5911</v>
      </c>
      <c r="AU237" s="6" t="s">
        <v>5760</v>
      </c>
      <c r="AV237" s="6">
        <v>59.11</v>
      </c>
      <c r="AW237" s="6" t="s">
        <v>5760</v>
      </c>
      <c r="AY237" s="6" t="s">
        <v>5761</v>
      </c>
      <c r="AZ237" s="6" t="s">
        <v>5761</v>
      </c>
      <c r="BD237" s="6" t="s">
        <v>5762</v>
      </c>
      <c r="BE237" s="6" t="str">
        <f t="shared" si="6"/>
        <v>hp.com</v>
      </c>
      <c r="BF237" s="6" t="str">
        <f t="shared" si="7"/>
        <v>com</v>
      </c>
      <c r="BG237" s="6" t="s">
        <v>101</v>
      </c>
      <c r="BP237" s="6" t="s">
        <v>5763</v>
      </c>
      <c r="BQ237" s="6" t="s">
        <v>5764</v>
      </c>
      <c r="BR237" s="6" t="s">
        <v>105</v>
      </c>
    </row>
    <row r="238" spans="1:70" ht="45" customHeight="1" x14ac:dyDescent="0.25">
      <c r="A238" s="6">
        <v>238</v>
      </c>
      <c r="B238" s="7" t="s">
        <v>5765</v>
      </c>
      <c r="C238" s="8" t="s">
        <v>5766</v>
      </c>
      <c r="D238" s="6" t="s">
        <v>5546</v>
      </c>
      <c r="E238" s="8" t="s">
        <v>5765</v>
      </c>
      <c r="F238" s="8" t="s">
        <v>5767</v>
      </c>
      <c r="G238" s="6" t="s">
        <v>315</v>
      </c>
      <c r="H238" s="6" t="s">
        <v>316</v>
      </c>
      <c r="J238" s="6" t="s">
        <v>316</v>
      </c>
      <c r="K238" s="9">
        <v>109841</v>
      </c>
      <c r="L238" s="8" t="s">
        <v>5575</v>
      </c>
      <c r="M238" s="9">
        <v>1</v>
      </c>
      <c r="N238" s="6">
        <v>1.2823681</v>
      </c>
      <c r="O238" s="6">
        <v>103.805136</v>
      </c>
      <c r="P238" s="6" t="s">
        <v>5768</v>
      </c>
      <c r="Q238" s="6">
        <v>1</v>
      </c>
      <c r="R238" s="6" t="s">
        <v>79</v>
      </c>
      <c r="S238" s="6">
        <v>2002</v>
      </c>
      <c r="T238" s="6">
        <v>935706</v>
      </c>
      <c r="U238" s="6" t="s">
        <v>80</v>
      </c>
      <c r="V238" s="6">
        <v>4</v>
      </c>
      <c r="W238" s="6" t="s">
        <v>167</v>
      </c>
      <c r="X238" s="6" t="s">
        <v>5769</v>
      </c>
      <c r="Y238" s="6" t="s">
        <v>5770</v>
      </c>
      <c r="Z238" s="6" t="s">
        <v>5771</v>
      </c>
      <c r="AA238" s="6" t="s">
        <v>5772</v>
      </c>
      <c r="AB238" s="6" t="s">
        <v>5773</v>
      </c>
      <c r="AC238" s="6">
        <v>813920</v>
      </c>
      <c r="AD238" s="10" t="str">
        <f>_xlfn.XLOOKUP(AC238,[1]Mapping!B:B,[1]Mapping!C:C,"")</f>
        <v xml:space="preserve">Professional Organizations </v>
      </c>
      <c r="AG238" s="6" t="s">
        <v>3686</v>
      </c>
      <c r="AH238" s="6" t="s">
        <v>3686</v>
      </c>
      <c r="AI238" s="6" t="s">
        <v>3687</v>
      </c>
      <c r="AQ238" s="6">
        <v>8621</v>
      </c>
      <c r="AR238" s="6" t="s">
        <v>3688</v>
      </c>
      <c r="AS238" s="6" t="s">
        <v>5774</v>
      </c>
      <c r="AT238" s="6">
        <v>9412</v>
      </c>
      <c r="AU238" s="6" t="s">
        <v>3690</v>
      </c>
      <c r="AV238" s="6">
        <v>94.12</v>
      </c>
      <c r="AW238" s="6" t="s">
        <v>3691</v>
      </c>
      <c r="AX238" s="6" t="s">
        <v>5775</v>
      </c>
      <c r="AY238" s="6" t="s">
        <v>5535</v>
      </c>
      <c r="BA238" s="6" t="s">
        <v>5776</v>
      </c>
      <c r="BD238" s="6" t="s">
        <v>5585</v>
      </c>
      <c r="BE238" s="6" t="str">
        <f t="shared" si="6"/>
        <v>hpe.com</v>
      </c>
      <c r="BF238" s="6" t="str">
        <f t="shared" si="7"/>
        <v>com</v>
      </c>
      <c r="BG238" s="6" t="s">
        <v>101</v>
      </c>
      <c r="BK238" s="6" t="s">
        <v>5777</v>
      </c>
      <c r="BP238" s="6" t="s">
        <v>5778</v>
      </c>
      <c r="BQ238" s="6" t="s">
        <v>5779</v>
      </c>
      <c r="BR238" s="6" t="s">
        <v>105</v>
      </c>
    </row>
    <row r="239" spans="1:70" ht="45" customHeight="1" x14ac:dyDescent="0.25">
      <c r="A239" s="6">
        <v>239</v>
      </c>
      <c r="B239" s="7" t="s">
        <v>5780</v>
      </c>
      <c r="C239" s="8" t="s">
        <v>5781</v>
      </c>
      <c r="D239" s="6" t="s">
        <v>5782</v>
      </c>
      <c r="E239" s="6" t="s">
        <v>5783</v>
      </c>
      <c r="F239" s="8" t="s">
        <v>5784</v>
      </c>
      <c r="G239" s="6" t="s">
        <v>315</v>
      </c>
      <c r="H239" s="6" t="s">
        <v>316</v>
      </c>
      <c r="I239" s="6"/>
      <c r="J239" s="6" t="s">
        <v>316</v>
      </c>
      <c r="K239" s="9">
        <v>486066</v>
      </c>
      <c r="L239" s="8" t="s">
        <v>2286</v>
      </c>
      <c r="M239" s="9">
        <v>51</v>
      </c>
      <c r="N239" s="6">
        <v>1.3347182</v>
      </c>
      <c r="O239" s="6">
        <v>103.96508110000001</v>
      </c>
      <c r="P239" s="6" t="s">
        <v>5785</v>
      </c>
      <c r="Q239" s="6">
        <v>2</v>
      </c>
      <c r="R239" s="6" t="s">
        <v>79</v>
      </c>
      <c r="T239" s="6"/>
      <c r="X239" s="6" t="s">
        <v>5786</v>
      </c>
      <c r="Y239" s="6" t="s">
        <v>989</v>
      </c>
      <c r="Z239" s="6" t="s">
        <v>5787</v>
      </c>
      <c r="AC239" s="6">
        <v>517810</v>
      </c>
      <c r="AD239" s="10" t="str">
        <f>_xlfn.XLOOKUP(AC239,[1]Mapping!B:B,[1]Mapping!C:C,"")</f>
        <v xml:space="preserve">All Other Telecommunications </v>
      </c>
      <c r="AG239" s="6" t="s">
        <v>89</v>
      </c>
      <c r="AH239" s="6" t="s">
        <v>86</v>
      </c>
      <c r="AI239" s="6" t="s">
        <v>87</v>
      </c>
      <c r="AQ239" s="6" t="s">
        <v>1384</v>
      </c>
      <c r="AR239" s="6" t="s">
        <v>1385</v>
      </c>
      <c r="AT239" s="6">
        <v>6190</v>
      </c>
      <c r="AU239" s="6" t="s">
        <v>96</v>
      </c>
      <c r="AV239" s="6">
        <v>61.9</v>
      </c>
      <c r="AW239" s="6" t="s">
        <v>96</v>
      </c>
      <c r="AY239" s="6" t="s">
        <v>5788</v>
      </c>
      <c r="AZ239" s="6">
        <v>6568254200</v>
      </c>
      <c r="BD239" s="6" t="s">
        <v>5789</v>
      </c>
      <c r="BE239" s="6" t="str">
        <f t="shared" si="6"/>
        <v>huawei.com</v>
      </c>
      <c r="BF239" s="6" t="str">
        <f t="shared" si="7"/>
        <v>com</v>
      </c>
      <c r="BG239" s="6" t="s">
        <v>101</v>
      </c>
      <c r="BQ239" s="6" t="s">
        <v>5790</v>
      </c>
      <c r="BR239" s="6" t="s">
        <v>105</v>
      </c>
    </row>
    <row r="240" spans="1:70" ht="45" customHeight="1" x14ac:dyDescent="0.25">
      <c r="A240" s="6">
        <v>240</v>
      </c>
      <c r="B240" s="7" t="s">
        <v>5791</v>
      </c>
      <c r="C240" s="8" t="s">
        <v>5792</v>
      </c>
      <c r="D240" s="6" t="s">
        <v>5793</v>
      </c>
      <c r="E240" s="6" t="s">
        <v>5794</v>
      </c>
      <c r="F240" s="8" t="s">
        <v>5795</v>
      </c>
      <c r="G240" s="6" t="s">
        <v>1659</v>
      </c>
      <c r="H240" s="6" t="s">
        <v>1660</v>
      </c>
      <c r="I240" s="6" t="s">
        <v>1661</v>
      </c>
      <c r="J240" s="6" t="s">
        <v>1662</v>
      </c>
      <c r="K240" s="9">
        <v>1212</v>
      </c>
      <c r="L240" s="8" t="s">
        <v>5796</v>
      </c>
      <c r="N240" s="6">
        <v>23.781922099999999</v>
      </c>
      <c r="O240" s="6">
        <v>90.416384100000002</v>
      </c>
      <c r="P240" s="6" t="s">
        <v>5797</v>
      </c>
      <c r="Q240" s="6">
        <v>3</v>
      </c>
      <c r="R240" s="6" t="s">
        <v>79</v>
      </c>
      <c r="T240" s="6">
        <v>7505</v>
      </c>
      <c r="U240" s="6" t="s">
        <v>80</v>
      </c>
      <c r="V240" s="6">
        <v>1</v>
      </c>
      <c r="W240" s="6" t="s">
        <v>167</v>
      </c>
      <c r="X240" s="6" t="s">
        <v>5798</v>
      </c>
      <c r="Y240" s="6" t="s">
        <v>5799</v>
      </c>
      <c r="Z240" s="6" t="s">
        <v>5800</v>
      </c>
      <c r="AA240" s="6" t="s">
        <v>5801</v>
      </c>
      <c r="AB240" s="6" t="s">
        <v>5802</v>
      </c>
      <c r="AC240" s="6">
        <v>813940</v>
      </c>
      <c r="AD240" s="10" t="str">
        <f>_xlfn.XLOOKUP(AC240,[1]Mapping!B:B,[1]Mapping!C:C,"")</f>
        <v xml:space="preserve">Political Organizations </v>
      </c>
      <c r="AG240" s="6" t="s">
        <v>5803</v>
      </c>
      <c r="AH240" s="6" t="s">
        <v>5803</v>
      </c>
      <c r="AI240" s="6" t="s">
        <v>3687</v>
      </c>
      <c r="AJ240" s="6" t="s">
        <v>653</v>
      </c>
      <c r="AK240" s="6" t="s">
        <v>654</v>
      </c>
      <c r="AL240" s="6" t="s">
        <v>655</v>
      </c>
      <c r="AM240" s="6" t="s">
        <v>656</v>
      </c>
      <c r="AN240" s="6" t="s">
        <v>655</v>
      </c>
      <c r="AO240" s="6" t="s">
        <v>657</v>
      </c>
      <c r="AQ240" s="6">
        <v>8651</v>
      </c>
      <c r="AR240" s="6" t="s">
        <v>5803</v>
      </c>
      <c r="AT240" s="6">
        <v>9492</v>
      </c>
      <c r="AU240" s="6" t="s">
        <v>5804</v>
      </c>
      <c r="AV240" s="6">
        <v>94.92</v>
      </c>
      <c r="AW240" s="6" t="s">
        <v>5805</v>
      </c>
      <c r="AY240" s="6" t="s">
        <v>5806</v>
      </c>
      <c r="AZ240" s="6">
        <v>8801530000000</v>
      </c>
      <c r="BA240" s="6" t="s">
        <v>5807</v>
      </c>
      <c r="BB240" s="6" t="s">
        <v>5807</v>
      </c>
      <c r="BD240" s="6" t="s">
        <v>5808</v>
      </c>
      <c r="BE240" s="6" t="str">
        <f t="shared" si="6"/>
        <v>consumer.huawei.com</v>
      </c>
      <c r="BF240" s="6" t="str">
        <f t="shared" si="7"/>
        <v>com</v>
      </c>
      <c r="BG240" s="6" t="s">
        <v>5809</v>
      </c>
      <c r="BH240" s="6" t="s">
        <v>5810</v>
      </c>
      <c r="BJ240" s="6" t="s">
        <v>5811</v>
      </c>
      <c r="BN240" s="6" t="s">
        <v>5812</v>
      </c>
      <c r="BP240" s="6" t="s">
        <v>5813</v>
      </c>
      <c r="BQ240" s="6" t="s">
        <v>5814</v>
      </c>
      <c r="BR240" s="6" t="s">
        <v>105</v>
      </c>
    </row>
    <row r="241" spans="1:70" ht="45" customHeight="1" x14ac:dyDescent="0.25">
      <c r="A241" s="6">
        <v>241</v>
      </c>
      <c r="B241" s="7" t="s">
        <v>5815</v>
      </c>
      <c r="C241" s="8" t="s">
        <v>5816</v>
      </c>
      <c r="D241" s="6" t="s">
        <v>5817</v>
      </c>
      <c r="E241" s="8" t="s">
        <v>5815</v>
      </c>
      <c r="F241" s="8" t="s">
        <v>5818</v>
      </c>
      <c r="G241" s="6" t="s">
        <v>73</v>
      </c>
      <c r="H241" s="6" t="s">
        <v>74</v>
      </c>
      <c r="J241" s="6" t="s">
        <v>486</v>
      </c>
      <c r="K241" s="9">
        <v>2450</v>
      </c>
      <c r="L241" s="8" t="s">
        <v>5819</v>
      </c>
      <c r="M241" s="9">
        <v>9</v>
      </c>
      <c r="N241" s="6">
        <v>55.653613200000002</v>
      </c>
      <c r="O241" s="6">
        <v>12.5455343</v>
      </c>
      <c r="P241" s="6" t="s">
        <v>5820</v>
      </c>
      <c r="Q241" s="6">
        <v>1</v>
      </c>
      <c r="R241" s="6" t="s">
        <v>79</v>
      </c>
      <c r="S241" s="6">
        <v>1987</v>
      </c>
      <c r="T241" s="6">
        <v>3379963</v>
      </c>
      <c r="U241" s="6" t="s">
        <v>80</v>
      </c>
      <c r="V241" s="6">
        <v>15</v>
      </c>
      <c r="W241" s="6" t="s">
        <v>167</v>
      </c>
      <c r="X241" s="6" t="s">
        <v>5821</v>
      </c>
      <c r="Y241" s="6" t="s">
        <v>5822</v>
      </c>
      <c r="Z241" s="6" t="s">
        <v>5823</v>
      </c>
      <c r="AA241" s="6" t="s">
        <v>5824</v>
      </c>
      <c r="AB241" s="6" t="s">
        <v>5825</v>
      </c>
      <c r="AC241" s="6">
        <v>518210</v>
      </c>
      <c r="AD241" s="10" t="str">
        <f>_xlfn.XLOOKUP(AC241,[1]Mapping!B:B,[1]Mapping!C:C,"")</f>
        <v>Computing Infrastructure Providers, Data Processing, Web Hosting, and Related Services</v>
      </c>
      <c r="AG241" s="6" t="s">
        <v>173</v>
      </c>
      <c r="AH241" s="6" t="s">
        <v>86</v>
      </c>
      <c r="AI241" s="6" t="s">
        <v>87</v>
      </c>
      <c r="AQ241" s="6" t="s">
        <v>178</v>
      </c>
      <c r="AR241" s="6" t="s">
        <v>179</v>
      </c>
      <c r="AT241" s="6" t="s">
        <v>181</v>
      </c>
      <c r="AU241" s="6" t="s">
        <v>182</v>
      </c>
      <c r="AV241" s="6" t="s">
        <v>183</v>
      </c>
      <c r="AW241" s="6" t="s">
        <v>184</v>
      </c>
      <c r="BE241" s="6" t="str">
        <f t="shared" si="6"/>
        <v/>
      </c>
      <c r="BF241" s="6" t="e">
        <f t="shared" si="7"/>
        <v>#VALUE!</v>
      </c>
      <c r="BK241" s="6" t="s">
        <v>5826</v>
      </c>
      <c r="BQ241" s="6" t="s">
        <v>5827</v>
      </c>
      <c r="BR241" s="6" t="s">
        <v>105</v>
      </c>
    </row>
    <row r="242" spans="1:70" ht="45" customHeight="1" x14ac:dyDescent="0.25">
      <c r="A242" s="6">
        <v>242</v>
      </c>
      <c r="B242" s="7" t="s">
        <v>5828</v>
      </c>
      <c r="C242" s="8" t="s">
        <v>5829</v>
      </c>
      <c r="D242" s="6" t="s">
        <v>5828</v>
      </c>
      <c r="E242" s="8" t="s">
        <v>5828</v>
      </c>
      <c r="F242" s="8" t="s">
        <v>5830</v>
      </c>
      <c r="G242" s="6" t="s">
        <v>612</v>
      </c>
      <c r="H242" s="6" t="s">
        <v>613</v>
      </c>
      <c r="I242" s="8" t="s">
        <v>751</v>
      </c>
      <c r="J242" s="6" t="s">
        <v>752</v>
      </c>
      <c r="K242" s="9">
        <v>50400</v>
      </c>
      <c r="L242" s="8" t="s">
        <v>5831</v>
      </c>
      <c r="M242" s="9">
        <v>348</v>
      </c>
      <c r="N242" s="6">
        <v>3.1610569000000002</v>
      </c>
      <c r="O242" s="6">
        <v>101.72040509999999</v>
      </c>
      <c r="P242" s="6" t="s">
        <v>5832</v>
      </c>
      <c r="Q242" s="6">
        <v>1</v>
      </c>
      <c r="R242" s="6" t="s">
        <v>79</v>
      </c>
      <c r="S242" s="6">
        <v>2018</v>
      </c>
      <c r="T242" s="6">
        <v>324803</v>
      </c>
      <c r="U242" s="6" t="s">
        <v>80</v>
      </c>
      <c r="V242" s="6">
        <v>10</v>
      </c>
      <c r="W242" s="6" t="s">
        <v>167</v>
      </c>
      <c r="X242" s="6" t="s">
        <v>5786</v>
      </c>
      <c r="Y242" s="6" t="s">
        <v>5833</v>
      </c>
      <c r="Z242" s="6" t="s">
        <v>5834</v>
      </c>
      <c r="AA242" s="6" t="s">
        <v>5835</v>
      </c>
      <c r="AB242" s="6" t="s">
        <v>5836</v>
      </c>
      <c r="AC242" s="6">
        <v>541511</v>
      </c>
      <c r="AD242" s="10" t="str">
        <f>_xlfn.XLOOKUP(AC242,[1]Mapping!B:B,[1]Mapping!C:C,"")</f>
        <v xml:space="preserve">Custom Computer Programming Services </v>
      </c>
      <c r="AG242" s="6" t="s">
        <v>1335</v>
      </c>
      <c r="AH242" s="6" t="s">
        <v>1336</v>
      </c>
      <c r="AI242" s="6" t="s">
        <v>500</v>
      </c>
      <c r="AJ242" s="6" t="s">
        <v>174</v>
      </c>
      <c r="AK242" s="6" t="s">
        <v>175</v>
      </c>
      <c r="AL242" s="6" t="s">
        <v>176</v>
      </c>
      <c r="AM242" s="6" t="s">
        <v>177</v>
      </c>
      <c r="AN242" s="6" t="s">
        <v>91</v>
      </c>
      <c r="AO242" s="6" t="s">
        <v>92</v>
      </c>
      <c r="AQ242" s="6">
        <v>7371</v>
      </c>
      <c r="AR242" s="6" t="s">
        <v>504</v>
      </c>
      <c r="AS242" s="6" t="s">
        <v>1973</v>
      </c>
      <c r="AT242" s="6">
        <v>6201</v>
      </c>
      <c r="AU242" s="6" t="s">
        <v>505</v>
      </c>
      <c r="AV242" s="6">
        <v>62.01</v>
      </c>
      <c r="AW242" s="6" t="s">
        <v>505</v>
      </c>
      <c r="AX242" s="6" t="s">
        <v>1974</v>
      </c>
      <c r="AY242" s="6" t="s">
        <v>5837</v>
      </c>
      <c r="AZ242" s="6" t="s">
        <v>5838</v>
      </c>
      <c r="BA242" s="6" t="s">
        <v>5839</v>
      </c>
      <c r="BB242" s="6" t="s">
        <v>5839</v>
      </c>
      <c r="BD242" s="6" t="s">
        <v>5840</v>
      </c>
      <c r="BE242" s="6" t="str">
        <f t="shared" si="6"/>
        <v>huawei.com</v>
      </c>
      <c r="BF242" s="6" t="str">
        <f t="shared" si="7"/>
        <v>com</v>
      </c>
      <c r="BG242" s="6" t="s">
        <v>101</v>
      </c>
      <c r="BH242" s="6" t="s">
        <v>5841</v>
      </c>
      <c r="BI242" s="6" t="s">
        <v>5842</v>
      </c>
      <c r="BJ242" s="6" t="s">
        <v>5843</v>
      </c>
      <c r="BK242" s="6" t="s">
        <v>5844</v>
      </c>
      <c r="BP242" s="6" t="s">
        <v>5845</v>
      </c>
      <c r="BQ242" s="6" t="s">
        <v>5846</v>
      </c>
      <c r="BR242" s="6" t="s">
        <v>105</v>
      </c>
    </row>
    <row r="243" spans="1:70" ht="45" customHeight="1" x14ac:dyDescent="0.25">
      <c r="A243" s="6">
        <v>243</v>
      </c>
      <c r="B243" s="7" t="s">
        <v>5847</v>
      </c>
      <c r="C243" s="8" t="s">
        <v>5848</v>
      </c>
      <c r="D243" s="6" t="s">
        <v>5849</v>
      </c>
      <c r="E243" s="8" t="s">
        <v>5850</v>
      </c>
      <c r="F243" s="8" t="s">
        <v>5850</v>
      </c>
      <c r="G243" s="6" t="s">
        <v>1324</v>
      </c>
      <c r="H243" s="6" t="s">
        <v>1325</v>
      </c>
      <c r="I243" s="6" t="s">
        <v>1326</v>
      </c>
      <c r="J243" s="6" t="s">
        <v>1327</v>
      </c>
      <c r="K243" s="9">
        <v>10310</v>
      </c>
      <c r="L243" s="8" t="s">
        <v>5851</v>
      </c>
      <c r="N243" s="6">
        <v>13.7571484</v>
      </c>
      <c r="O243" s="6">
        <v>100.56600280000001</v>
      </c>
      <c r="P243" s="6" t="s">
        <v>5852</v>
      </c>
      <c r="Q243" s="6">
        <v>1</v>
      </c>
      <c r="R243" s="6" t="s">
        <v>79</v>
      </c>
      <c r="T243" s="6"/>
      <c r="X243" s="6" t="s">
        <v>5786</v>
      </c>
      <c r="Y243" s="6" t="s">
        <v>5853</v>
      </c>
      <c r="Z243" s="6" t="s">
        <v>5854</v>
      </c>
      <c r="AC243" s="6">
        <v>238310</v>
      </c>
      <c r="AD243" s="10" t="str">
        <f>_xlfn.XLOOKUP(AC243,[1]Mapping!B:B,[1]Mapping!C:C,"")</f>
        <v xml:space="preserve">Drywall and Insulation Contractors </v>
      </c>
      <c r="AG243" s="6" t="s">
        <v>5855</v>
      </c>
      <c r="AH243" s="6" t="s">
        <v>291</v>
      </c>
      <c r="AI243" s="6" t="s">
        <v>292</v>
      </c>
      <c r="AJ243" s="6" t="s">
        <v>653</v>
      </c>
      <c r="AK243" s="6" t="s">
        <v>654</v>
      </c>
      <c r="AL243" s="6" t="s">
        <v>655</v>
      </c>
      <c r="AM243" s="6" t="s">
        <v>656</v>
      </c>
      <c r="AN243" s="6" t="s">
        <v>655</v>
      </c>
      <c r="AO243" s="6" t="s">
        <v>657</v>
      </c>
      <c r="AQ243" s="6" t="s">
        <v>5856</v>
      </c>
      <c r="AR243" s="6" t="s">
        <v>5857</v>
      </c>
      <c r="AT243" s="6" t="s">
        <v>5858</v>
      </c>
      <c r="AU243" s="6" t="s">
        <v>5859</v>
      </c>
      <c r="AV243" s="6" t="s">
        <v>5860</v>
      </c>
      <c r="AW243" s="6" t="s">
        <v>5861</v>
      </c>
      <c r="AY243" s="6" t="s">
        <v>5862</v>
      </c>
      <c r="AZ243" s="6" t="s">
        <v>5863</v>
      </c>
      <c r="BD243" s="6" t="s">
        <v>5864</v>
      </c>
      <c r="BE243" s="6" t="str">
        <f t="shared" si="6"/>
        <v>huawei.com</v>
      </c>
      <c r="BF243" s="6" t="str">
        <f t="shared" si="7"/>
        <v>com</v>
      </c>
      <c r="BG243" s="6" t="s">
        <v>1851</v>
      </c>
      <c r="BQ243" s="6" t="s">
        <v>5865</v>
      </c>
      <c r="BR243" s="6" t="s">
        <v>105</v>
      </c>
    </row>
    <row r="244" spans="1:70" ht="45" customHeight="1" x14ac:dyDescent="0.25">
      <c r="A244" s="6">
        <v>244</v>
      </c>
      <c r="B244" s="7" t="s">
        <v>5866</v>
      </c>
      <c r="C244" s="8" t="s">
        <v>5867</v>
      </c>
      <c r="D244" s="6" t="s">
        <v>5868</v>
      </c>
      <c r="E244" s="8" t="s">
        <v>5866</v>
      </c>
      <c r="F244" s="8" t="s">
        <v>5868</v>
      </c>
      <c r="G244" s="6" t="s">
        <v>130</v>
      </c>
      <c r="H244" s="6" t="s">
        <v>131</v>
      </c>
      <c r="I244" s="8" t="s">
        <v>2572</v>
      </c>
      <c r="J244" s="6" t="s">
        <v>4300</v>
      </c>
      <c r="K244" s="9">
        <v>1364</v>
      </c>
      <c r="L244" s="8" t="s">
        <v>5558</v>
      </c>
      <c r="M244" s="9" t="s">
        <v>5093</v>
      </c>
      <c r="N244" s="6">
        <v>59.894110499999996</v>
      </c>
      <c r="O244" s="6">
        <v>10.6285755</v>
      </c>
      <c r="P244" s="6" t="s">
        <v>5869</v>
      </c>
      <c r="Q244" s="6">
        <v>1</v>
      </c>
      <c r="S244" s="6">
        <v>2007</v>
      </c>
      <c r="T244" s="6"/>
      <c r="X244" s="6" t="s">
        <v>5798</v>
      </c>
      <c r="Y244" s="6" t="s">
        <v>5870</v>
      </c>
      <c r="Z244" s="6" t="s">
        <v>5871</v>
      </c>
      <c r="AA244" s="6" t="s">
        <v>5872</v>
      </c>
      <c r="AB244" s="6" t="s">
        <v>5873</v>
      </c>
      <c r="AC244" s="6">
        <v>334220</v>
      </c>
      <c r="AD244" s="10" t="str">
        <f>_xlfn.XLOOKUP(AC244,[1]Mapping!B:B,[1]Mapping!C:C,"")</f>
        <v>Radio and Television Broadcasting and Wireless Communications Equipment Manufacturing</v>
      </c>
      <c r="AE244" s="6" t="s">
        <v>4287</v>
      </c>
      <c r="AF244" s="6" t="s">
        <v>2376</v>
      </c>
      <c r="AG244" s="6" t="s">
        <v>5874</v>
      </c>
      <c r="AH244" s="6" t="s">
        <v>5875</v>
      </c>
      <c r="AI244" s="6" t="s">
        <v>499</v>
      </c>
      <c r="AQ244" s="6">
        <v>3663</v>
      </c>
      <c r="AR244" s="6" t="s">
        <v>2683</v>
      </c>
      <c r="AT244" s="6">
        <v>2630</v>
      </c>
      <c r="AU244" s="6" t="s">
        <v>2684</v>
      </c>
      <c r="AV244" s="6">
        <v>26.3</v>
      </c>
      <c r="AW244" s="6" t="s">
        <v>2684</v>
      </c>
      <c r="AY244" s="6" t="s">
        <v>5876</v>
      </c>
      <c r="AZ244" s="6" t="s">
        <v>5877</v>
      </c>
      <c r="BD244" s="6" t="s">
        <v>5878</v>
      </c>
      <c r="BE244" s="6" t="str">
        <f t="shared" si="6"/>
        <v>consumer.huawei.com</v>
      </c>
      <c r="BF244" s="6" t="str">
        <f t="shared" si="7"/>
        <v>com</v>
      </c>
      <c r="BG244" s="6" t="s">
        <v>101</v>
      </c>
      <c r="BH244" s="6" t="s">
        <v>5810</v>
      </c>
      <c r="BJ244" s="6" t="s">
        <v>5811</v>
      </c>
      <c r="BN244" s="6" t="s">
        <v>5812</v>
      </c>
      <c r="BQ244" s="6" t="s">
        <v>5879</v>
      </c>
      <c r="BR244" s="6" t="s">
        <v>105</v>
      </c>
    </row>
    <row r="245" spans="1:70" ht="45" customHeight="1" x14ac:dyDescent="0.25">
      <c r="A245" s="6">
        <v>245</v>
      </c>
      <c r="B245" s="7" t="s">
        <v>5880</v>
      </c>
      <c r="C245" s="8" t="s">
        <v>5881</v>
      </c>
      <c r="D245" s="6" t="s">
        <v>5882</v>
      </c>
      <c r="E245" s="8" t="s">
        <v>5880</v>
      </c>
      <c r="F245" s="8" t="s">
        <v>5883</v>
      </c>
      <c r="G245" s="6" t="s">
        <v>1400</v>
      </c>
      <c r="H245" s="6" t="s">
        <v>1401</v>
      </c>
      <c r="I245" s="8" t="s">
        <v>3964</v>
      </c>
      <c r="J245" s="6" t="s">
        <v>3965</v>
      </c>
      <c r="L245" s="8" t="s">
        <v>5884</v>
      </c>
      <c r="N245" s="6">
        <v>33.682379500000003</v>
      </c>
      <c r="O245" s="6">
        <v>73.040062800000001</v>
      </c>
      <c r="P245" s="6" t="s">
        <v>5885</v>
      </c>
      <c r="Q245" s="6">
        <v>1</v>
      </c>
      <c r="R245" s="6" t="s">
        <v>79</v>
      </c>
      <c r="T245" s="6">
        <v>17892092</v>
      </c>
      <c r="U245" s="6" t="s">
        <v>80</v>
      </c>
      <c r="V245" s="6">
        <v>1200</v>
      </c>
      <c r="W245" s="6" t="s">
        <v>167</v>
      </c>
      <c r="X245" s="6" t="s">
        <v>5786</v>
      </c>
      <c r="Y245" s="6" t="s">
        <v>5886</v>
      </c>
      <c r="Z245" s="6" t="s">
        <v>5786</v>
      </c>
      <c r="AA245" s="6" t="s">
        <v>5887</v>
      </c>
      <c r="AB245" s="6" t="s">
        <v>5888</v>
      </c>
      <c r="AC245" s="6">
        <v>517810</v>
      </c>
      <c r="AD245" s="10" t="str">
        <f>_xlfn.XLOOKUP(AC245,[1]Mapping!B:B,[1]Mapping!C:C,"")</f>
        <v xml:space="preserve">All Other Telecommunications </v>
      </c>
      <c r="AG245" s="6" t="s">
        <v>89</v>
      </c>
      <c r="AH245" s="6" t="s">
        <v>86</v>
      </c>
      <c r="AI245" s="6" t="s">
        <v>87</v>
      </c>
      <c r="AQ245" s="6" t="s">
        <v>1384</v>
      </c>
      <c r="AR245" s="6" t="s">
        <v>1385</v>
      </c>
      <c r="AS245" s="6" t="s">
        <v>5889</v>
      </c>
      <c r="AT245" s="6">
        <v>6190</v>
      </c>
      <c r="AU245" s="6" t="s">
        <v>96</v>
      </c>
      <c r="AV245" s="6">
        <v>61.9</v>
      </c>
      <c r="AW245" s="6" t="s">
        <v>96</v>
      </c>
      <c r="AX245" s="6" t="s">
        <v>5890</v>
      </c>
      <c r="AY245" s="6" t="s">
        <v>5891</v>
      </c>
      <c r="BD245" s="6" t="s">
        <v>5864</v>
      </c>
      <c r="BE245" s="6" t="str">
        <f t="shared" si="6"/>
        <v>huawei.com</v>
      </c>
      <c r="BF245" s="6" t="str">
        <f t="shared" si="7"/>
        <v>com</v>
      </c>
      <c r="BG245" s="6" t="s">
        <v>101</v>
      </c>
      <c r="BK245" s="6" t="s">
        <v>5892</v>
      </c>
      <c r="BQ245" s="6" t="s">
        <v>5893</v>
      </c>
      <c r="BR245" s="6" t="s">
        <v>105</v>
      </c>
    </row>
    <row r="246" spans="1:70" ht="45" customHeight="1" x14ac:dyDescent="0.25">
      <c r="A246" s="6">
        <v>246</v>
      </c>
      <c r="B246" s="7" t="s">
        <v>5894</v>
      </c>
      <c r="C246" s="8" t="s">
        <v>5895</v>
      </c>
      <c r="D246" s="6" t="s">
        <v>5894</v>
      </c>
      <c r="E246" s="8" t="s">
        <v>5894</v>
      </c>
      <c r="F246" s="8" t="s">
        <v>5896</v>
      </c>
      <c r="G246" s="6" t="s">
        <v>160</v>
      </c>
      <c r="H246" s="6" t="s">
        <v>161</v>
      </c>
      <c r="I246" s="8" t="s">
        <v>281</v>
      </c>
      <c r="J246" s="6" t="s">
        <v>1350</v>
      </c>
      <c r="K246" s="9" t="s">
        <v>5897</v>
      </c>
      <c r="L246" s="8" t="s">
        <v>1352</v>
      </c>
      <c r="M246" s="9" t="s">
        <v>5898</v>
      </c>
      <c r="N246" s="6">
        <v>59.373865100000003</v>
      </c>
      <c r="O246" s="6">
        <v>18.015755800000001</v>
      </c>
      <c r="P246" s="6" t="s">
        <v>4281</v>
      </c>
      <c r="Q246" s="6">
        <v>1</v>
      </c>
      <c r="S246" s="6">
        <v>2000</v>
      </c>
      <c r="T246" s="6"/>
      <c r="X246" s="6" t="s">
        <v>5899</v>
      </c>
      <c r="Y246" s="6" t="s">
        <v>5900</v>
      </c>
      <c r="Z246" s="6" t="s">
        <v>5901</v>
      </c>
      <c r="AA246" s="6" t="s">
        <v>5902</v>
      </c>
      <c r="AB246" s="6" t="s">
        <v>5903</v>
      </c>
      <c r="AC246" s="6">
        <v>541715</v>
      </c>
      <c r="AD246" s="10" t="str">
        <f>_xlfn.XLOOKUP(AC246,[1]Mapping!B:B,[1]Mapping!C:C,"")</f>
        <v xml:space="preserve">Research and Development in the Physical, Engineering, and Life Sciences (except Nanotechnology and Biotechnology) </v>
      </c>
      <c r="AE246" s="6" t="s">
        <v>5904</v>
      </c>
      <c r="AF246" s="6" t="s">
        <v>4540</v>
      </c>
      <c r="AG246" s="6" t="s">
        <v>5905</v>
      </c>
      <c r="AH246" s="6" t="s">
        <v>5906</v>
      </c>
      <c r="AI246" s="6" t="s">
        <v>499</v>
      </c>
      <c r="AJ246" s="6" t="s">
        <v>500</v>
      </c>
      <c r="AK246" s="6" t="s">
        <v>501</v>
      </c>
      <c r="AL246" s="6" t="s">
        <v>502</v>
      </c>
      <c r="AM246" s="6" t="s">
        <v>503</v>
      </c>
      <c r="AN246" s="6" t="s">
        <v>297</v>
      </c>
      <c r="AO246" s="6" t="s">
        <v>298</v>
      </c>
      <c r="AQ246" s="6">
        <v>3663</v>
      </c>
      <c r="AR246" s="6" t="s">
        <v>2683</v>
      </c>
      <c r="AT246" s="6">
        <v>7210</v>
      </c>
      <c r="AU246" s="6" t="s">
        <v>5907</v>
      </c>
      <c r="AV246" s="6">
        <v>72.19</v>
      </c>
      <c r="AW246" s="6" t="s">
        <v>5908</v>
      </c>
      <c r="AY246" s="6" t="s">
        <v>5909</v>
      </c>
      <c r="AZ246" s="6" t="s">
        <v>5910</v>
      </c>
      <c r="BD246" s="6" t="s">
        <v>5911</v>
      </c>
      <c r="BE246" s="6" t="str">
        <f t="shared" si="6"/>
        <v>huawei.com</v>
      </c>
      <c r="BF246" s="6" t="str">
        <f t="shared" si="7"/>
        <v>com</v>
      </c>
      <c r="BG246" s="6" t="s">
        <v>308</v>
      </c>
      <c r="BQ246" s="6" t="s">
        <v>5912</v>
      </c>
      <c r="BR246" s="6" t="s">
        <v>105</v>
      </c>
    </row>
    <row r="247" spans="1:70" ht="45" customHeight="1" x14ac:dyDescent="0.25">
      <c r="A247" s="6">
        <v>247</v>
      </c>
      <c r="B247" s="7" t="s">
        <v>5913</v>
      </c>
      <c r="C247" s="8" t="s">
        <v>5914</v>
      </c>
      <c r="D247" s="6" t="s">
        <v>5915</v>
      </c>
      <c r="E247" s="8" t="s">
        <v>5916</v>
      </c>
      <c r="F247" s="8" t="s">
        <v>5916</v>
      </c>
      <c r="G247" s="6" t="s">
        <v>73</v>
      </c>
      <c r="H247" s="6" t="s">
        <v>74</v>
      </c>
      <c r="I247" s="6"/>
      <c r="J247" s="6" t="s">
        <v>5917</v>
      </c>
      <c r="K247" s="9">
        <v>3500</v>
      </c>
      <c r="L247" s="8" t="s">
        <v>5918</v>
      </c>
      <c r="M247" s="9">
        <v>14</v>
      </c>
      <c r="N247" s="6">
        <v>55.782221100000008</v>
      </c>
      <c r="O247" s="6">
        <v>12.366638200000001</v>
      </c>
      <c r="P247" s="6" t="s">
        <v>5919</v>
      </c>
      <c r="Q247" s="6">
        <v>1</v>
      </c>
      <c r="R247" s="6" t="s">
        <v>79</v>
      </c>
      <c r="T247" s="6"/>
      <c r="X247" s="6" t="s">
        <v>5920</v>
      </c>
      <c r="Y247" s="6" t="s">
        <v>5921</v>
      </c>
      <c r="Z247" s="6" t="s">
        <v>5922</v>
      </c>
      <c r="AC247" s="6">
        <v>423690</v>
      </c>
      <c r="AD247" s="10" t="str">
        <f>_xlfn.XLOOKUP(AC247,[1]Mapping!B:B,[1]Mapping!C:C,"")</f>
        <v xml:space="preserve">Other Electronic Parts and Equipment Merchant Wholesalers </v>
      </c>
      <c r="AG247" s="6" t="s">
        <v>1184</v>
      </c>
      <c r="AH247" s="6" t="s">
        <v>432</v>
      </c>
      <c r="AI247" s="6" t="s">
        <v>733</v>
      </c>
      <c r="AQ247" s="6">
        <v>5065</v>
      </c>
      <c r="AR247" s="6" t="s">
        <v>1769</v>
      </c>
      <c r="AT247" s="6" t="s">
        <v>1770</v>
      </c>
      <c r="AU247" s="6" t="s">
        <v>1771</v>
      </c>
      <c r="AV247" s="6" t="s">
        <v>1772</v>
      </c>
      <c r="AW247" s="6" t="s">
        <v>1773</v>
      </c>
      <c r="AY247" s="6" t="s">
        <v>5923</v>
      </c>
      <c r="BE247" s="6" t="str">
        <f t="shared" si="6"/>
        <v/>
      </c>
      <c r="BF247" s="6" t="e">
        <f t="shared" si="7"/>
        <v>#VALUE!</v>
      </c>
      <c r="BQ247" s="6" t="s">
        <v>5924</v>
      </c>
      <c r="BR247" s="6" t="s">
        <v>105</v>
      </c>
    </row>
    <row r="248" spans="1:70" ht="45" customHeight="1" x14ac:dyDescent="0.25">
      <c r="A248" s="6">
        <v>248</v>
      </c>
      <c r="B248" s="7" t="s">
        <v>5925</v>
      </c>
      <c r="C248" s="8" t="s">
        <v>5926</v>
      </c>
      <c r="D248" s="6" t="s">
        <v>5927</v>
      </c>
      <c r="E248" s="6" t="s">
        <v>5928</v>
      </c>
      <c r="F248" s="8" t="s">
        <v>5929</v>
      </c>
      <c r="G248" s="6" t="s">
        <v>594</v>
      </c>
      <c r="H248" s="6" t="s">
        <v>595</v>
      </c>
      <c r="I248" s="6" t="s">
        <v>5930</v>
      </c>
      <c r="J248" s="6" t="s">
        <v>5931</v>
      </c>
      <c r="K248" s="9">
        <v>9100</v>
      </c>
      <c r="L248" s="8" t="s">
        <v>5932</v>
      </c>
      <c r="M248" s="9">
        <v>14</v>
      </c>
      <c r="N248" s="6">
        <v>47.385042299999988</v>
      </c>
      <c r="O248" s="6">
        <v>9.2722525999999998</v>
      </c>
      <c r="P248" s="6" t="s">
        <v>5933</v>
      </c>
      <c r="Q248" s="6">
        <v>30</v>
      </c>
      <c r="R248" s="6" t="s">
        <v>906</v>
      </c>
      <c r="S248" s="6">
        <v>1864</v>
      </c>
      <c r="T248" s="6">
        <v>1000000000</v>
      </c>
      <c r="U248" s="6" t="s">
        <v>167</v>
      </c>
      <c r="V248" s="6">
        <v>4500</v>
      </c>
      <c r="W248" s="6" t="s">
        <v>80</v>
      </c>
      <c r="X248" s="6" t="s">
        <v>5934</v>
      </c>
      <c r="Y248" s="6" t="s">
        <v>5935</v>
      </c>
      <c r="Z248" s="6" t="s">
        <v>5936</v>
      </c>
      <c r="AA248" s="6" t="s">
        <v>5937</v>
      </c>
      <c r="AB248" s="6" t="s">
        <v>5938</v>
      </c>
      <c r="AC248" s="6">
        <v>335929</v>
      </c>
      <c r="AD248" s="10" t="str">
        <f>_xlfn.XLOOKUP(AC248,[1]Mapping!B:B,[1]Mapping!C:C,"")</f>
        <v xml:space="preserve">Other Communication and Energy Wire Manufacturing </v>
      </c>
      <c r="AE248" s="6" t="s">
        <v>5939</v>
      </c>
      <c r="AF248" s="6" t="s">
        <v>5940</v>
      </c>
      <c r="AG248" s="6" t="s">
        <v>5941</v>
      </c>
      <c r="AH248" s="6" t="s">
        <v>5942</v>
      </c>
      <c r="AI248" s="6" t="s">
        <v>431</v>
      </c>
      <c r="AJ248" s="6" t="s">
        <v>467</v>
      </c>
      <c r="AK248" s="6" t="s">
        <v>468</v>
      </c>
      <c r="AL248" s="6" t="s">
        <v>434</v>
      </c>
      <c r="AM248" s="6" t="s">
        <v>435</v>
      </c>
      <c r="AN248" s="6" t="s">
        <v>436</v>
      </c>
      <c r="AO248" s="6" t="s">
        <v>437</v>
      </c>
      <c r="AQ248" s="6">
        <v>3678</v>
      </c>
      <c r="AR248" s="6" t="s">
        <v>629</v>
      </c>
      <c r="AS248" s="6" t="s">
        <v>5943</v>
      </c>
      <c r="AT248" s="6">
        <v>2731</v>
      </c>
      <c r="AU248" s="6" t="s">
        <v>5944</v>
      </c>
      <c r="AV248" s="6">
        <v>27.32</v>
      </c>
      <c r="AW248" s="6" t="s">
        <v>439</v>
      </c>
      <c r="AX248" s="6" t="s">
        <v>5945</v>
      </c>
      <c r="AY248" s="6" t="s">
        <v>5946</v>
      </c>
      <c r="AZ248" s="6" t="s">
        <v>5947</v>
      </c>
      <c r="BA248" s="6" t="s">
        <v>5948</v>
      </c>
      <c r="BB248" s="6" t="s">
        <v>5949</v>
      </c>
      <c r="BC248" s="6" t="s">
        <v>5950</v>
      </c>
      <c r="BD248" s="6" t="s">
        <v>5951</v>
      </c>
      <c r="BE248" s="6" t="str">
        <f t="shared" si="6"/>
        <v>hubersuhner.com</v>
      </c>
      <c r="BF248" s="6" t="str">
        <f t="shared" si="7"/>
        <v>com</v>
      </c>
      <c r="BG248" s="6" t="s">
        <v>101</v>
      </c>
      <c r="BH248" s="6" t="s">
        <v>5952</v>
      </c>
      <c r="BI248" s="6" t="s">
        <v>5953</v>
      </c>
      <c r="BJ248" s="6" t="s">
        <v>5954</v>
      </c>
      <c r="BK248" s="6" t="s">
        <v>5955</v>
      </c>
      <c r="BL248" s="6" t="s">
        <v>5956</v>
      </c>
      <c r="BN248" s="6" t="s">
        <v>5957</v>
      </c>
      <c r="BP248" s="6" t="s">
        <v>5958</v>
      </c>
      <c r="BQ248" s="6" t="s">
        <v>5959</v>
      </c>
      <c r="BR248" s="6" t="s">
        <v>105</v>
      </c>
    </row>
    <row r="249" spans="1:70" ht="45" customHeight="1" x14ac:dyDescent="0.25">
      <c r="A249" s="6">
        <v>249</v>
      </c>
      <c r="B249" s="7" t="s">
        <v>5960</v>
      </c>
      <c r="C249" s="8" t="s">
        <v>5926</v>
      </c>
      <c r="D249" s="6" t="s">
        <v>5961</v>
      </c>
      <c r="E249" s="6" t="s">
        <v>5928</v>
      </c>
      <c r="F249" s="8" t="s">
        <v>5929</v>
      </c>
      <c r="G249" s="6" t="s">
        <v>2781</v>
      </c>
      <c r="H249" s="6" t="s">
        <v>2782</v>
      </c>
      <c r="I249" s="6" t="s">
        <v>2783</v>
      </c>
      <c r="J249" s="6" t="s">
        <v>2784</v>
      </c>
      <c r="K249" s="9">
        <v>122503</v>
      </c>
      <c r="L249" s="8" t="s">
        <v>5962</v>
      </c>
      <c r="N249" s="6">
        <v>28.370637899999998</v>
      </c>
      <c r="O249" s="6">
        <v>76.880594800000011</v>
      </c>
      <c r="P249" s="6" t="s">
        <v>5933</v>
      </c>
      <c r="Q249" s="6">
        <v>30</v>
      </c>
      <c r="R249" s="6" t="s">
        <v>906</v>
      </c>
      <c r="S249" s="6">
        <v>1969</v>
      </c>
      <c r="T249" s="6">
        <v>1000000000</v>
      </c>
      <c r="U249" s="6" t="s">
        <v>167</v>
      </c>
      <c r="V249" s="6">
        <v>4500</v>
      </c>
      <c r="W249" s="6" t="s">
        <v>80</v>
      </c>
      <c r="X249" s="6" t="s">
        <v>5937</v>
      </c>
      <c r="Y249" s="6" t="s">
        <v>5963</v>
      </c>
      <c r="Z249" s="6" t="s">
        <v>5964</v>
      </c>
      <c r="AA249" s="6" t="s">
        <v>5965</v>
      </c>
      <c r="AB249" s="6" t="s">
        <v>5966</v>
      </c>
      <c r="AC249" s="6">
        <v>334417</v>
      </c>
      <c r="AD249" s="10" t="str">
        <f>_xlfn.XLOOKUP(AC249,[1]Mapping!B:B,[1]Mapping!C:C,"")</f>
        <v xml:space="preserve">Electronic Connector Manufacturing </v>
      </c>
      <c r="AG249" s="6" t="s">
        <v>1184</v>
      </c>
      <c r="AH249" s="6" t="s">
        <v>432</v>
      </c>
      <c r="AI249" s="6" t="s">
        <v>733</v>
      </c>
      <c r="AJ249" s="6" t="s">
        <v>467</v>
      </c>
      <c r="AK249" s="6" t="s">
        <v>468</v>
      </c>
      <c r="AL249" s="6" t="s">
        <v>434</v>
      </c>
      <c r="AM249" s="6" t="s">
        <v>435</v>
      </c>
      <c r="AN249" s="6" t="s">
        <v>436</v>
      </c>
      <c r="AO249" s="6" t="s">
        <v>437</v>
      </c>
      <c r="AQ249" s="6">
        <v>3678</v>
      </c>
      <c r="AR249" s="6" t="s">
        <v>629</v>
      </c>
      <c r="AS249" s="6" t="s">
        <v>5943</v>
      </c>
      <c r="AT249" s="6">
        <v>2610</v>
      </c>
      <c r="AU249" s="6" t="s">
        <v>5967</v>
      </c>
      <c r="AV249" s="6" t="s">
        <v>5968</v>
      </c>
      <c r="AW249" s="6" t="s">
        <v>5969</v>
      </c>
      <c r="AX249" s="6" t="s">
        <v>5945</v>
      </c>
      <c r="AY249" s="6" t="s">
        <v>5970</v>
      </c>
      <c r="AZ249" s="6" t="s">
        <v>5971</v>
      </c>
      <c r="BA249" s="6" t="s">
        <v>5948</v>
      </c>
      <c r="BB249" s="6" t="s">
        <v>5949</v>
      </c>
      <c r="BC249" s="6" t="s">
        <v>5950</v>
      </c>
      <c r="BD249" s="6" t="s">
        <v>5951</v>
      </c>
      <c r="BE249" s="6" t="str">
        <f t="shared" si="6"/>
        <v>hubersuhner.com</v>
      </c>
      <c r="BF249" s="6" t="str">
        <f t="shared" si="7"/>
        <v>com</v>
      </c>
      <c r="BG249" s="6" t="s">
        <v>101</v>
      </c>
      <c r="BH249" s="6" t="s">
        <v>5952</v>
      </c>
      <c r="BI249" s="6" t="s">
        <v>5953</v>
      </c>
      <c r="BJ249" s="6" t="s">
        <v>5954</v>
      </c>
      <c r="BK249" s="6" t="s">
        <v>5955</v>
      </c>
      <c r="BL249" s="6" t="s">
        <v>5956</v>
      </c>
      <c r="BN249" s="6" t="s">
        <v>5957</v>
      </c>
      <c r="BP249" s="6" t="s">
        <v>5958</v>
      </c>
      <c r="BQ249" s="6" t="s">
        <v>5959</v>
      </c>
      <c r="BR249" s="6" t="s">
        <v>105</v>
      </c>
    </row>
    <row r="250" spans="1:70" ht="45" customHeight="1" x14ac:dyDescent="0.25">
      <c r="A250" s="6">
        <v>250</v>
      </c>
      <c r="B250" s="7" t="s">
        <v>5972</v>
      </c>
      <c r="C250" s="8" t="s">
        <v>5973</v>
      </c>
      <c r="D250" s="6" t="s">
        <v>5972</v>
      </c>
      <c r="E250" s="6" t="s">
        <v>5974</v>
      </c>
      <c r="F250" s="8" t="s">
        <v>5975</v>
      </c>
      <c r="G250" s="6" t="s">
        <v>1400</v>
      </c>
      <c r="H250" s="6" t="s">
        <v>1401</v>
      </c>
      <c r="I250" s="6" t="s">
        <v>1402</v>
      </c>
      <c r="J250" s="6" t="s">
        <v>1403</v>
      </c>
      <c r="L250" s="8" t="s">
        <v>5976</v>
      </c>
      <c r="M250" s="14">
        <v>45941</v>
      </c>
      <c r="N250" s="6">
        <v>24.850458100000001</v>
      </c>
      <c r="O250" s="6">
        <v>67.017535299999992</v>
      </c>
      <c r="P250" s="6" t="s">
        <v>5977</v>
      </c>
      <c r="Q250" s="6">
        <v>2</v>
      </c>
      <c r="R250" s="6" t="s">
        <v>79</v>
      </c>
      <c r="S250" s="6">
        <v>2004</v>
      </c>
      <c r="T250" s="6">
        <v>5750132</v>
      </c>
      <c r="U250" s="6" t="s">
        <v>80</v>
      </c>
      <c r="V250" s="6">
        <v>721</v>
      </c>
      <c r="W250" s="6" t="s">
        <v>167</v>
      </c>
      <c r="X250" s="6" t="s">
        <v>5978</v>
      </c>
      <c r="Y250" s="6" t="s">
        <v>5979</v>
      </c>
      <c r="Z250" s="6" t="s">
        <v>5980</v>
      </c>
      <c r="AA250" s="6" t="s">
        <v>5981</v>
      </c>
      <c r="AB250" s="6" t="s">
        <v>5982</v>
      </c>
      <c r="AC250" s="6">
        <v>515120</v>
      </c>
      <c r="AD250" s="10" t="s">
        <v>1415</v>
      </c>
      <c r="AE250" s="6">
        <v>516120</v>
      </c>
      <c r="AF250" s="6" t="s">
        <v>1415</v>
      </c>
      <c r="AG250" s="6" t="s">
        <v>5983</v>
      </c>
      <c r="AH250" s="6" t="s">
        <v>5984</v>
      </c>
      <c r="AI250" s="6" t="s">
        <v>4210</v>
      </c>
      <c r="AJ250" s="6" t="s">
        <v>1413</v>
      </c>
      <c r="AK250" s="6" t="s">
        <v>1414</v>
      </c>
      <c r="AL250" s="6" t="s">
        <v>502</v>
      </c>
      <c r="AM250" s="6" t="s">
        <v>503</v>
      </c>
      <c r="AN250" s="6" t="s">
        <v>297</v>
      </c>
      <c r="AO250" s="6" t="s">
        <v>298</v>
      </c>
      <c r="AQ250" s="6">
        <v>4833</v>
      </c>
      <c r="AR250" s="6" t="s">
        <v>1415</v>
      </c>
      <c r="AS250" s="6" t="s">
        <v>5985</v>
      </c>
      <c r="AT250" s="6">
        <v>6020</v>
      </c>
      <c r="AU250" s="6" t="s">
        <v>5986</v>
      </c>
      <c r="AV250" s="6">
        <v>60.2</v>
      </c>
      <c r="AW250" s="6" t="s">
        <v>5986</v>
      </c>
      <c r="AX250" s="6" t="s">
        <v>5987</v>
      </c>
      <c r="AY250" s="6" t="s">
        <v>5988</v>
      </c>
      <c r="AZ250" s="6" t="s">
        <v>5989</v>
      </c>
      <c r="BA250" s="6" t="s">
        <v>5990</v>
      </c>
      <c r="BD250" s="6" t="s">
        <v>5991</v>
      </c>
      <c r="BE250" s="6" t="str">
        <f t="shared" si="6"/>
        <v>hum.tv</v>
      </c>
      <c r="BF250" s="6" t="str">
        <f t="shared" si="7"/>
        <v>tv</v>
      </c>
      <c r="BG250" s="6" t="s">
        <v>101</v>
      </c>
      <c r="BH250" s="6" t="s">
        <v>5992</v>
      </c>
      <c r="BK250" s="6" t="s">
        <v>5993</v>
      </c>
      <c r="BP250" s="6" t="s">
        <v>5994</v>
      </c>
      <c r="BQ250" s="6" t="s">
        <v>5995</v>
      </c>
      <c r="BR250" s="6" t="s">
        <v>105</v>
      </c>
    </row>
    <row r="251" spans="1:70" ht="45" customHeight="1" x14ac:dyDescent="0.25">
      <c r="A251" s="6">
        <v>251</v>
      </c>
      <c r="B251" s="7" t="s">
        <v>5996</v>
      </c>
      <c r="C251" s="8" t="s">
        <v>5997</v>
      </c>
      <c r="D251" s="6" t="s">
        <v>5998</v>
      </c>
      <c r="E251" s="8" t="s">
        <v>5996</v>
      </c>
      <c r="F251" s="8" t="s">
        <v>5999</v>
      </c>
      <c r="G251" s="6" t="s">
        <v>594</v>
      </c>
      <c r="H251" s="6" t="s">
        <v>595</v>
      </c>
      <c r="I251" s="8" t="s">
        <v>6000</v>
      </c>
      <c r="J251" s="6" t="s">
        <v>6001</v>
      </c>
      <c r="K251" s="9">
        <v>4059</v>
      </c>
      <c r="L251" s="8" t="s">
        <v>6002</v>
      </c>
      <c r="M251" s="9">
        <v>9</v>
      </c>
      <c r="N251" s="6">
        <v>47.5338195</v>
      </c>
      <c r="O251" s="6">
        <v>7.5859210000000008</v>
      </c>
      <c r="P251" s="6" t="s">
        <v>6003</v>
      </c>
      <c r="Q251" s="6">
        <v>2</v>
      </c>
      <c r="R251" s="6" t="s">
        <v>79</v>
      </c>
      <c r="S251" s="6">
        <v>2016</v>
      </c>
      <c r="T251" s="6">
        <v>6658730</v>
      </c>
      <c r="U251" s="6" t="s">
        <v>80</v>
      </c>
      <c r="V251" s="6">
        <v>29</v>
      </c>
      <c r="W251" s="6" t="s">
        <v>167</v>
      </c>
      <c r="X251" s="6" t="s">
        <v>6004</v>
      </c>
      <c r="Y251" s="6" t="s">
        <v>6005</v>
      </c>
      <c r="Z251" s="6" t="s">
        <v>6006</v>
      </c>
      <c r="AA251" s="6" t="s">
        <v>6007</v>
      </c>
      <c r="AB251" s="6" t="s">
        <v>6008</v>
      </c>
      <c r="AC251" s="6">
        <v>541612</v>
      </c>
      <c r="AD251" s="10" t="str">
        <f>_xlfn.XLOOKUP(AC251,[1]Mapping!B:B,[1]Mapping!C:C,"")</f>
        <v xml:space="preserve">Human Resources Consulting Services </v>
      </c>
      <c r="AG251" s="6" t="s">
        <v>6009</v>
      </c>
      <c r="AH251" s="6" t="s">
        <v>6010</v>
      </c>
      <c r="AI251" s="6" t="s">
        <v>652</v>
      </c>
      <c r="AJ251" s="6" t="s">
        <v>293</v>
      </c>
      <c r="AK251" s="6" t="s">
        <v>294</v>
      </c>
      <c r="AL251" s="6" t="s">
        <v>295</v>
      </c>
      <c r="AM251" s="6" t="s">
        <v>296</v>
      </c>
      <c r="AN251" s="6" t="s">
        <v>297</v>
      </c>
      <c r="AO251" s="6" t="s">
        <v>298</v>
      </c>
      <c r="AQ251" s="6">
        <v>8748</v>
      </c>
      <c r="AR251" s="6" t="s">
        <v>6011</v>
      </c>
      <c r="AS251" s="6" t="s">
        <v>6012</v>
      </c>
      <c r="AT251" s="6">
        <v>7020</v>
      </c>
      <c r="AU251" s="6" t="s">
        <v>378</v>
      </c>
      <c r="AV251" s="6">
        <v>70.22</v>
      </c>
      <c r="AW251" s="6" t="s">
        <v>659</v>
      </c>
      <c r="AX251" s="6" t="s">
        <v>6013</v>
      </c>
      <c r="AY251" s="6" t="s">
        <v>6014</v>
      </c>
      <c r="AZ251" s="6" t="s">
        <v>6015</v>
      </c>
      <c r="BA251" s="6" t="s">
        <v>6016</v>
      </c>
      <c r="BB251" s="6" t="s">
        <v>6016</v>
      </c>
      <c r="BD251" s="6" t="s">
        <v>6017</v>
      </c>
      <c r="BE251" s="6" t="str">
        <f t="shared" si="6"/>
        <v>human-edge.com</v>
      </c>
      <c r="BF251" s="6" t="str">
        <f t="shared" si="7"/>
        <v>com</v>
      </c>
      <c r="BG251" s="6" t="s">
        <v>101</v>
      </c>
      <c r="BH251" s="6" t="s">
        <v>6018</v>
      </c>
      <c r="BI251" s="6" t="s">
        <v>6019</v>
      </c>
      <c r="BJ251" s="6" t="s">
        <v>6020</v>
      </c>
      <c r="BK251" s="6" t="s">
        <v>6021</v>
      </c>
      <c r="BN251" s="6" t="s">
        <v>6022</v>
      </c>
      <c r="BP251" s="6" t="s">
        <v>6023</v>
      </c>
      <c r="BQ251" s="6" t="s">
        <v>6024</v>
      </c>
      <c r="BR251" s="6" t="s">
        <v>105</v>
      </c>
    </row>
    <row r="252" spans="1:70" ht="45" customHeight="1" x14ac:dyDescent="0.25">
      <c r="A252" s="6">
        <v>252</v>
      </c>
      <c r="B252" s="7" t="s">
        <v>6025</v>
      </c>
      <c r="C252" s="8" t="s">
        <v>6026</v>
      </c>
      <c r="D252" s="6" t="s">
        <v>6027</v>
      </c>
      <c r="E252" s="8" t="s">
        <v>6025</v>
      </c>
      <c r="F252" s="8" t="s">
        <v>6028</v>
      </c>
      <c r="G252" s="6" t="s">
        <v>130</v>
      </c>
      <c r="H252" s="6" t="s">
        <v>131</v>
      </c>
      <c r="I252" s="8" t="s">
        <v>132</v>
      </c>
      <c r="J252" s="6" t="s">
        <v>132</v>
      </c>
      <c r="K252" s="9">
        <v>283</v>
      </c>
      <c r="L252" s="8" t="s">
        <v>6029</v>
      </c>
      <c r="M252" s="9">
        <v>264</v>
      </c>
      <c r="N252" s="6">
        <v>59.91383299999999</v>
      </c>
      <c r="O252" s="6">
        <v>10.650895800000001</v>
      </c>
      <c r="P252" s="6" t="s">
        <v>6030</v>
      </c>
      <c r="Q252" s="6">
        <v>4</v>
      </c>
      <c r="R252" s="6" t="s">
        <v>79</v>
      </c>
      <c r="S252" s="6">
        <v>2021</v>
      </c>
      <c r="T252" s="6">
        <v>159607200</v>
      </c>
      <c r="U252" s="6" t="s">
        <v>80</v>
      </c>
      <c r="V252" s="6">
        <v>105</v>
      </c>
      <c r="W252" s="6" t="s">
        <v>80</v>
      </c>
      <c r="X252" s="6" t="s">
        <v>6031</v>
      </c>
      <c r="Y252" s="6" t="s">
        <v>6032</v>
      </c>
      <c r="Z252" s="6" t="s">
        <v>6033</v>
      </c>
      <c r="AA252" s="6" t="s">
        <v>6034</v>
      </c>
      <c r="AB252" s="6" t="s">
        <v>6035</v>
      </c>
      <c r="AC252" s="6">
        <v>221111</v>
      </c>
      <c r="AD252" s="10" t="str">
        <f>_xlfn.XLOOKUP(AC252,[1]Mapping!B:B,[1]Mapping!C:C,"")</f>
        <v xml:space="preserve">Hydroelectric Power Generation </v>
      </c>
      <c r="AE252" s="6" t="s">
        <v>212</v>
      </c>
      <c r="AF252" s="6" t="s">
        <v>213</v>
      </c>
      <c r="AG252" s="6" t="s">
        <v>6036</v>
      </c>
      <c r="AH252" s="6" t="s">
        <v>6037</v>
      </c>
      <c r="AI252" s="6" t="s">
        <v>6038</v>
      </c>
      <c r="AJ252" s="6" t="s">
        <v>217</v>
      </c>
      <c r="AK252" s="6" t="s">
        <v>218</v>
      </c>
      <c r="AL252" s="6" t="s">
        <v>219</v>
      </c>
      <c r="AM252" s="6" t="s">
        <v>220</v>
      </c>
      <c r="AN252" s="6" t="s">
        <v>221</v>
      </c>
      <c r="AO252" s="6" t="s">
        <v>222</v>
      </c>
      <c r="AQ252" s="6">
        <v>4911</v>
      </c>
      <c r="AR252" s="6" t="s">
        <v>6039</v>
      </c>
      <c r="AT252" s="6">
        <v>3510</v>
      </c>
      <c r="AU252" s="6" t="s">
        <v>3766</v>
      </c>
      <c r="AV252" s="6">
        <v>35.11</v>
      </c>
      <c r="AW252" s="6" t="s">
        <v>6040</v>
      </c>
      <c r="AY252" s="6" t="s">
        <v>6041</v>
      </c>
      <c r="AZ252" s="6" t="s">
        <v>6042</v>
      </c>
      <c r="BA252" s="6" t="s">
        <v>6043</v>
      </c>
      <c r="BD252" s="6" t="s">
        <v>6044</v>
      </c>
      <c r="BE252" s="6" t="str">
        <f t="shared" si="6"/>
        <v>hydro.com</v>
      </c>
      <c r="BF252" s="6" t="str">
        <f t="shared" si="7"/>
        <v>com</v>
      </c>
      <c r="BG252" s="6" t="s">
        <v>101</v>
      </c>
      <c r="BH252" s="6" t="s">
        <v>6045</v>
      </c>
      <c r="BJ252" s="6" t="s">
        <v>6046</v>
      </c>
      <c r="BK252" s="6" t="s">
        <v>6047</v>
      </c>
      <c r="BN252" s="6" t="s">
        <v>6048</v>
      </c>
      <c r="BP252" s="6" t="s">
        <v>6049</v>
      </c>
      <c r="BQ252" s="6" t="s">
        <v>6050</v>
      </c>
      <c r="BR252" s="6" t="s">
        <v>105</v>
      </c>
    </row>
    <row r="253" spans="1:70" ht="45" customHeight="1" x14ac:dyDescent="0.25">
      <c r="A253" s="6">
        <v>253</v>
      </c>
      <c r="B253" s="7" t="s">
        <v>6051</v>
      </c>
      <c r="C253" s="8" t="s">
        <v>6052</v>
      </c>
      <c r="D253" s="6" t="s">
        <v>6053</v>
      </c>
      <c r="E253" s="6" t="s">
        <v>6054</v>
      </c>
      <c r="F253" s="8" t="s">
        <v>6055</v>
      </c>
      <c r="G253" s="6" t="s">
        <v>73</v>
      </c>
      <c r="H253" s="6" t="s">
        <v>74</v>
      </c>
      <c r="I253" s="6"/>
      <c r="J253" s="6" t="s">
        <v>486</v>
      </c>
      <c r="K253" s="9">
        <v>2100</v>
      </c>
      <c r="L253" s="8" t="s">
        <v>6056</v>
      </c>
      <c r="M253" s="9">
        <v>11</v>
      </c>
      <c r="N253" s="6">
        <v>55.711146199999988</v>
      </c>
      <c r="O253" s="6">
        <v>12.5923982</v>
      </c>
      <c r="P253" s="6" t="s">
        <v>6057</v>
      </c>
      <c r="Q253" s="6">
        <v>4</v>
      </c>
      <c r="R253" s="6" t="s">
        <v>79</v>
      </c>
      <c r="T253" s="6"/>
      <c r="X253" s="6" t="s">
        <v>6058</v>
      </c>
      <c r="Y253" s="6" t="s">
        <v>6059</v>
      </c>
      <c r="Z253" s="6" t="s">
        <v>6060</v>
      </c>
      <c r="AA253" s="6" t="s">
        <v>6061</v>
      </c>
      <c r="AB253" s="6" t="s">
        <v>6062</v>
      </c>
      <c r="AC253" s="6">
        <v>333921</v>
      </c>
      <c r="AD253" s="10" t="str">
        <f>_xlfn.XLOOKUP(AC253,[1]Mapping!B:B,[1]Mapping!C:C,"")</f>
        <v xml:space="preserve">Elevator and Moving Stairway Manufacturing </v>
      </c>
      <c r="AG253" s="6" t="s">
        <v>6063</v>
      </c>
      <c r="AH253" s="6" t="s">
        <v>6064</v>
      </c>
      <c r="AI253" s="6" t="s">
        <v>466</v>
      </c>
      <c r="AJ253" s="6" t="s">
        <v>293</v>
      </c>
      <c r="AK253" s="6" t="s">
        <v>294</v>
      </c>
      <c r="AL253" s="6" t="s">
        <v>295</v>
      </c>
      <c r="AM253" s="6" t="s">
        <v>296</v>
      </c>
      <c r="AN253" s="6" t="s">
        <v>297</v>
      </c>
      <c r="AO253" s="6" t="s">
        <v>298</v>
      </c>
      <c r="AQ253" s="6">
        <v>3534</v>
      </c>
      <c r="AR253" s="6" t="s">
        <v>6065</v>
      </c>
      <c r="AS253" s="6" t="s">
        <v>6066</v>
      </c>
      <c r="AT253" s="6">
        <v>2816</v>
      </c>
      <c r="AU253" s="6" t="s">
        <v>6067</v>
      </c>
      <c r="AV253" s="6">
        <v>28.22</v>
      </c>
      <c r="AW253" s="6" t="s">
        <v>6067</v>
      </c>
      <c r="AX253" s="6" t="s">
        <v>6068</v>
      </c>
      <c r="AY253" s="6" t="s">
        <v>6069</v>
      </c>
      <c r="AZ253" s="6" t="s">
        <v>6070</v>
      </c>
      <c r="BA253" s="6" t="s">
        <v>6071</v>
      </c>
      <c r="BB253" s="6" t="s">
        <v>6072</v>
      </c>
      <c r="BC253" s="6" t="s">
        <v>6073</v>
      </c>
      <c r="BD253" s="6" t="s">
        <v>6074</v>
      </c>
      <c r="BE253" s="6" t="str">
        <f t="shared" si="6"/>
        <v>ibm.com</v>
      </c>
      <c r="BF253" s="6" t="str">
        <f t="shared" si="7"/>
        <v>com</v>
      </c>
      <c r="BG253" s="6" t="s">
        <v>123</v>
      </c>
      <c r="BH253" s="6" t="s">
        <v>6075</v>
      </c>
      <c r="BK253" s="6" t="s">
        <v>6076</v>
      </c>
      <c r="BP253" s="6" t="s">
        <v>6077</v>
      </c>
      <c r="BQ253" s="6" t="s">
        <v>6078</v>
      </c>
      <c r="BR253" s="6" t="s">
        <v>105</v>
      </c>
    </row>
    <row r="254" spans="1:70" ht="45" customHeight="1" x14ac:dyDescent="0.25">
      <c r="A254" s="6">
        <v>254</v>
      </c>
      <c r="B254" s="7" t="s">
        <v>6079</v>
      </c>
      <c r="C254" s="8" t="s">
        <v>6080</v>
      </c>
      <c r="D254" s="6" t="s">
        <v>6081</v>
      </c>
      <c r="E254" s="8" t="s">
        <v>6082</v>
      </c>
      <c r="F254" s="8" t="s">
        <v>6081</v>
      </c>
      <c r="G254" s="6" t="s">
        <v>418</v>
      </c>
      <c r="H254" s="6" t="s">
        <v>419</v>
      </c>
      <c r="I254" s="8" t="s">
        <v>420</v>
      </c>
      <c r="J254" s="6" t="s">
        <v>6083</v>
      </c>
      <c r="K254" s="9">
        <v>92400</v>
      </c>
      <c r="L254" s="8" t="s">
        <v>6084</v>
      </c>
      <c r="M254" s="9">
        <v>2</v>
      </c>
      <c r="N254" s="6">
        <v>48.896108400000003</v>
      </c>
      <c r="O254" s="6">
        <v>2.2395610000000001</v>
      </c>
      <c r="P254" s="6" t="s">
        <v>6085</v>
      </c>
      <c r="Q254" s="6">
        <v>1</v>
      </c>
      <c r="R254" s="6" t="s">
        <v>79</v>
      </c>
      <c r="T254" s="6"/>
      <c r="X254" s="6" t="s">
        <v>6086</v>
      </c>
      <c r="Y254" s="6" t="s">
        <v>6087</v>
      </c>
      <c r="Z254" s="6" t="s">
        <v>6088</v>
      </c>
      <c r="AA254" s="6" t="s">
        <v>6089</v>
      </c>
      <c r="AB254" s="6" t="s">
        <v>6090</v>
      </c>
      <c r="AC254" s="6">
        <v>511210</v>
      </c>
      <c r="AD254" s="10" t="s">
        <v>6091</v>
      </c>
      <c r="AE254" s="6">
        <v>334290</v>
      </c>
      <c r="AF254" s="6" t="s">
        <v>6091</v>
      </c>
      <c r="AG254" s="6" t="s">
        <v>6092</v>
      </c>
      <c r="AH254" s="6" t="s">
        <v>6093</v>
      </c>
      <c r="AI254" s="6" t="s">
        <v>499</v>
      </c>
      <c r="AJ254" s="6" t="s">
        <v>293</v>
      </c>
      <c r="AK254" s="6" t="s">
        <v>294</v>
      </c>
      <c r="AL254" s="6" t="s">
        <v>295</v>
      </c>
      <c r="AM254" s="6" t="s">
        <v>296</v>
      </c>
      <c r="AN254" s="6" t="s">
        <v>297</v>
      </c>
      <c r="AO254" s="6" t="s">
        <v>298</v>
      </c>
      <c r="AQ254" s="6">
        <v>7372</v>
      </c>
      <c r="AR254" s="6" t="s">
        <v>2077</v>
      </c>
      <c r="AT254" s="6">
        <v>6201</v>
      </c>
      <c r="AU254" s="6" t="s">
        <v>505</v>
      </c>
      <c r="AV254" s="6">
        <v>62.01</v>
      </c>
      <c r="AW254" s="6" t="s">
        <v>505</v>
      </c>
      <c r="AY254" s="6" t="s">
        <v>6094</v>
      </c>
      <c r="AZ254" s="6" t="s">
        <v>6095</v>
      </c>
      <c r="BB254" s="6" t="s">
        <v>6096</v>
      </c>
      <c r="BD254" s="6" t="s">
        <v>6097</v>
      </c>
      <c r="BE254" s="6" t="str">
        <f t="shared" si="6"/>
        <v>idemia.com</v>
      </c>
      <c r="BF254" s="6" t="str">
        <f t="shared" si="7"/>
        <v>com</v>
      </c>
      <c r="BG254" s="6" t="s">
        <v>101</v>
      </c>
      <c r="BH254" s="6" t="s">
        <v>6098</v>
      </c>
      <c r="BI254" s="6" t="s">
        <v>6099</v>
      </c>
      <c r="BJ254" s="6" t="s">
        <v>6100</v>
      </c>
      <c r="BK254" s="6" t="s">
        <v>6101</v>
      </c>
      <c r="BN254" s="6" t="s">
        <v>6102</v>
      </c>
      <c r="BQ254" s="6" t="s">
        <v>6103</v>
      </c>
      <c r="BR254" s="6" t="s">
        <v>105</v>
      </c>
    </row>
    <row r="255" spans="1:70" ht="45" customHeight="1" x14ac:dyDescent="0.25">
      <c r="A255" s="6">
        <v>255</v>
      </c>
      <c r="B255" s="7" t="s">
        <v>6104</v>
      </c>
      <c r="C255" s="8" t="s">
        <v>6105</v>
      </c>
      <c r="D255" s="6" t="s">
        <v>6106</v>
      </c>
      <c r="E255" s="8" t="s">
        <v>6104</v>
      </c>
      <c r="F255" s="8" t="s">
        <v>6107</v>
      </c>
      <c r="G255" s="6" t="s">
        <v>130</v>
      </c>
      <c r="H255" s="6" t="s">
        <v>131</v>
      </c>
      <c r="I255" s="8" t="s">
        <v>132</v>
      </c>
      <c r="J255" s="6" t="s">
        <v>132</v>
      </c>
      <c r="K255" s="9">
        <v>484</v>
      </c>
      <c r="L255" s="8" t="s">
        <v>6108</v>
      </c>
      <c r="M255" s="9">
        <v>116</v>
      </c>
      <c r="N255" s="6">
        <v>59.9483484</v>
      </c>
      <c r="O255" s="6">
        <v>10.769448300000001</v>
      </c>
      <c r="P255" s="6" t="s">
        <v>6109</v>
      </c>
      <c r="Q255" s="6">
        <v>3</v>
      </c>
      <c r="R255" s="6" t="s">
        <v>79</v>
      </c>
      <c r="S255" s="6">
        <v>1852</v>
      </c>
      <c r="T255" s="6">
        <v>8984482</v>
      </c>
      <c r="U255" s="6" t="s">
        <v>80</v>
      </c>
      <c r="V255" s="6">
        <v>75</v>
      </c>
      <c r="W255" s="6" t="s">
        <v>80</v>
      </c>
      <c r="X255" s="6" t="s">
        <v>6086</v>
      </c>
      <c r="Y255" s="6" t="s">
        <v>6110</v>
      </c>
      <c r="Z255" s="6" t="s">
        <v>6111</v>
      </c>
      <c r="AA255" s="6" t="s">
        <v>6112</v>
      </c>
      <c r="AB255" s="6" t="s">
        <v>6113</v>
      </c>
      <c r="AC255" s="6">
        <v>459410</v>
      </c>
      <c r="AD255" s="10" t="str">
        <f>_xlfn.XLOOKUP(AC255,[1]Mapping!B:B,[1]Mapping!C:C,"")</f>
        <v xml:space="preserve">Office Supplies and Stationery Retailers </v>
      </c>
      <c r="AG255" s="6" t="s">
        <v>6114</v>
      </c>
      <c r="AH255" s="6" t="s">
        <v>2722</v>
      </c>
      <c r="AI255" s="6" t="s">
        <v>1240</v>
      </c>
      <c r="AJ255" s="6" t="s">
        <v>255</v>
      </c>
      <c r="AK255" s="6" t="s">
        <v>256</v>
      </c>
      <c r="AL255" s="6" t="s">
        <v>257</v>
      </c>
      <c r="AM255" s="6" t="s">
        <v>258</v>
      </c>
      <c r="AN255" s="6" t="s">
        <v>259</v>
      </c>
      <c r="AO255" s="6" t="s">
        <v>260</v>
      </c>
      <c r="AQ255" s="6" t="s">
        <v>6115</v>
      </c>
      <c r="AR255" s="6" t="s">
        <v>6116</v>
      </c>
      <c r="AT255" s="6" t="s">
        <v>6117</v>
      </c>
      <c r="AU255" s="6" t="s">
        <v>6118</v>
      </c>
      <c r="AV255" s="6" t="s">
        <v>6119</v>
      </c>
      <c r="AW255" s="6" t="s">
        <v>6120</v>
      </c>
      <c r="AY255" s="6" t="s">
        <v>6121</v>
      </c>
      <c r="AZ255" s="6" t="s">
        <v>6122</v>
      </c>
      <c r="BB255" s="6" t="s">
        <v>6096</v>
      </c>
      <c r="BD255" s="6" t="s">
        <v>6097</v>
      </c>
      <c r="BE255" s="6" t="str">
        <f t="shared" si="6"/>
        <v>idemia.com</v>
      </c>
      <c r="BF255" s="6" t="str">
        <f t="shared" si="7"/>
        <v>com</v>
      </c>
      <c r="BG255" s="6" t="s">
        <v>6123</v>
      </c>
      <c r="BH255" s="6" t="s">
        <v>6098</v>
      </c>
      <c r="BI255" s="6" t="s">
        <v>6099</v>
      </c>
      <c r="BJ255" s="6" t="s">
        <v>6100</v>
      </c>
      <c r="BK255" s="6" t="s">
        <v>6101</v>
      </c>
      <c r="BN255" s="6" t="s">
        <v>6102</v>
      </c>
      <c r="BP255" s="6" t="s">
        <v>6124</v>
      </c>
      <c r="BQ255" s="6" t="s">
        <v>6125</v>
      </c>
      <c r="BR255" s="6" t="s">
        <v>105</v>
      </c>
    </row>
    <row r="256" spans="1:70" ht="45" customHeight="1" x14ac:dyDescent="0.25">
      <c r="A256" s="6">
        <v>256</v>
      </c>
      <c r="B256" s="7" t="s">
        <v>6126</v>
      </c>
      <c r="C256" s="8" t="s">
        <v>6127</v>
      </c>
      <c r="D256" s="6" t="s">
        <v>6128</v>
      </c>
      <c r="E256" s="8" t="s">
        <v>6129</v>
      </c>
      <c r="F256" s="8" t="s">
        <v>6130</v>
      </c>
      <c r="G256" s="6" t="s">
        <v>73</v>
      </c>
      <c r="H256" s="6" t="s">
        <v>74</v>
      </c>
      <c r="J256" s="6" t="s">
        <v>2091</v>
      </c>
      <c r="K256" s="9">
        <v>2600</v>
      </c>
      <c r="L256" s="8" t="s">
        <v>6131</v>
      </c>
      <c r="M256" s="9">
        <v>24</v>
      </c>
      <c r="N256" s="6">
        <v>55.662418600000002</v>
      </c>
      <c r="O256" s="6">
        <v>12.3982007</v>
      </c>
      <c r="P256" s="6" t="s">
        <v>6132</v>
      </c>
      <c r="Q256" s="6">
        <v>1</v>
      </c>
      <c r="R256" s="6" t="s">
        <v>79</v>
      </c>
      <c r="S256" s="6">
        <v>2017</v>
      </c>
      <c r="T256" s="6">
        <v>15798783</v>
      </c>
      <c r="U256" s="6" t="s">
        <v>80</v>
      </c>
      <c r="V256" s="6">
        <v>15</v>
      </c>
      <c r="W256" s="6" t="s">
        <v>80</v>
      </c>
      <c r="X256" s="6" t="s">
        <v>6133</v>
      </c>
      <c r="Y256" s="6" t="s">
        <v>6134</v>
      </c>
      <c r="Z256" s="6" t="s">
        <v>6135</v>
      </c>
      <c r="AA256" s="6" t="s">
        <v>6136</v>
      </c>
      <c r="AB256" s="6" t="s">
        <v>292</v>
      </c>
      <c r="AC256" s="6">
        <v>236117</v>
      </c>
      <c r="AD256" s="10" t="str">
        <f>_xlfn.XLOOKUP(AC256,[1]Mapping!B:B,[1]Mapping!C:C,"")</f>
        <v xml:space="preserve">New Housing For-Sale Builders </v>
      </c>
      <c r="AG256" s="6" t="s">
        <v>6137</v>
      </c>
      <c r="AH256" s="6" t="s">
        <v>6138</v>
      </c>
      <c r="AI256" s="6" t="s">
        <v>292</v>
      </c>
      <c r="AJ256" s="6" t="s">
        <v>5615</v>
      </c>
      <c r="AK256" s="6" t="s">
        <v>5616</v>
      </c>
      <c r="AL256" s="6" t="s">
        <v>2321</v>
      </c>
      <c r="AM256" s="6" t="s">
        <v>2323</v>
      </c>
      <c r="AN256" s="6" t="s">
        <v>655</v>
      </c>
      <c r="AO256" s="6" t="s">
        <v>657</v>
      </c>
      <c r="AQ256" s="6">
        <v>1531</v>
      </c>
      <c r="AR256" s="6" t="s">
        <v>6139</v>
      </c>
      <c r="AT256" s="6">
        <v>4100</v>
      </c>
      <c r="AU256" s="6" t="s">
        <v>6140</v>
      </c>
      <c r="AV256" s="6" t="s">
        <v>6141</v>
      </c>
      <c r="AW256" s="6" t="s">
        <v>6142</v>
      </c>
      <c r="AY256" s="6" t="s">
        <v>6143</v>
      </c>
      <c r="BA256" s="6" t="s">
        <v>6144</v>
      </c>
      <c r="BD256" s="6" t="s">
        <v>6145</v>
      </c>
      <c r="BE256" s="6" t="str">
        <f t="shared" si="6"/>
        <v>ikanobank.dk</v>
      </c>
      <c r="BF256" s="6" t="str">
        <f t="shared" si="7"/>
        <v>dk</v>
      </c>
      <c r="BG256" s="6" t="s">
        <v>123</v>
      </c>
      <c r="BH256" s="6" t="s">
        <v>6146</v>
      </c>
      <c r="BJ256" s="6" t="s">
        <v>6147</v>
      </c>
      <c r="BK256" s="6" t="s">
        <v>6148</v>
      </c>
      <c r="BP256" s="6" t="s">
        <v>6149</v>
      </c>
      <c r="BQ256" s="6" t="s">
        <v>6150</v>
      </c>
      <c r="BR256" s="6" t="s">
        <v>105</v>
      </c>
    </row>
    <row r="257" spans="1:70" ht="45" customHeight="1" x14ac:dyDescent="0.25">
      <c r="A257" s="6">
        <v>257</v>
      </c>
      <c r="B257" s="7" t="s">
        <v>6151</v>
      </c>
      <c r="C257" s="8" t="s">
        <v>6152</v>
      </c>
      <c r="D257" s="6" t="s">
        <v>6153</v>
      </c>
      <c r="E257" s="8" t="s">
        <v>6153</v>
      </c>
      <c r="F257" s="8" t="s">
        <v>6153</v>
      </c>
      <c r="G257" s="6" t="e">
        <f>#REF!</f>
        <v>#REF!</v>
      </c>
      <c r="H257" s="6" t="e">
        <f>#REF!</f>
        <v>#REF!</v>
      </c>
      <c r="I257" s="6"/>
      <c r="L257" s="8" t="s">
        <v>6154</v>
      </c>
      <c r="M257" s="9">
        <v>1</v>
      </c>
      <c r="P257" s="6" t="s">
        <v>6155</v>
      </c>
      <c r="Q257" s="6">
        <v>1</v>
      </c>
      <c r="R257" s="6" t="s">
        <v>79</v>
      </c>
      <c r="S257" s="6">
        <v>1999</v>
      </c>
      <c r="V257" s="6">
        <v>1000</v>
      </c>
      <c r="AC257" s="10">
        <f>_xlfn.XLOOKUP(AH257,[1]Mapping!C:C,[1]Mapping!B:B,"",1)</f>
        <v>521110</v>
      </c>
      <c r="AD257" s="10" t="s">
        <v>3831</v>
      </c>
      <c r="AE257" s="6">
        <v>541511</v>
      </c>
      <c r="AF257" s="6" t="s">
        <v>1971</v>
      </c>
      <c r="AG257" s="6" t="s">
        <v>6156</v>
      </c>
      <c r="AH257" s="6" t="s">
        <v>6157</v>
      </c>
      <c r="AI257" s="6" t="s">
        <v>1290</v>
      </c>
      <c r="AJ257" s="6" t="s">
        <v>6158</v>
      </c>
      <c r="AK257" s="6">
        <v>4813</v>
      </c>
      <c r="AL257" s="6" t="s">
        <v>1292</v>
      </c>
      <c r="AM257" s="6">
        <v>737100</v>
      </c>
      <c r="AN257" s="6" t="s">
        <v>89</v>
      </c>
      <c r="AO257" s="6">
        <v>4800</v>
      </c>
      <c r="AQ257" s="6">
        <v>4899</v>
      </c>
      <c r="AR257" s="6" t="s">
        <v>6159</v>
      </c>
      <c r="AT257" s="6">
        <v>6190</v>
      </c>
      <c r="AU257" s="6" t="s">
        <v>96</v>
      </c>
      <c r="AV257" s="6">
        <v>61.9</v>
      </c>
      <c r="AW257" s="6" t="s">
        <v>96</v>
      </c>
      <c r="AX257" s="6">
        <v>6100</v>
      </c>
      <c r="AY257" s="6">
        <v>441495000000</v>
      </c>
      <c r="AZ257" s="6">
        <v>441495000000</v>
      </c>
      <c r="BD257" s="6" t="s">
        <v>6160</v>
      </c>
      <c r="BE257" s="6" t="str">
        <f t="shared" si="6"/>
        <v>imimobile.co.za</v>
      </c>
      <c r="BF257" s="6" t="str">
        <f t="shared" si="7"/>
        <v>za</v>
      </c>
      <c r="BG257" s="6" t="s">
        <v>101</v>
      </c>
      <c r="BQ257" s="6" t="s">
        <v>6161</v>
      </c>
      <c r="BR257" s="6" t="s">
        <v>105</v>
      </c>
    </row>
    <row r="258" spans="1:70" ht="45" customHeight="1" x14ac:dyDescent="0.25">
      <c r="A258" s="6">
        <v>258</v>
      </c>
      <c r="B258" s="7" t="s">
        <v>6162</v>
      </c>
      <c r="C258" s="8" t="s">
        <v>6163</v>
      </c>
      <c r="D258" s="6" t="s">
        <v>6164</v>
      </c>
      <c r="E258" s="6" t="s">
        <v>6165</v>
      </c>
      <c r="F258" s="8" t="s">
        <v>6166</v>
      </c>
      <c r="G258" s="6" t="s">
        <v>840</v>
      </c>
      <c r="H258" s="6" t="s">
        <v>841</v>
      </c>
      <c r="I258" s="6" t="s">
        <v>842</v>
      </c>
      <c r="J258" s="6" t="s">
        <v>6167</v>
      </c>
      <c r="K258" s="9" t="s">
        <v>6168</v>
      </c>
      <c r="L258" s="8" t="s">
        <v>6169</v>
      </c>
      <c r="N258" s="6">
        <v>52.2536244</v>
      </c>
      <c r="O258" s="6">
        <v>0.12585979999999999</v>
      </c>
      <c r="P258" s="6" t="s">
        <v>6170</v>
      </c>
      <c r="Q258" s="6">
        <v>20</v>
      </c>
      <c r="R258" s="6" t="s">
        <v>79</v>
      </c>
      <c r="S258" s="6">
        <v>1999</v>
      </c>
      <c r="T258" s="6">
        <v>134771712</v>
      </c>
      <c r="U258" s="6" t="s">
        <v>167</v>
      </c>
      <c r="V258" s="6">
        <v>1100</v>
      </c>
      <c r="W258" s="6" t="s">
        <v>167</v>
      </c>
      <c r="X258" s="6" t="s">
        <v>6171</v>
      </c>
      <c r="Y258" s="6" t="s">
        <v>6172</v>
      </c>
      <c r="Z258" s="6" t="s">
        <v>6173</v>
      </c>
      <c r="AA258" s="6" t="s">
        <v>6174</v>
      </c>
      <c r="AB258" s="6" t="s">
        <v>6175</v>
      </c>
      <c r="AC258" s="6">
        <v>517919</v>
      </c>
      <c r="AD258" s="10" t="s">
        <v>4619</v>
      </c>
      <c r="AE258" s="6">
        <v>511210</v>
      </c>
      <c r="AF258" s="6" t="s">
        <v>4619</v>
      </c>
      <c r="AG258" s="6" t="s">
        <v>6176</v>
      </c>
      <c r="AH258" s="6" t="s">
        <v>6177</v>
      </c>
      <c r="AI258" s="6" t="s">
        <v>499</v>
      </c>
      <c r="AQ258" s="6">
        <v>4813</v>
      </c>
      <c r="AR258" s="6" t="s">
        <v>2296</v>
      </c>
      <c r="AS258" s="6" t="s">
        <v>6178</v>
      </c>
      <c r="AT258" s="6">
        <v>6190</v>
      </c>
      <c r="AU258" s="6" t="s">
        <v>96</v>
      </c>
      <c r="AV258" s="6">
        <v>61.9</v>
      </c>
      <c r="AW258" s="6" t="s">
        <v>96</v>
      </c>
      <c r="AX258" s="6" t="s">
        <v>6179</v>
      </c>
      <c r="AY258" s="6" t="s">
        <v>6180</v>
      </c>
      <c r="AZ258" s="6" t="s">
        <v>6181</v>
      </c>
      <c r="BA258" s="6" t="s">
        <v>6182</v>
      </c>
      <c r="BB258" s="6" t="s">
        <v>6183</v>
      </c>
      <c r="BD258" s="6" t="s">
        <v>6184</v>
      </c>
      <c r="BE258" s="6" t="str">
        <f t="shared" si="6"/>
        <v>imieurope.com</v>
      </c>
      <c r="BF258" s="6" t="str">
        <f t="shared" si="7"/>
        <v>com</v>
      </c>
      <c r="BG258" s="6" t="s">
        <v>101</v>
      </c>
      <c r="BH258" s="6" t="s">
        <v>6185</v>
      </c>
      <c r="BI258" s="6" t="s">
        <v>6186</v>
      </c>
      <c r="BK258" s="6" t="s">
        <v>6187</v>
      </c>
      <c r="BN258" s="6" t="s">
        <v>6188</v>
      </c>
      <c r="BP258" s="6" t="s">
        <v>6189</v>
      </c>
      <c r="BQ258" s="6" t="s">
        <v>6190</v>
      </c>
      <c r="BR258" s="6" t="s">
        <v>105</v>
      </c>
    </row>
    <row r="259" spans="1:70" ht="45" customHeight="1" x14ac:dyDescent="0.25">
      <c r="A259" s="6">
        <v>259</v>
      </c>
      <c r="B259" s="7" t="s">
        <v>6191</v>
      </c>
      <c r="C259" s="8" t="s">
        <v>6192</v>
      </c>
      <c r="D259" s="6" t="s">
        <v>6193</v>
      </c>
      <c r="E259" s="8" t="s">
        <v>6194</v>
      </c>
      <c r="F259" s="8" t="s">
        <v>6195</v>
      </c>
      <c r="G259" s="6" t="s">
        <v>2781</v>
      </c>
      <c r="H259" s="6" t="s">
        <v>2782</v>
      </c>
      <c r="I259" s="8" t="s">
        <v>2783</v>
      </c>
      <c r="J259" s="6" t="s">
        <v>2784</v>
      </c>
      <c r="K259" s="9">
        <v>122018</v>
      </c>
      <c r="L259" s="8" t="s">
        <v>6196</v>
      </c>
      <c r="N259" s="6">
        <v>28.418552999999999</v>
      </c>
      <c r="O259" s="6">
        <v>77.037749699999992</v>
      </c>
      <c r="P259" s="6" t="s">
        <v>6197</v>
      </c>
      <c r="Q259" s="6">
        <v>3</v>
      </c>
      <c r="R259" s="6" t="s">
        <v>79</v>
      </c>
      <c r="S259" s="6">
        <v>1860</v>
      </c>
      <c r="T259" s="6">
        <v>333833</v>
      </c>
      <c r="U259" s="6" t="s">
        <v>80</v>
      </c>
      <c r="V259" s="6">
        <v>75</v>
      </c>
      <c r="W259" s="6" t="s">
        <v>80</v>
      </c>
      <c r="X259" s="6" t="s">
        <v>6198</v>
      </c>
      <c r="Y259" s="6" t="s">
        <v>6199</v>
      </c>
      <c r="Z259" s="6" t="s">
        <v>6200</v>
      </c>
      <c r="AA259" s="6" t="s">
        <v>6201</v>
      </c>
      <c r="AB259" s="6" t="s">
        <v>6202</v>
      </c>
      <c r="AC259" s="6">
        <v>813110</v>
      </c>
      <c r="AD259" s="10" t="str">
        <f>_xlfn.XLOOKUP(AC259,[1]Mapping!B:B,[1]Mapping!C:C,"")</f>
        <v xml:space="preserve">Religious Organizations </v>
      </c>
      <c r="AG259" s="6" t="s">
        <v>6203</v>
      </c>
      <c r="AH259" s="6" t="s">
        <v>6204</v>
      </c>
      <c r="AI259" s="6" t="s">
        <v>3687</v>
      </c>
      <c r="AQ259" s="6">
        <v>8661</v>
      </c>
      <c r="AR259" s="6" t="s">
        <v>6205</v>
      </c>
      <c r="AT259" s="6">
        <v>9491</v>
      </c>
      <c r="AU259" s="6" t="s">
        <v>6206</v>
      </c>
      <c r="AV259" s="6">
        <v>94.91</v>
      </c>
      <c r="AW259" s="6" t="s">
        <v>6207</v>
      </c>
      <c r="AY259" s="6" t="s">
        <v>6208</v>
      </c>
      <c r="AZ259" s="6">
        <v>923048000000</v>
      </c>
      <c r="BA259" s="6" t="s">
        <v>6209</v>
      </c>
      <c r="BD259" s="6" t="s">
        <v>6210</v>
      </c>
      <c r="BE259" s="6" t="str">
        <f t="shared" ref="BE259:BE322" si="8">LEFT(
  SUBSTITUTE(SUBSTITUTE(SUBSTITUTE(BD259,"https://",""),"http://",""),"www.",""),
  IFERROR(
    FIND("/",SUBSTITUTE(SUBSTITUTE(SUBSTITUTE(BD259,"https://",""),"http://",""),"www.","")&amp;"/")-1,
    LEN(SUBSTITUTE(SUBSTITUTE(SUBSTITUTE(BD259,"https://",""),"http://",""),"www.",""))
  )
)</f>
        <v>independentmediacorp.com</v>
      </c>
      <c r="BF259" s="6" t="str">
        <f t="shared" ref="BF259:BF322" si="9">_xlfn.TEXTAFTER(BE259,".",-1)</f>
        <v>com</v>
      </c>
      <c r="BG259" s="6" t="s">
        <v>101</v>
      </c>
      <c r="BH259" s="6" t="s">
        <v>6211</v>
      </c>
      <c r="BI259" s="6" t="s">
        <v>6212</v>
      </c>
      <c r="BJ259" s="6" t="s">
        <v>6213</v>
      </c>
      <c r="BN259" s="6" t="s">
        <v>6214</v>
      </c>
      <c r="BP259" s="6" t="s">
        <v>6215</v>
      </c>
      <c r="BQ259" s="6" t="s">
        <v>6216</v>
      </c>
      <c r="BR259" s="6" t="s">
        <v>105</v>
      </c>
    </row>
    <row r="260" spans="1:70" ht="45" customHeight="1" x14ac:dyDescent="0.25">
      <c r="A260" s="6">
        <v>260</v>
      </c>
      <c r="B260" s="7" t="s">
        <v>6217</v>
      </c>
      <c r="C260" s="8" t="s">
        <v>6218</v>
      </c>
      <c r="D260" s="6" t="s">
        <v>6219</v>
      </c>
      <c r="E260" s="8" t="s">
        <v>639</v>
      </c>
      <c r="F260" s="8" t="s">
        <v>639</v>
      </c>
      <c r="G260" s="6" t="s">
        <v>201</v>
      </c>
      <c r="H260" s="6" t="s">
        <v>202</v>
      </c>
      <c r="I260" s="6" t="s">
        <v>203</v>
      </c>
      <c r="J260" s="6" t="s">
        <v>6220</v>
      </c>
      <c r="K260" s="9">
        <v>95119</v>
      </c>
      <c r="L260" s="8" t="s">
        <v>6221</v>
      </c>
      <c r="M260" s="9">
        <v>6373</v>
      </c>
      <c r="N260" s="6">
        <v>37.2377228</v>
      </c>
      <c r="O260" s="6">
        <v>-121.7833849</v>
      </c>
      <c r="P260" s="6" t="s">
        <v>6222</v>
      </c>
      <c r="Q260" s="6">
        <v>1</v>
      </c>
      <c r="R260" s="6" t="s">
        <v>906</v>
      </c>
      <c r="S260" s="6">
        <v>2000</v>
      </c>
      <c r="V260" s="6">
        <v>3500</v>
      </c>
      <c r="X260" s="6" t="s">
        <v>6223</v>
      </c>
      <c r="Y260" s="6" t="s">
        <v>6224</v>
      </c>
      <c r="Z260" s="6" t="s">
        <v>6225</v>
      </c>
      <c r="AA260" s="6" t="s">
        <v>6225</v>
      </c>
      <c r="AB260" s="6" t="s">
        <v>6226</v>
      </c>
      <c r="AC260" s="10">
        <f>_xlfn.XLOOKUP(AH260,[1]Mapping!C:C,[1]Mapping!B:B,"",1)</f>
        <v>313110</v>
      </c>
      <c r="AD260" s="10" t="s">
        <v>6227</v>
      </c>
      <c r="AE260" s="6">
        <v>517311</v>
      </c>
      <c r="AF260" s="6" t="s">
        <v>2510</v>
      </c>
      <c r="AG260" s="6" t="s">
        <v>176</v>
      </c>
      <c r="AH260" s="6" t="s">
        <v>6228</v>
      </c>
      <c r="AI260" s="6" t="s">
        <v>1290</v>
      </c>
      <c r="AJ260" s="6" t="s">
        <v>6229</v>
      </c>
      <c r="AK260" s="6">
        <v>3669</v>
      </c>
      <c r="AL260" s="6" t="s">
        <v>1292</v>
      </c>
      <c r="AM260" s="6">
        <v>737100</v>
      </c>
      <c r="AN260" s="6" t="s">
        <v>176</v>
      </c>
      <c r="AO260" s="6">
        <v>4500</v>
      </c>
      <c r="AQ260" s="6">
        <v>3669</v>
      </c>
      <c r="AR260" s="6" t="s">
        <v>6229</v>
      </c>
      <c r="AT260" s="6">
        <v>2630</v>
      </c>
      <c r="AU260" s="6" t="s">
        <v>2684</v>
      </c>
      <c r="AV260" s="6">
        <v>26.3</v>
      </c>
      <c r="AW260" s="6" t="s">
        <v>2684</v>
      </c>
      <c r="AX260" s="6">
        <v>2600</v>
      </c>
      <c r="AY260" s="6" t="s">
        <v>6230</v>
      </c>
      <c r="AZ260" s="6">
        <v>14085725200</v>
      </c>
      <c r="BA260" s="6" t="s">
        <v>6231</v>
      </c>
      <c r="BB260" s="6" t="s">
        <v>6231</v>
      </c>
      <c r="BD260" s="6" t="s">
        <v>6232</v>
      </c>
      <c r="BE260" s="6" t="str">
        <f t="shared" si="8"/>
        <v>infinera.com</v>
      </c>
      <c r="BF260" s="6" t="str">
        <f t="shared" si="9"/>
        <v>com</v>
      </c>
      <c r="BG260" s="6" t="s">
        <v>101</v>
      </c>
      <c r="BQ260" s="6" t="s">
        <v>6233</v>
      </c>
      <c r="BR260" s="6" t="s">
        <v>105</v>
      </c>
    </row>
    <row r="261" spans="1:70" ht="45" customHeight="1" x14ac:dyDescent="0.25">
      <c r="A261" s="6">
        <v>261</v>
      </c>
      <c r="B261" s="7" t="s">
        <v>6234</v>
      </c>
      <c r="C261" s="8" t="s">
        <v>6235</v>
      </c>
      <c r="D261" s="6" t="s">
        <v>6236</v>
      </c>
      <c r="E261" s="6" t="s">
        <v>6237</v>
      </c>
      <c r="F261" s="8" t="s">
        <v>6238</v>
      </c>
      <c r="G261" s="6" t="s">
        <v>73</v>
      </c>
      <c r="H261" s="6" t="s">
        <v>74</v>
      </c>
      <c r="I261" s="6"/>
      <c r="J261" s="6" t="s">
        <v>486</v>
      </c>
      <c r="K261" s="9">
        <v>1112</v>
      </c>
      <c r="L261" s="8" t="s">
        <v>6239</v>
      </c>
      <c r="M261" s="9">
        <v>58</v>
      </c>
      <c r="N261" s="6">
        <v>55.681911300000003</v>
      </c>
      <c r="O261" s="6">
        <v>12.5782437</v>
      </c>
      <c r="P261" s="6" t="s">
        <v>6240</v>
      </c>
      <c r="Q261" s="6">
        <v>5</v>
      </c>
      <c r="R261" s="6" t="s">
        <v>79</v>
      </c>
      <c r="S261" s="6">
        <v>2002</v>
      </c>
      <c r="T261" s="6">
        <v>16000000</v>
      </c>
      <c r="U261" s="6" t="s">
        <v>167</v>
      </c>
      <c r="V261" s="6">
        <v>200</v>
      </c>
      <c r="W261" s="6" t="s">
        <v>167</v>
      </c>
      <c r="X261" s="6" t="s">
        <v>6241</v>
      </c>
      <c r="Y261" s="6" t="s">
        <v>6242</v>
      </c>
      <c r="Z261" s="6" t="s">
        <v>6243</v>
      </c>
      <c r="AA261" s="6" t="s">
        <v>6244</v>
      </c>
      <c r="AB261" s="6" t="s">
        <v>6245</v>
      </c>
      <c r="AC261" s="6">
        <v>519290</v>
      </c>
      <c r="AD261" s="10" t="str">
        <f>_xlfn.XLOOKUP(AC261,[1]Mapping!B:B,[1]Mapping!C:C,"")</f>
        <v>Web Search Portals and All Other Information Services</v>
      </c>
      <c r="AG261" s="6" t="s">
        <v>6246</v>
      </c>
      <c r="AH261" s="6" t="s">
        <v>6247</v>
      </c>
      <c r="AI261" s="6" t="s">
        <v>4210</v>
      </c>
      <c r="AJ261" s="6" t="s">
        <v>500</v>
      </c>
      <c r="AK261" s="6" t="s">
        <v>501</v>
      </c>
      <c r="AL261" s="6" t="s">
        <v>502</v>
      </c>
      <c r="AM261" s="6" t="s">
        <v>503</v>
      </c>
      <c r="AN261" s="6" t="s">
        <v>297</v>
      </c>
      <c r="AO261" s="6" t="s">
        <v>298</v>
      </c>
      <c r="AQ261" s="6">
        <v>7389</v>
      </c>
      <c r="AR261" s="6" t="s">
        <v>4940</v>
      </c>
      <c r="AT261" s="6">
        <v>6399</v>
      </c>
      <c r="AU261" s="6" t="s">
        <v>6248</v>
      </c>
      <c r="AV261" s="6">
        <v>63.99</v>
      </c>
      <c r="AW261" s="6" t="s">
        <v>6248</v>
      </c>
      <c r="AY261" s="6" t="s">
        <v>6249</v>
      </c>
      <c r="AZ261" s="6" t="s">
        <v>6250</v>
      </c>
      <c r="BA261" s="6" t="s">
        <v>6251</v>
      </c>
      <c r="BB261" s="6" t="s">
        <v>6252</v>
      </c>
      <c r="BC261" s="6" t="s">
        <v>6253</v>
      </c>
      <c r="BD261" s="6" t="s">
        <v>6254</v>
      </c>
      <c r="BE261" s="6" t="str">
        <f t="shared" si="8"/>
        <v>infomedia.dk</v>
      </c>
      <c r="BF261" s="6" t="str">
        <f t="shared" si="9"/>
        <v>dk</v>
      </c>
      <c r="BG261" s="6" t="s">
        <v>123</v>
      </c>
      <c r="BH261" s="6" t="s">
        <v>6255</v>
      </c>
      <c r="BI261" s="6" t="s">
        <v>6256</v>
      </c>
      <c r="BK261" s="6" t="s">
        <v>6257</v>
      </c>
      <c r="BL261" s="6" t="s">
        <v>6258</v>
      </c>
      <c r="BM261" s="6" t="s">
        <v>6259</v>
      </c>
      <c r="BP261" s="6" t="s">
        <v>6260</v>
      </c>
      <c r="BQ261" s="6" t="s">
        <v>6261</v>
      </c>
      <c r="BR261" s="6" t="s">
        <v>105</v>
      </c>
    </row>
    <row r="262" spans="1:70" ht="45" customHeight="1" x14ac:dyDescent="0.25">
      <c r="A262" s="6">
        <v>262</v>
      </c>
      <c r="B262" s="7" t="s">
        <v>6262</v>
      </c>
      <c r="C262" s="8" t="s">
        <v>6263</v>
      </c>
      <c r="D262" s="6" t="s">
        <v>6264</v>
      </c>
      <c r="E262" s="6" t="s">
        <v>6265</v>
      </c>
      <c r="F262" s="8" t="s">
        <v>6266</v>
      </c>
      <c r="G262" s="6" t="s">
        <v>2781</v>
      </c>
      <c r="H262" s="6" t="s">
        <v>2782</v>
      </c>
      <c r="I262" s="6" t="s">
        <v>6267</v>
      </c>
      <c r="J262" s="6" t="s">
        <v>6268</v>
      </c>
      <c r="K262" s="9">
        <v>560100</v>
      </c>
      <c r="L262" s="8" t="s">
        <v>6269</v>
      </c>
      <c r="N262" s="6">
        <v>12.8501694</v>
      </c>
      <c r="O262" s="6">
        <v>77.665401599999996</v>
      </c>
      <c r="P262" s="6" t="s">
        <v>6270</v>
      </c>
      <c r="Q262" s="6">
        <v>30</v>
      </c>
      <c r="R262" s="6" t="s">
        <v>79</v>
      </c>
      <c r="S262" s="6">
        <v>1981</v>
      </c>
      <c r="T262" s="6">
        <v>1500000000</v>
      </c>
      <c r="U262" s="6" t="s">
        <v>167</v>
      </c>
      <c r="V262" s="6">
        <v>193383</v>
      </c>
      <c r="W262" s="6" t="s">
        <v>167</v>
      </c>
      <c r="X262" s="6" t="s">
        <v>6271</v>
      </c>
      <c r="Y262" s="6" t="s">
        <v>6272</v>
      </c>
      <c r="Z262" s="6" t="s">
        <v>6273</v>
      </c>
      <c r="AA262" s="6" t="s">
        <v>6274</v>
      </c>
      <c r="AB262" s="6" t="s">
        <v>6275</v>
      </c>
      <c r="AC262" s="6">
        <v>541512</v>
      </c>
      <c r="AD262" s="10" t="str">
        <f>_xlfn.XLOOKUP(AC262,[1]Mapping!B:B,[1]Mapping!C:C,"")</f>
        <v xml:space="preserve">Computer Systems Design Services </v>
      </c>
      <c r="AE262" s="6" t="s">
        <v>6276</v>
      </c>
      <c r="AF262" s="6" t="s">
        <v>6277</v>
      </c>
      <c r="AG262" s="6" t="s">
        <v>6278</v>
      </c>
      <c r="AH262" s="6" t="s">
        <v>6279</v>
      </c>
      <c r="AI262" s="6" t="s">
        <v>499</v>
      </c>
      <c r="AJ262" s="6" t="s">
        <v>174</v>
      </c>
      <c r="AK262" s="6" t="s">
        <v>175</v>
      </c>
      <c r="AL262" s="6" t="s">
        <v>176</v>
      </c>
      <c r="AM262" s="6" t="s">
        <v>177</v>
      </c>
      <c r="AN262" s="6" t="s">
        <v>91</v>
      </c>
      <c r="AO262" s="6" t="s">
        <v>92</v>
      </c>
      <c r="AQ262" s="6">
        <v>7373</v>
      </c>
      <c r="AR262" s="6" t="s">
        <v>2820</v>
      </c>
      <c r="AS262" s="6" t="s">
        <v>6280</v>
      </c>
      <c r="AT262" s="6">
        <v>6202</v>
      </c>
      <c r="AU262" s="6" t="s">
        <v>2821</v>
      </c>
      <c r="AV262" s="6">
        <v>62.02</v>
      </c>
      <c r="AW262" s="6" t="s">
        <v>2822</v>
      </c>
      <c r="AX262" s="6" t="s">
        <v>6281</v>
      </c>
      <c r="AY262" s="6" t="s">
        <v>6282</v>
      </c>
      <c r="AZ262" s="6" t="s">
        <v>6282</v>
      </c>
      <c r="BA262" s="6" t="s">
        <v>6283</v>
      </c>
      <c r="BD262" s="6" t="s">
        <v>6284</v>
      </c>
      <c r="BE262" s="6" t="str">
        <f t="shared" si="8"/>
        <v>infosys.com</v>
      </c>
      <c r="BF262" s="6" t="str">
        <f t="shared" si="9"/>
        <v>com</v>
      </c>
      <c r="BG262" s="6" t="s">
        <v>101</v>
      </c>
      <c r="BH262" s="6" t="s">
        <v>6285</v>
      </c>
      <c r="BI262" s="6" t="s">
        <v>6286</v>
      </c>
      <c r="BJ262" s="6" t="s">
        <v>6287</v>
      </c>
      <c r="BK262" s="6" t="s">
        <v>6288</v>
      </c>
      <c r="BN262" s="6" t="s">
        <v>6289</v>
      </c>
      <c r="BP262" s="6" t="s">
        <v>6290</v>
      </c>
      <c r="BQ262" s="6" t="s">
        <v>6291</v>
      </c>
      <c r="BR262" s="6" t="s">
        <v>105</v>
      </c>
    </row>
    <row r="263" spans="1:70" ht="45" customHeight="1" x14ac:dyDescent="0.25">
      <c r="A263" s="6">
        <v>263</v>
      </c>
      <c r="B263" s="7" t="s">
        <v>6292</v>
      </c>
      <c r="C263" s="8" t="s">
        <v>6293</v>
      </c>
      <c r="D263" s="6" t="s">
        <v>6294</v>
      </c>
      <c r="E263" s="8" t="s">
        <v>6292</v>
      </c>
      <c r="F263" s="8" t="s">
        <v>6295</v>
      </c>
      <c r="G263" s="6" t="s">
        <v>160</v>
      </c>
      <c r="H263" s="6" t="s">
        <v>161</v>
      </c>
      <c r="I263" s="8" t="s">
        <v>281</v>
      </c>
      <c r="J263" s="6" t="s">
        <v>1350</v>
      </c>
      <c r="K263" s="9" t="s">
        <v>5897</v>
      </c>
      <c r="L263" s="8" t="s">
        <v>6296</v>
      </c>
      <c r="M263" s="9">
        <v>3013</v>
      </c>
      <c r="N263" s="6">
        <v>59.371575999999997</v>
      </c>
      <c r="O263" s="6">
        <v>18.022301299999999</v>
      </c>
      <c r="R263" s="6" t="s">
        <v>79</v>
      </c>
      <c r="T263" s="6"/>
      <c r="X263" s="6" t="s">
        <v>6297</v>
      </c>
      <c r="Y263" s="6" t="s">
        <v>6298</v>
      </c>
      <c r="Z263" s="6" t="s">
        <v>6299</v>
      </c>
      <c r="AA263" s="6" t="s">
        <v>6300</v>
      </c>
      <c r="AB263" s="6" t="s">
        <v>6301</v>
      </c>
      <c r="AC263" s="6">
        <v>423430</v>
      </c>
      <c r="AD263" s="10" t="str">
        <f>_xlfn.XLOOKUP(AC263,[1]Mapping!B:B,[1]Mapping!C:C,"")</f>
        <v xml:space="preserve">Computer and Computer Peripheral Equipment and Software Merchant Wholesalers </v>
      </c>
      <c r="AG263" s="6" t="s">
        <v>1184</v>
      </c>
      <c r="AH263" s="6" t="s">
        <v>432</v>
      </c>
      <c r="AI263" s="6" t="s">
        <v>733</v>
      </c>
      <c r="AJ263" s="6" t="s">
        <v>174</v>
      </c>
      <c r="AK263" s="6" t="s">
        <v>175</v>
      </c>
      <c r="AL263" s="6" t="s">
        <v>176</v>
      </c>
      <c r="AM263" s="6" t="s">
        <v>177</v>
      </c>
      <c r="AN263" s="6" t="s">
        <v>91</v>
      </c>
      <c r="AO263" s="6" t="s">
        <v>92</v>
      </c>
      <c r="AQ263" s="6">
        <v>5045</v>
      </c>
      <c r="AR263" s="6" t="s">
        <v>6302</v>
      </c>
      <c r="AT263" s="6">
        <v>4651</v>
      </c>
      <c r="AU263" s="6" t="s">
        <v>1296</v>
      </c>
      <c r="AV263" s="6">
        <v>46.51</v>
      </c>
      <c r="AW263" s="6" t="s">
        <v>1296</v>
      </c>
      <c r="AY263" s="6" t="s">
        <v>6303</v>
      </c>
      <c r="BA263" s="6" t="s">
        <v>6304</v>
      </c>
      <c r="BD263" s="6" t="s">
        <v>6305</v>
      </c>
      <c r="BE263" s="6" t="str">
        <f t="shared" si="8"/>
        <v>se.ingrammicro.eu</v>
      </c>
      <c r="BF263" s="6" t="str">
        <f t="shared" si="9"/>
        <v>eu</v>
      </c>
      <c r="BG263" s="6" t="s">
        <v>1625</v>
      </c>
      <c r="BH263" s="6" t="s">
        <v>6306</v>
      </c>
      <c r="BJ263" s="6" t="s">
        <v>6307</v>
      </c>
      <c r="BK263" s="6" t="s">
        <v>6308</v>
      </c>
      <c r="BN263" s="6" t="s">
        <v>6309</v>
      </c>
      <c r="BQ263" s="6" t="s">
        <v>6310</v>
      </c>
      <c r="BR263" s="6" t="s">
        <v>105</v>
      </c>
    </row>
    <row r="264" spans="1:70" ht="45" customHeight="1" x14ac:dyDescent="0.25">
      <c r="A264" s="6">
        <v>264</v>
      </c>
      <c r="B264" s="7" t="s">
        <v>6311</v>
      </c>
      <c r="C264" s="8" t="s">
        <v>6312</v>
      </c>
      <c r="D264" s="6" t="s">
        <v>6313</v>
      </c>
      <c r="E264" s="8" t="s">
        <v>6314</v>
      </c>
      <c r="F264" s="8" t="s">
        <v>6315</v>
      </c>
      <c r="G264" s="6" t="s">
        <v>73</v>
      </c>
      <c r="H264" s="6" t="s">
        <v>74</v>
      </c>
      <c r="J264" s="6" t="s">
        <v>6316</v>
      </c>
      <c r="K264" s="9">
        <v>2730</v>
      </c>
      <c r="L264" s="8" t="s">
        <v>6317</v>
      </c>
      <c r="M264" s="9" t="s">
        <v>6318</v>
      </c>
      <c r="N264" s="6">
        <v>55.716486799999998</v>
      </c>
      <c r="O264" s="6">
        <v>12.4263736</v>
      </c>
      <c r="P264" s="6" t="s">
        <v>6319</v>
      </c>
      <c r="Q264" s="6">
        <v>1</v>
      </c>
      <c r="R264" s="6" t="s">
        <v>79</v>
      </c>
      <c r="T264" s="6">
        <v>16458196</v>
      </c>
      <c r="U264" s="6" t="s">
        <v>80</v>
      </c>
      <c r="V264" s="6">
        <v>15</v>
      </c>
      <c r="W264" s="6" t="s">
        <v>80</v>
      </c>
      <c r="X264" s="6" t="s">
        <v>6320</v>
      </c>
      <c r="Y264" s="6" t="s">
        <v>6321</v>
      </c>
      <c r="Z264" s="6" t="s">
        <v>6322</v>
      </c>
      <c r="AA264" s="6" t="s">
        <v>6323</v>
      </c>
      <c r="AC264" s="6">
        <v>312140</v>
      </c>
      <c r="AD264" s="10" t="str">
        <f>_xlfn.XLOOKUP(AC264,[1]Mapping!B:B,[1]Mapping!C:C,"")</f>
        <v xml:space="preserve">Distilleries </v>
      </c>
      <c r="AG264" s="6" t="s">
        <v>6324</v>
      </c>
      <c r="AH264" s="6" t="s">
        <v>5103</v>
      </c>
      <c r="AI264" s="6" t="s">
        <v>6325</v>
      </c>
      <c r="AJ264" s="6" t="s">
        <v>5101</v>
      </c>
      <c r="AK264" s="6" t="s">
        <v>5102</v>
      </c>
      <c r="AL264" s="6" t="s">
        <v>5103</v>
      </c>
      <c r="AM264" s="6" t="s">
        <v>5104</v>
      </c>
      <c r="AN264" s="6" t="s">
        <v>1027</v>
      </c>
      <c r="AO264" s="6" t="s">
        <v>1028</v>
      </c>
      <c r="AQ264" s="6">
        <v>2085</v>
      </c>
      <c r="AR264" s="6" t="s">
        <v>6326</v>
      </c>
      <c r="AS264" s="6" t="s">
        <v>6327</v>
      </c>
      <c r="AT264" s="6" t="s">
        <v>6328</v>
      </c>
      <c r="AU264" s="6" t="s">
        <v>6329</v>
      </c>
      <c r="AV264" s="6" t="s">
        <v>6330</v>
      </c>
      <c r="AW264" s="6" t="s">
        <v>6331</v>
      </c>
      <c r="AX264" s="6" t="s">
        <v>6332</v>
      </c>
      <c r="AY264" s="6" t="s">
        <v>6333</v>
      </c>
      <c r="AZ264" s="6" t="s">
        <v>6334</v>
      </c>
      <c r="BA264" s="6" t="s">
        <v>6335</v>
      </c>
      <c r="BD264" s="6" t="s">
        <v>6336</v>
      </c>
      <c r="BE264" s="6" t="str">
        <f t="shared" si="8"/>
        <v>inlumi.com</v>
      </c>
      <c r="BF264" s="6" t="str">
        <f t="shared" si="9"/>
        <v>com</v>
      </c>
      <c r="BG264" s="6" t="s">
        <v>123</v>
      </c>
      <c r="BP264" s="6" t="s">
        <v>6337</v>
      </c>
      <c r="BQ264" s="6" t="s">
        <v>6338</v>
      </c>
      <c r="BR264" s="6" t="s">
        <v>105</v>
      </c>
    </row>
    <row r="265" spans="1:70" ht="45" customHeight="1" x14ac:dyDescent="0.25">
      <c r="A265" s="6">
        <v>265</v>
      </c>
      <c r="B265" s="7" t="s">
        <v>6339</v>
      </c>
      <c r="C265" s="8" t="s">
        <v>6340</v>
      </c>
      <c r="D265" s="6" t="s">
        <v>6341</v>
      </c>
      <c r="E265" s="8" t="s">
        <v>6339</v>
      </c>
      <c r="F265" s="8" t="s">
        <v>6342</v>
      </c>
      <c r="G265" s="6" t="s">
        <v>315</v>
      </c>
      <c r="H265" s="6" t="s">
        <v>316</v>
      </c>
      <c r="J265" s="6" t="s">
        <v>316</v>
      </c>
      <c r="K265" s="9">
        <v>609930</v>
      </c>
      <c r="L265" s="8" t="s">
        <v>6343</v>
      </c>
      <c r="M265" s="9">
        <v>2</v>
      </c>
      <c r="N265" s="6">
        <v>1.3298502000000001</v>
      </c>
      <c r="O265" s="6">
        <v>103.7473981</v>
      </c>
      <c r="P265" s="6" t="s">
        <v>6344</v>
      </c>
      <c r="Q265" s="6">
        <v>3</v>
      </c>
      <c r="R265" s="6" t="s">
        <v>79</v>
      </c>
      <c r="S265" s="6">
        <v>2022</v>
      </c>
      <c r="T265" s="6">
        <v>1917964</v>
      </c>
      <c r="U265" s="6" t="s">
        <v>80</v>
      </c>
      <c r="V265" s="6">
        <v>9</v>
      </c>
      <c r="W265" s="6" t="s">
        <v>167</v>
      </c>
      <c r="X265" s="6" t="s">
        <v>6345</v>
      </c>
      <c r="Y265" s="6" t="s">
        <v>6346</v>
      </c>
      <c r="Z265" s="6" t="s">
        <v>6347</v>
      </c>
      <c r="AA265" s="6" t="s">
        <v>6348</v>
      </c>
      <c r="AB265" s="6" t="s">
        <v>6349</v>
      </c>
      <c r="AC265" s="6">
        <v>541511</v>
      </c>
      <c r="AD265" s="10" t="str">
        <f>_xlfn.XLOOKUP(AC265,[1]Mapping!B:B,[1]Mapping!C:C,"")</f>
        <v xml:space="preserve">Custom Computer Programming Services </v>
      </c>
      <c r="AG265" s="6" t="s">
        <v>990</v>
      </c>
      <c r="AH265" s="6" t="s">
        <v>174</v>
      </c>
      <c r="AI265" s="6" t="s">
        <v>87</v>
      </c>
      <c r="AJ265" s="6" t="s">
        <v>4494</v>
      </c>
      <c r="AK265" s="6" t="s">
        <v>6350</v>
      </c>
      <c r="AL265" s="6" t="s">
        <v>6351</v>
      </c>
      <c r="AM265" s="6" t="s">
        <v>6352</v>
      </c>
      <c r="AN265" s="6" t="s">
        <v>2585</v>
      </c>
      <c r="AO265" s="6" t="s">
        <v>2586</v>
      </c>
      <c r="AQ265" s="6">
        <v>7371</v>
      </c>
      <c r="AR265" s="6" t="s">
        <v>504</v>
      </c>
      <c r="AT265" s="6">
        <v>6201</v>
      </c>
      <c r="AU265" s="6" t="s">
        <v>505</v>
      </c>
      <c r="AV265" s="6">
        <v>62.01</v>
      </c>
      <c r="AW265" s="6" t="s">
        <v>505</v>
      </c>
      <c r="AY265" s="6" t="s">
        <v>6353</v>
      </c>
      <c r="BA265" s="6" t="s">
        <v>6354</v>
      </c>
      <c r="BB265" s="6" t="s">
        <v>6355</v>
      </c>
      <c r="BD265" s="6" t="s">
        <v>6356</v>
      </c>
      <c r="BE265" s="6" t="str">
        <f t="shared" si="8"/>
        <v>insidersecurity.co</v>
      </c>
      <c r="BF265" s="6" t="str">
        <f t="shared" si="9"/>
        <v>co</v>
      </c>
      <c r="BG265" s="6" t="s">
        <v>101</v>
      </c>
      <c r="BH265" s="6" t="s">
        <v>6357</v>
      </c>
      <c r="BI265" s="6" t="s">
        <v>6358</v>
      </c>
      <c r="BK265" s="6" t="s">
        <v>6359</v>
      </c>
      <c r="BQ265" s="6" t="s">
        <v>6360</v>
      </c>
      <c r="BR265" s="6" t="s">
        <v>105</v>
      </c>
    </row>
    <row r="266" spans="1:70" ht="45" customHeight="1" x14ac:dyDescent="0.25">
      <c r="A266" s="6">
        <v>266</v>
      </c>
      <c r="B266" s="7" t="s">
        <v>6361</v>
      </c>
      <c r="C266" s="8" t="s">
        <v>6362</v>
      </c>
      <c r="D266" s="6" t="s">
        <v>6363</v>
      </c>
      <c r="E266" s="6" t="s">
        <v>6364</v>
      </c>
      <c r="F266" s="8" t="s">
        <v>6365</v>
      </c>
      <c r="G266" s="6" t="s">
        <v>201</v>
      </c>
      <c r="H266" s="6" t="s">
        <v>202</v>
      </c>
      <c r="I266" s="6" t="s">
        <v>6366</v>
      </c>
      <c r="J266" s="6" t="s">
        <v>6367</v>
      </c>
      <c r="K266" s="9">
        <v>20191</v>
      </c>
      <c r="L266" s="8" t="s">
        <v>6368</v>
      </c>
      <c r="M266" s="9">
        <v>11440</v>
      </c>
      <c r="N266" s="6">
        <v>38.946700100000001</v>
      </c>
      <c r="O266" s="6">
        <v>-77.341524399999997</v>
      </c>
      <c r="P266" s="6" t="s">
        <v>6369</v>
      </c>
      <c r="Q266" s="6">
        <v>4</v>
      </c>
      <c r="R266" s="6" t="s">
        <v>79</v>
      </c>
      <c r="S266" s="6">
        <v>1990</v>
      </c>
      <c r="T266" s="6">
        <v>10685824</v>
      </c>
      <c r="U266" s="6" t="s">
        <v>80</v>
      </c>
      <c r="V266" s="6">
        <v>42</v>
      </c>
      <c r="W266" s="6" t="s">
        <v>167</v>
      </c>
      <c r="X266" s="6" t="s">
        <v>6370</v>
      </c>
      <c r="Y266" s="6" t="s">
        <v>6371</v>
      </c>
      <c r="Z266" s="6" t="s">
        <v>6372</v>
      </c>
      <c r="AA266" s="6" t="s">
        <v>6373</v>
      </c>
      <c r="AB266" s="6" t="s">
        <v>6374</v>
      </c>
      <c r="AC266" s="6">
        <v>541618</v>
      </c>
      <c r="AD266" s="10" t="str">
        <f>_xlfn.XLOOKUP(AC266,[1]Mapping!B:B,[1]Mapping!C:C,"")</f>
        <v xml:space="preserve">Other Management Consulting Services </v>
      </c>
      <c r="AG266" s="6" t="s">
        <v>6375</v>
      </c>
      <c r="AH266" s="6" t="s">
        <v>6376</v>
      </c>
      <c r="AI266" s="6" t="s">
        <v>652</v>
      </c>
      <c r="AJ266" s="6" t="s">
        <v>293</v>
      </c>
      <c r="AK266" s="6" t="s">
        <v>294</v>
      </c>
      <c r="AL266" s="6" t="s">
        <v>295</v>
      </c>
      <c r="AM266" s="6" t="s">
        <v>296</v>
      </c>
      <c r="AN266" s="6" t="s">
        <v>297</v>
      </c>
      <c r="AO266" s="6" t="s">
        <v>298</v>
      </c>
      <c r="AQ266" s="6">
        <v>8748</v>
      </c>
      <c r="AR266" s="6" t="s">
        <v>6011</v>
      </c>
      <c r="AS266" s="6" t="s">
        <v>6377</v>
      </c>
      <c r="AT266" s="6">
        <v>7020</v>
      </c>
      <c r="AU266" s="6" t="s">
        <v>378</v>
      </c>
      <c r="AV266" s="6">
        <v>70.22</v>
      </c>
      <c r="AW266" s="6" t="s">
        <v>659</v>
      </c>
      <c r="AX266" s="6" t="s">
        <v>6378</v>
      </c>
      <c r="AY266" s="6" t="s">
        <v>6379</v>
      </c>
      <c r="AZ266" s="6">
        <v>17032590205</v>
      </c>
      <c r="BA266" s="6" t="s">
        <v>6380</v>
      </c>
      <c r="BB266" s="6" t="s">
        <v>6380</v>
      </c>
      <c r="BD266" s="6" t="s">
        <v>6381</v>
      </c>
      <c r="BE266" s="6" t="str">
        <f t="shared" si="8"/>
        <v>integrityriskintl.com</v>
      </c>
      <c r="BF266" s="6" t="str">
        <f t="shared" si="9"/>
        <v>com</v>
      </c>
      <c r="BG266" s="6" t="s">
        <v>101</v>
      </c>
      <c r="BH266" s="6" t="s">
        <v>6382</v>
      </c>
      <c r="BI266" s="6" t="s">
        <v>6383</v>
      </c>
      <c r="BK266" s="6" t="s">
        <v>6384</v>
      </c>
      <c r="BN266" s="6" t="s">
        <v>6385</v>
      </c>
      <c r="BP266" s="6" t="s">
        <v>6386</v>
      </c>
      <c r="BQ266" s="6" t="s">
        <v>6387</v>
      </c>
      <c r="BR266" s="6" t="s">
        <v>105</v>
      </c>
    </row>
    <row r="267" spans="1:70" ht="45" customHeight="1" x14ac:dyDescent="0.25">
      <c r="A267" s="6">
        <v>267</v>
      </c>
      <c r="B267" s="7" t="s">
        <v>6388</v>
      </c>
      <c r="C267" s="8" t="s">
        <v>6389</v>
      </c>
      <c r="D267" s="6" t="s">
        <v>6390</v>
      </c>
      <c r="E267" s="6" t="s">
        <v>6388</v>
      </c>
      <c r="F267" s="8" t="s">
        <v>6390</v>
      </c>
      <c r="G267" s="6" t="s">
        <v>6391</v>
      </c>
      <c r="H267" s="6" t="s">
        <v>6392</v>
      </c>
      <c r="I267" s="6" t="s">
        <v>6393</v>
      </c>
      <c r="J267" s="6" t="s">
        <v>6394</v>
      </c>
      <c r="K267" s="9" t="s">
        <v>6395</v>
      </c>
      <c r="L267" s="8" t="s">
        <v>6396</v>
      </c>
      <c r="M267" s="9">
        <v>400</v>
      </c>
      <c r="N267" s="6">
        <v>45.340728400000003</v>
      </c>
      <c r="O267" s="6">
        <v>-75.912201299999992</v>
      </c>
      <c r="P267" s="6" t="s">
        <v>6397</v>
      </c>
      <c r="Q267" s="6">
        <v>5</v>
      </c>
      <c r="R267" s="6" t="s">
        <v>906</v>
      </c>
      <c r="S267" s="6">
        <v>1992</v>
      </c>
      <c r="T267" s="6">
        <v>15500000</v>
      </c>
      <c r="U267" s="6" t="s">
        <v>167</v>
      </c>
      <c r="V267" s="6">
        <v>180</v>
      </c>
      <c r="W267" s="6" t="s">
        <v>167</v>
      </c>
      <c r="X267" s="6" t="s">
        <v>6398</v>
      </c>
      <c r="Y267" s="6" t="s">
        <v>6399</v>
      </c>
      <c r="Z267" s="6" t="s">
        <v>6400</v>
      </c>
      <c r="AA267" s="6" t="s">
        <v>6401</v>
      </c>
      <c r="AB267" s="6" t="s">
        <v>6402</v>
      </c>
      <c r="AC267" s="6">
        <v>541910</v>
      </c>
      <c r="AD267" s="10" t="str">
        <f>_xlfn.XLOOKUP(AC267,[1]Mapping!B:B,[1]Mapping!C:C,"")</f>
        <v>Marketing Research and Public Opinion Polling</v>
      </c>
      <c r="AG267" s="6" t="s">
        <v>6403</v>
      </c>
      <c r="AH267" s="6" t="s">
        <v>6404</v>
      </c>
      <c r="AI267" s="6" t="s">
        <v>652</v>
      </c>
      <c r="AJ267" s="6" t="s">
        <v>293</v>
      </c>
      <c r="AK267" s="6" t="s">
        <v>294</v>
      </c>
      <c r="AL267" s="6" t="s">
        <v>295</v>
      </c>
      <c r="AM267" s="6" t="s">
        <v>296</v>
      </c>
      <c r="AN267" s="6" t="s">
        <v>297</v>
      </c>
      <c r="AO267" s="6" t="s">
        <v>298</v>
      </c>
      <c r="AQ267" s="6">
        <v>8732</v>
      </c>
      <c r="AR267" s="6" t="s">
        <v>6405</v>
      </c>
      <c r="AS267" s="6" t="s">
        <v>6406</v>
      </c>
      <c r="AT267" s="6">
        <v>7320</v>
      </c>
      <c r="AU267" s="6" t="s">
        <v>6407</v>
      </c>
      <c r="AV267" s="6">
        <v>73.2</v>
      </c>
      <c r="AW267" s="6" t="s">
        <v>6407</v>
      </c>
      <c r="AX267" s="6" t="s">
        <v>6408</v>
      </c>
      <c r="AY267" s="6" t="s">
        <v>6409</v>
      </c>
      <c r="AZ267" s="6" t="s">
        <v>6410</v>
      </c>
      <c r="BA267" s="6" t="s">
        <v>6411</v>
      </c>
      <c r="BB267" s="6" t="s">
        <v>6412</v>
      </c>
      <c r="BC267" s="6" t="s">
        <v>6411</v>
      </c>
      <c r="BD267" s="6" t="s">
        <v>6413</v>
      </c>
      <c r="BE267" s="6" t="str">
        <f t="shared" si="8"/>
        <v>intouchinsight.com</v>
      </c>
      <c r="BF267" s="6" t="str">
        <f t="shared" si="9"/>
        <v>com</v>
      </c>
      <c r="BG267" s="6" t="s">
        <v>101</v>
      </c>
      <c r="BH267" s="6" t="s">
        <v>6414</v>
      </c>
      <c r="BI267" s="6" t="s">
        <v>6415</v>
      </c>
      <c r="BK267" s="6" t="s">
        <v>6416</v>
      </c>
      <c r="BN267" s="6" t="s">
        <v>6417</v>
      </c>
      <c r="BP267" s="6" t="s">
        <v>6418</v>
      </c>
      <c r="BQ267" s="6" t="s">
        <v>6419</v>
      </c>
      <c r="BR267" s="6" t="s">
        <v>105</v>
      </c>
    </row>
    <row r="268" spans="1:70" ht="45" customHeight="1" x14ac:dyDescent="0.25">
      <c r="A268" s="6">
        <v>268</v>
      </c>
      <c r="B268" s="7" t="s">
        <v>6420</v>
      </c>
      <c r="C268" s="8" t="s">
        <v>6421</v>
      </c>
      <c r="D268" s="6" t="s">
        <v>6422</v>
      </c>
      <c r="E268" s="6" t="s">
        <v>6423</v>
      </c>
      <c r="F268" s="8" t="s">
        <v>6424</v>
      </c>
      <c r="G268" s="6" t="s">
        <v>594</v>
      </c>
      <c r="H268" s="6" t="s">
        <v>595</v>
      </c>
      <c r="I268" s="6" t="s">
        <v>6425</v>
      </c>
      <c r="J268" s="6" t="s">
        <v>6425</v>
      </c>
      <c r="K268" s="9">
        <v>6300</v>
      </c>
      <c r="L268" s="8" t="s">
        <v>6426</v>
      </c>
      <c r="M268" s="9" t="s">
        <v>6427</v>
      </c>
      <c r="N268" s="6">
        <v>47.172435200000002</v>
      </c>
      <c r="O268" s="6">
        <v>8.5182089999999988</v>
      </c>
      <c r="P268" s="6" t="s">
        <v>6428</v>
      </c>
      <c r="Q268" s="6">
        <v>3</v>
      </c>
      <c r="R268" s="6" t="s">
        <v>79</v>
      </c>
      <c r="T268" s="6">
        <v>25266520</v>
      </c>
      <c r="U268" s="6" t="s">
        <v>80</v>
      </c>
      <c r="V268" s="6">
        <v>150</v>
      </c>
      <c r="W268" s="6" t="s">
        <v>80</v>
      </c>
      <c r="X268" s="6" t="s">
        <v>6429</v>
      </c>
      <c r="Y268" s="6" t="s">
        <v>6430</v>
      </c>
      <c r="Z268" s="6" t="s">
        <v>6431</v>
      </c>
      <c r="AA268" s="6" t="s">
        <v>6432</v>
      </c>
      <c r="AB268" s="6" t="s">
        <v>6433</v>
      </c>
      <c r="AC268" s="6">
        <v>561440</v>
      </c>
      <c r="AD268" s="10" t="str">
        <f>_xlfn.XLOOKUP(AC268,[1]Mapping!B:B,[1]Mapping!C:C,"")</f>
        <v>Collection Agencies</v>
      </c>
      <c r="AG268" s="6" t="s">
        <v>6434</v>
      </c>
      <c r="AH268" s="6" t="s">
        <v>118</v>
      </c>
      <c r="AI268" s="6" t="s">
        <v>119</v>
      </c>
      <c r="AJ268" s="6" t="s">
        <v>293</v>
      </c>
      <c r="AK268" s="6" t="s">
        <v>294</v>
      </c>
      <c r="AL268" s="6" t="s">
        <v>295</v>
      </c>
      <c r="AM268" s="6" t="s">
        <v>296</v>
      </c>
      <c r="AN268" s="6" t="s">
        <v>297</v>
      </c>
      <c r="AO268" s="6" t="s">
        <v>298</v>
      </c>
      <c r="AQ268" s="6" t="s">
        <v>6435</v>
      </c>
      <c r="AR268" s="6" t="s">
        <v>6436</v>
      </c>
      <c r="AT268" s="6" t="s">
        <v>6437</v>
      </c>
      <c r="AU268" s="6" t="s">
        <v>6438</v>
      </c>
      <c r="AV268" s="6" t="s">
        <v>6439</v>
      </c>
      <c r="AW268" s="6" t="s">
        <v>6438</v>
      </c>
      <c r="AY268" s="6" t="s">
        <v>6440</v>
      </c>
      <c r="AZ268" s="6" t="s">
        <v>6441</v>
      </c>
      <c r="BA268" s="6" t="s">
        <v>6442</v>
      </c>
      <c r="BB268" s="6" t="s">
        <v>6443</v>
      </c>
      <c r="BD268" s="6" t="s">
        <v>6444</v>
      </c>
      <c r="BE268" s="6" t="str">
        <f t="shared" si="8"/>
        <v>intrum.com</v>
      </c>
      <c r="BF268" s="6" t="str">
        <f t="shared" si="9"/>
        <v>com</v>
      </c>
      <c r="BG268" s="6" t="s">
        <v>337</v>
      </c>
      <c r="BJ268" s="6" t="s">
        <v>6445</v>
      </c>
      <c r="BK268" s="6" t="s">
        <v>6446</v>
      </c>
      <c r="BN268" s="6" t="s">
        <v>6447</v>
      </c>
      <c r="BP268" s="6" t="s">
        <v>6448</v>
      </c>
      <c r="BQ268" s="6" t="s">
        <v>6449</v>
      </c>
      <c r="BR268" s="6" t="s">
        <v>105</v>
      </c>
    </row>
    <row r="269" spans="1:70" ht="45" customHeight="1" x14ac:dyDescent="0.25">
      <c r="A269" s="6">
        <v>269</v>
      </c>
      <c r="B269" s="7" t="s">
        <v>6450</v>
      </c>
      <c r="C269" s="8" t="s">
        <v>6451</v>
      </c>
      <c r="D269" s="6" t="s">
        <v>6452</v>
      </c>
      <c r="E269" s="8" t="s">
        <v>6450</v>
      </c>
      <c r="F269" s="8" t="s">
        <v>6453</v>
      </c>
      <c r="G269" s="6" t="s">
        <v>73</v>
      </c>
      <c r="H269" s="6" t="s">
        <v>74</v>
      </c>
      <c r="J269" s="6" t="s">
        <v>486</v>
      </c>
      <c r="K269" s="9">
        <v>2300</v>
      </c>
      <c r="L269" s="8" t="s">
        <v>6454</v>
      </c>
      <c r="M269" s="9">
        <v>10</v>
      </c>
      <c r="N269" s="6">
        <v>55.6298563</v>
      </c>
      <c r="O269" s="6">
        <v>12.580812</v>
      </c>
      <c r="P269" s="6" t="s">
        <v>4281</v>
      </c>
      <c r="Q269" s="6">
        <v>1</v>
      </c>
      <c r="R269" s="6" t="s">
        <v>79</v>
      </c>
      <c r="S269" s="6">
        <v>1992</v>
      </c>
      <c r="T269" s="6">
        <v>3571306</v>
      </c>
      <c r="U269" s="6" t="s">
        <v>80</v>
      </c>
      <c r="V269" s="6">
        <v>30</v>
      </c>
      <c r="W269" s="6" t="s">
        <v>80</v>
      </c>
      <c r="X269" s="6" t="s">
        <v>6455</v>
      </c>
      <c r="Y269" s="6" t="s">
        <v>6456</v>
      </c>
      <c r="Z269" s="6" t="s">
        <v>6457</v>
      </c>
      <c r="AA269" s="6" t="s">
        <v>6458</v>
      </c>
      <c r="AB269" s="6" t="s">
        <v>6459</v>
      </c>
      <c r="AC269" s="6">
        <v>541430</v>
      </c>
      <c r="AD269" s="10" t="str">
        <f>_xlfn.XLOOKUP(AC269,[1]Mapping!B:B,[1]Mapping!C:C,"")</f>
        <v>Graphic Design Services</v>
      </c>
      <c r="AG269" s="6" t="s">
        <v>6460</v>
      </c>
      <c r="AH269" s="6" t="s">
        <v>6460</v>
      </c>
      <c r="AI269" s="6" t="s">
        <v>500</v>
      </c>
      <c r="AJ269" s="6" t="s">
        <v>500</v>
      </c>
      <c r="AK269" s="6" t="s">
        <v>501</v>
      </c>
      <c r="AL269" s="6" t="s">
        <v>502</v>
      </c>
      <c r="AM269" s="6" t="s">
        <v>503</v>
      </c>
      <c r="AN269" s="6" t="s">
        <v>297</v>
      </c>
      <c r="AO269" s="6" t="s">
        <v>298</v>
      </c>
      <c r="AQ269" s="6" t="s">
        <v>6461</v>
      </c>
      <c r="AR269" s="6" t="s">
        <v>6462</v>
      </c>
      <c r="AT269" s="6">
        <v>7410</v>
      </c>
      <c r="AU269" s="6" t="s">
        <v>5202</v>
      </c>
      <c r="AV269" s="6">
        <v>74.099999999999994</v>
      </c>
      <c r="AW269" s="6" t="s">
        <v>5203</v>
      </c>
      <c r="AY269" s="6" t="s">
        <v>6463</v>
      </c>
      <c r="AZ269" s="6" t="s">
        <v>6464</v>
      </c>
      <c r="BA269" s="6" t="s">
        <v>6465</v>
      </c>
      <c r="BB269" s="6" t="s">
        <v>6465</v>
      </c>
      <c r="BD269" s="6" t="s">
        <v>6466</v>
      </c>
      <c r="BE269" s="6" t="str">
        <f t="shared" si="8"/>
        <v>advania.dk</v>
      </c>
      <c r="BF269" s="6" t="str">
        <f t="shared" si="9"/>
        <v>dk</v>
      </c>
      <c r="BG269" s="6" t="s">
        <v>308</v>
      </c>
      <c r="BH269" s="6" t="s">
        <v>6467</v>
      </c>
      <c r="BJ269" s="6" t="s">
        <v>6468</v>
      </c>
      <c r="BK269" s="6" t="s">
        <v>6469</v>
      </c>
      <c r="BN269" s="6" t="s">
        <v>6470</v>
      </c>
      <c r="BP269" s="6" t="s">
        <v>6471</v>
      </c>
      <c r="BQ269" s="6" t="s">
        <v>6472</v>
      </c>
      <c r="BR269" s="6" t="s">
        <v>105</v>
      </c>
    </row>
    <row r="270" spans="1:70" ht="45" customHeight="1" x14ac:dyDescent="0.25">
      <c r="A270" s="6">
        <v>270</v>
      </c>
      <c r="B270" s="7" t="s">
        <v>6473</v>
      </c>
      <c r="C270" s="8" t="s">
        <v>6474</v>
      </c>
      <c r="D270" s="6" t="s">
        <v>6475</v>
      </c>
      <c r="E270" s="6" t="s">
        <v>6476</v>
      </c>
      <c r="F270" s="8" t="s">
        <v>6477</v>
      </c>
      <c r="G270" s="6" t="s">
        <v>315</v>
      </c>
      <c r="H270" s="6" t="s">
        <v>316</v>
      </c>
      <c r="I270" s="6"/>
      <c r="J270" s="6" t="s">
        <v>316</v>
      </c>
      <c r="K270" s="9">
        <v>238838</v>
      </c>
      <c r="L270" s="8" t="s">
        <v>6478</v>
      </c>
      <c r="M270" s="9">
        <v>61</v>
      </c>
      <c r="N270" s="6">
        <v>1.2991946999999999</v>
      </c>
      <c r="O270" s="6">
        <v>103.84594250000001</v>
      </c>
      <c r="P270" s="6" t="s">
        <v>6479</v>
      </c>
      <c r="Q270" s="6">
        <v>5</v>
      </c>
      <c r="R270" s="6" t="s">
        <v>79</v>
      </c>
      <c r="S270" s="6">
        <v>2018</v>
      </c>
      <c r="T270" s="6">
        <v>162312528</v>
      </c>
      <c r="U270" s="6" t="s">
        <v>80</v>
      </c>
      <c r="V270" s="6">
        <v>88</v>
      </c>
      <c r="W270" s="6" t="s">
        <v>167</v>
      </c>
      <c r="X270" s="6" t="s">
        <v>6480</v>
      </c>
      <c r="Y270" s="6" t="s">
        <v>6481</v>
      </c>
      <c r="Z270" s="6" t="s">
        <v>6482</v>
      </c>
      <c r="AA270" s="6" t="s">
        <v>6483</v>
      </c>
      <c r="AB270" s="6" t="s">
        <v>6484</v>
      </c>
      <c r="AC270" s="6">
        <v>524113</v>
      </c>
      <c r="AD270" s="10" t="str">
        <f>_xlfn.XLOOKUP(AC270,[1]Mapping!B:B,[1]Mapping!C:C,"")</f>
        <v xml:space="preserve">Direct Life Insurance Carriers </v>
      </c>
      <c r="AE270" s="6">
        <v>523940</v>
      </c>
      <c r="AF270" s="6" t="s">
        <v>6485</v>
      </c>
      <c r="AG270" s="6" t="s">
        <v>760</v>
      </c>
      <c r="AH270" s="6" t="s">
        <v>761</v>
      </c>
      <c r="AI270" s="6" t="s">
        <v>119</v>
      </c>
      <c r="AJ270" s="6" t="s">
        <v>6486</v>
      </c>
      <c r="AK270" s="6" t="s">
        <v>6487</v>
      </c>
      <c r="AL270" s="6" t="s">
        <v>1582</v>
      </c>
      <c r="AM270" s="6" t="s">
        <v>1583</v>
      </c>
      <c r="AN270" s="6" t="s">
        <v>764</v>
      </c>
      <c r="AO270" s="6" t="s">
        <v>765</v>
      </c>
      <c r="AQ270" s="6" t="s">
        <v>766</v>
      </c>
      <c r="AR270" s="6" t="s">
        <v>767</v>
      </c>
      <c r="AS270" s="6" t="s">
        <v>6488</v>
      </c>
      <c r="AT270" s="6">
        <v>6511</v>
      </c>
      <c r="AU270" s="6" t="s">
        <v>769</v>
      </c>
      <c r="AV270" s="6">
        <v>65.11</v>
      </c>
      <c r="AW270" s="6" t="s">
        <v>769</v>
      </c>
      <c r="AX270" s="6" t="s">
        <v>6489</v>
      </c>
      <c r="AY270" s="6" t="s">
        <v>6490</v>
      </c>
      <c r="AZ270" s="6" t="s">
        <v>6491</v>
      </c>
      <c r="BA270" s="6" t="s">
        <v>6492</v>
      </c>
      <c r="BB270" s="6" t="s">
        <v>6493</v>
      </c>
      <c r="BD270" s="6" t="s">
        <v>6494</v>
      </c>
      <c r="BE270" s="6" t="str">
        <f t="shared" si="8"/>
        <v>apac.ipgmediabrands.com</v>
      </c>
      <c r="BF270" s="6" t="str">
        <f t="shared" si="9"/>
        <v>com</v>
      </c>
      <c r="BG270" s="6" t="s">
        <v>101</v>
      </c>
      <c r="BK270" s="6" t="s">
        <v>6495</v>
      </c>
      <c r="BP270" s="6" t="s">
        <v>6496</v>
      </c>
      <c r="BQ270" s="6" t="s">
        <v>6497</v>
      </c>
      <c r="BR270" s="6" t="s">
        <v>105</v>
      </c>
    </row>
    <row r="271" spans="1:70" ht="45" customHeight="1" x14ac:dyDescent="0.25">
      <c r="A271" s="6">
        <v>271</v>
      </c>
      <c r="B271" s="7" t="s">
        <v>6498</v>
      </c>
      <c r="C271" s="8" t="s">
        <v>6499</v>
      </c>
      <c r="D271" s="6" t="s">
        <v>6500</v>
      </c>
      <c r="E271" s="8" t="s">
        <v>6501</v>
      </c>
      <c r="F271" s="8" t="s">
        <v>6501</v>
      </c>
      <c r="G271" s="6" t="s">
        <v>612</v>
      </c>
      <c r="H271" s="6" t="s">
        <v>613</v>
      </c>
      <c r="I271" s="6" t="s">
        <v>1305</v>
      </c>
      <c r="J271" s="6" t="s">
        <v>752</v>
      </c>
      <c r="K271" s="9">
        <v>59200</v>
      </c>
      <c r="L271" s="8" t="s">
        <v>6502</v>
      </c>
      <c r="N271" s="6">
        <v>3.1167048999999998</v>
      </c>
      <c r="O271" s="6">
        <v>101.6779171</v>
      </c>
      <c r="P271" s="6" t="s">
        <v>6503</v>
      </c>
      <c r="Q271" s="6">
        <v>1</v>
      </c>
      <c r="R271" s="6" t="s">
        <v>79</v>
      </c>
      <c r="T271" s="6"/>
      <c r="X271" s="6" t="s">
        <v>6504</v>
      </c>
      <c r="Y271" s="6" t="s">
        <v>6505</v>
      </c>
      <c r="Z271" s="6" t="s">
        <v>6506</v>
      </c>
      <c r="AC271" s="10">
        <f>_xlfn.XLOOKUP(AH271,[1]Mapping!C:C,[1]Mapping!B:B,"",1)</f>
        <v>541613</v>
      </c>
      <c r="AD271" s="10" t="str">
        <f>_xlfn.XLOOKUP(AC271,[1]Mapping!B:B,[1]Mapping!C:C,"")</f>
        <v xml:space="preserve">Marketing Consulting Services </v>
      </c>
      <c r="AG271" s="6" t="s">
        <v>6507</v>
      </c>
      <c r="AH271" s="6" t="s">
        <v>1143</v>
      </c>
      <c r="AI271" s="6" t="s">
        <v>500</v>
      </c>
      <c r="AY271" s="6" t="s">
        <v>6508</v>
      </c>
      <c r="AZ271" s="6">
        <v>60322893000</v>
      </c>
      <c r="BD271" s="6" t="s">
        <v>6509</v>
      </c>
      <c r="BE271" s="6" t="str">
        <f t="shared" si="8"/>
        <v>ipsos.com</v>
      </c>
      <c r="BF271" s="6" t="str">
        <f t="shared" si="9"/>
        <v>com</v>
      </c>
      <c r="BG271" s="6" t="s">
        <v>101</v>
      </c>
      <c r="BH271" s="6" t="s">
        <v>6510</v>
      </c>
      <c r="BQ271" s="6" t="s">
        <v>6511</v>
      </c>
      <c r="BR271" s="6" t="s">
        <v>105</v>
      </c>
    </row>
    <row r="272" spans="1:70" ht="45" customHeight="1" x14ac:dyDescent="0.25">
      <c r="A272" s="6">
        <v>272</v>
      </c>
      <c r="B272" s="7" t="s">
        <v>6512</v>
      </c>
      <c r="C272" s="8" t="s">
        <v>6513</v>
      </c>
      <c r="D272" s="6" t="s">
        <v>6514</v>
      </c>
      <c r="E272" s="8" t="s">
        <v>6515</v>
      </c>
      <c r="F272" s="8" t="s">
        <v>6515</v>
      </c>
      <c r="G272" s="6" t="s">
        <v>73</v>
      </c>
      <c r="H272" s="6" t="s">
        <v>74</v>
      </c>
      <c r="I272" s="6"/>
      <c r="J272" s="6" t="s">
        <v>111</v>
      </c>
      <c r="K272" s="9">
        <v>2860</v>
      </c>
      <c r="L272" s="8" t="s">
        <v>6516</v>
      </c>
      <c r="M272" s="9">
        <v>50</v>
      </c>
      <c r="N272" s="6">
        <v>55.726247800000003</v>
      </c>
      <c r="O272" s="6">
        <v>12.4762228</v>
      </c>
      <c r="P272" s="6" t="s">
        <v>6517</v>
      </c>
      <c r="Q272" s="6">
        <v>38</v>
      </c>
      <c r="R272" s="6" t="s">
        <v>79</v>
      </c>
      <c r="S272" s="6">
        <v>1990</v>
      </c>
      <c r="T272" s="6"/>
      <c r="X272" s="6" t="s">
        <v>6518</v>
      </c>
      <c r="Y272" s="6" t="s">
        <v>6519</v>
      </c>
      <c r="Z272" s="6" t="s">
        <v>6520</v>
      </c>
      <c r="AA272" s="6" t="s">
        <v>6521</v>
      </c>
      <c r="AB272" s="6" t="s">
        <v>6522</v>
      </c>
      <c r="AC272" s="6">
        <v>561210</v>
      </c>
      <c r="AD272" s="10" t="str">
        <f>_xlfn.XLOOKUP(AC272,[1]Mapping!B:B,[1]Mapping!C:C,"")</f>
        <v>Facilities Support Services</v>
      </c>
      <c r="AE272" s="6" t="s">
        <v>6523</v>
      </c>
      <c r="AF272" s="6" t="s">
        <v>6524</v>
      </c>
      <c r="AG272" s="6" t="s">
        <v>6525</v>
      </c>
      <c r="AH272" s="6" t="s">
        <v>6526</v>
      </c>
      <c r="AI272" s="6" t="s">
        <v>3041</v>
      </c>
      <c r="AJ272" s="6" t="s">
        <v>293</v>
      </c>
      <c r="AK272" s="6" t="s">
        <v>294</v>
      </c>
      <c r="AL272" s="6" t="s">
        <v>295</v>
      </c>
      <c r="AM272" s="6" t="s">
        <v>296</v>
      </c>
      <c r="AN272" s="6" t="s">
        <v>297</v>
      </c>
      <c r="AO272" s="6" t="s">
        <v>298</v>
      </c>
      <c r="AQ272" s="6">
        <v>7349</v>
      </c>
      <c r="AR272" s="6" t="s">
        <v>6527</v>
      </c>
      <c r="AT272" s="6">
        <v>8110</v>
      </c>
      <c r="AU272" s="6" t="s">
        <v>2353</v>
      </c>
      <c r="AV272" s="6">
        <v>81.099999999999994</v>
      </c>
      <c r="AW272" s="6" t="s">
        <v>2353</v>
      </c>
      <c r="AY272" s="6" t="s">
        <v>6528</v>
      </c>
      <c r="AZ272" s="6" t="s">
        <v>6529</v>
      </c>
      <c r="BA272" s="6" t="s">
        <v>6530</v>
      </c>
      <c r="BB272" s="6" t="s">
        <v>6531</v>
      </c>
      <c r="BD272" s="6" t="s">
        <v>6532</v>
      </c>
      <c r="BE272" s="6" t="str">
        <f t="shared" si="8"/>
        <v>dk.issworld.com</v>
      </c>
      <c r="BF272" s="6" t="str">
        <f t="shared" si="9"/>
        <v>com</v>
      </c>
      <c r="BG272" s="6" t="s">
        <v>101</v>
      </c>
      <c r="BH272" s="6" t="s">
        <v>6533</v>
      </c>
      <c r="BI272" s="6" t="s">
        <v>6534</v>
      </c>
      <c r="BK272" s="6" t="s">
        <v>6535</v>
      </c>
      <c r="BN272" s="6" t="s">
        <v>6536</v>
      </c>
      <c r="BP272" s="6" t="s">
        <v>6537</v>
      </c>
      <c r="BQ272" s="6" t="s">
        <v>6538</v>
      </c>
      <c r="BR272" s="6" t="s">
        <v>105</v>
      </c>
    </row>
    <row r="273" spans="1:70" ht="45" customHeight="1" x14ac:dyDescent="0.25">
      <c r="A273" s="6">
        <v>273</v>
      </c>
      <c r="B273" s="7" t="s">
        <v>6539</v>
      </c>
      <c r="C273" s="8" t="s">
        <v>6540</v>
      </c>
      <c r="D273" s="6" t="s">
        <v>6541</v>
      </c>
      <c r="E273" s="8" t="s">
        <v>6542</v>
      </c>
      <c r="F273" s="8" t="s">
        <v>6542</v>
      </c>
      <c r="G273" s="6" t="s">
        <v>160</v>
      </c>
      <c r="H273" s="6" t="s">
        <v>161</v>
      </c>
      <c r="I273" s="6" t="s">
        <v>281</v>
      </c>
      <c r="J273" s="6" t="s">
        <v>282</v>
      </c>
      <c r="K273" s="9" t="s">
        <v>4050</v>
      </c>
      <c r="L273" s="8" t="s">
        <v>6543</v>
      </c>
      <c r="M273" s="9">
        <v>4</v>
      </c>
      <c r="N273" s="6">
        <v>59.309442300000001</v>
      </c>
      <c r="O273" s="6">
        <v>18.028514399999999</v>
      </c>
      <c r="P273" s="6" t="s">
        <v>6544</v>
      </c>
      <c r="Q273" s="6">
        <v>1</v>
      </c>
      <c r="R273" s="6" t="s">
        <v>79</v>
      </c>
      <c r="T273" s="6"/>
      <c r="X273" s="6" t="s">
        <v>6545</v>
      </c>
      <c r="Y273" s="6" t="s">
        <v>6546</v>
      </c>
      <c r="Z273" s="6" t="s">
        <v>6547</v>
      </c>
      <c r="AC273" s="6">
        <v>561720</v>
      </c>
      <c r="AD273" s="10" t="str">
        <f>_xlfn.XLOOKUP(AC273,[1]Mapping!B:B,[1]Mapping!C:C,"")</f>
        <v xml:space="preserve">Janitorial Services </v>
      </c>
      <c r="AG273" s="6" t="s">
        <v>6548</v>
      </c>
      <c r="AH273" s="6" t="s">
        <v>6549</v>
      </c>
      <c r="AI273" s="6" t="s">
        <v>141</v>
      </c>
      <c r="AQ273" s="6" t="s">
        <v>6550</v>
      </c>
      <c r="AR273" s="6" t="s">
        <v>6551</v>
      </c>
      <c r="AT273" s="6" t="s">
        <v>6552</v>
      </c>
      <c r="AU273" s="6" t="s">
        <v>6553</v>
      </c>
      <c r="AV273" s="6" t="s">
        <v>6554</v>
      </c>
      <c r="AW273" s="6" t="s">
        <v>6555</v>
      </c>
      <c r="AY273" s="6" t="s">
        <v>6556</v>
      </c>
      <c r="AZ273" s="6">
        <v>46771181020</v>
      </c>
      <c r="BD273" s="6" t="s">
        <v>6557</v>
      </c>
      <c r="BE273" s="6" t="str">
        <f t="shared" si="8"/>
        <v>se.issworld.com</v>
      </c>
      <c r="BF273" s="6" t="str">
        <f t="shared" si="9"/>
        <v>com</v>
      </c>
      <c r="BG273" s="6" t="s">
        <v>101</v>
      </c>
      <c r="BH273" s="6" t="s">
        <v>6558</v>
      </c>
      <c r="BI273" s="6" t="s">
        <v>6534</v>
      </c>
      <c r="BK273" s="6" t="s">
        <v>6559</v>
      </c>
      <c r="BN273" s="6" t="s">
        <v>6536</v>
      </c>
      <c r="BQ273" s="6" t="s">
        <v>6560</v>
      </c>
      <c r="BR273" s="6" t="s">
        <v>105</v>
      </c>
    </row>
    <row r="274" spans="1:70" ht="45" customHeight="1" x14ac:dyDescent="0.25">
      <c r="A274" s="6">
        <v>274</v>
      </c>
      <c r="B274" s="7" t="s">
        <v>6561</v>
      </c>
      <c r="C274" s="8" t="s">
        <v>6562</v>
      </c>
      <c r="D274" s="6" t="s">
        <v>6563</v>
      </c>
      <c r="E274" s="8" t="s">
        <v>6561</v>
      </c>
      <c r="F274" s="8" t="s">
        <v>6563</v>
      </c>
      <c r="G274" s="6" t="s">
        <v>130</v>
      </c>
      <c r="H274" s="6" t="s">
        <v>131</v>
      </c>
      <c r="I274" s="8" t="s">
        <v>132</v>
      </c>
      <c r="J274" s="6" t="s">
        <v>132</v>
      </c>
      <c r="K274" s="9">
        <v>195</v>
      </c>
      <c r="L274" s="8" t="s">
        <v>6564</v>
      </c>
      <c r="M274" s="9">
        <v>1</v>
      </c>
      <c r="N274" s="6">
        <v>59.904119700000003</v>
      </c>
      <c r="O274" s="6">
        <v>10.785323</v>
      </c>
      <c r="P274" s="6" t="s">
        <v>6565</v>
      </c>
      <c r="Q274" s="6">
        <v>2</v>
      </c>
      <c r="R274" s="6" t="s">
        <v>79</v>
      </c>
      <c r="T274" s="6"/>
      <c r="X274" s="6" t="s">
        <v>6566</v>
      </c>
      <c r="Y274" s="6" t="s">
        <v>6519</v>
      </c>
      <c r="Z274" s="6" t="s">
        <v>6567</v>
      </c>
      <c r="AA274" s="6" t="s">
        <v>6568</v>
      </c>
      <c r="AB274" s="6" t="s">
        <v>6522</v>
      </c>
      <c r="AC274" s="6">
        <v>561210</v>
      </c>
      <c r="AD274" s="10" t="str">
        <f>_xlfn.XLOOKUP(AC274,[1]Mapping!B:B,[1]Mapping!C:C,"")</f>
        <v>Facilities Support Services</v>
      </c>
      <c r="AE274" s="6">
        <v>561720</v>
      </c>
      <c r="AF274" s="6" t="s">
        <v>6524</v>
      </c>
      <c r="AG274" s="6" t="s">
        <v>6525</v>
      </c>
      <c r="AH274" s="6" t="s">
        <v>6569</v>
      </c>
      <c r="AI274" s="6" t="s">
        <v>3041</v>
      </c>
      <c r="AJ274" s="6" t="s">
        <v>467</v>
      </c>
      <c r="AK274" s="6" t="s">
        <v>468</v>
      </c>
      <c r="AL274" s="6" t="s">
        <v>434</v>
      </c>
      <c r="AM274" s="6" t="s">
        <v>435</v>
      </c>
      <c r="AN274" s="6" t="s">
        <v>436</v>
      </c>
      <c r="AO274" s="6" t="s">
        <v>437</v>
      </c>
      <c r="AQ274" s="6">
        <v>7349</v>
      </c>
      <c r="AR274" s="6" t="s">
        <v>6527</v>
      </c>
      <c r="AS274" s="6" t="s">
        <v>6570</v>
      </c>
      <c r="AT274" s="6">
        <v>8110</v>
      </c>
      <c r="AU274" s="6" t="s">
        <v>2353</v>
      </c>
      <c r="AV274" s="6">
        <v>81.099999999999994</v>
      </c>
      <c r="AW274" s="6" t="s">
        <v>2353</v>
      </c>
      <c r="AX274" s="6" t="s">
        <v>6571</v>
      </c>
      <c r="AY274" s="6" t="s">
        <v>6572</v>
      </c>
      <c r="AZ274" s="6">
        <v>4781555155</v>
      </c>
      <c r="BD274" s="6" t="s">
        <v>6573</v>
      </c>
      <c r="BE274" s="6" t="str">
        <f t="shared" si="8"/>
        <v>no.issworld.com</v>
      </c>
      <c r="BF274" s="6" t="str">
        <f t="shared" si="9"/>
        <v>com</v>
      </c>
      <c r="BG274" s="6" t="s">
        <v>101</v>
      </c>
      <c r="BH274" s="6" t="s">
        <v>6574</v>
      </c>
      <c r="BI274" s="6" t="s">
        <v>6534</v>
      </c>
      <c r="BK274" s="6" t="s">
        <v>6575</v>
      </c>
      <c r="BN274" s="6" t="s">
        <v>6536</v>
      </c>
      <c r="BP274" s="6" t="s">
        <v>6576</v>
      </c>
      <c r="BQ274" s="6" t="s">
        <v>6577</v>
      </c>
      <c r="BR274" s="6" t="s">
        <v>105</v>
      </c>
    </row>
    <row r="275" spans="1:70" ht="45" customHeight="1" x14ac:dyDescent="0.25">
      <c r="A275" s="6">
        <v>275</v>
      </c>
      <c r="B275" s="7" t="s">
        <v>6578</v>
      </c>
      <c r="C275" s="8" t="s">
        <v>6579</v>
      </c>
      <c r="D275" s="6" t="s">
        <v>6580</v>
      </c>
      <c r="E275" s="8" t="s">
        <v>6578</v>
      </c>
      <c r="F275" s="8" t="s">
        <v>6581</v>
      </c>
      <c r="G275" s="6" t="s">
        <v>73</v>
      </c>
      <c r="H275" s="6" t="s">
        <v>74</v>
      </c>
      <c r="J275" s="6" t="s">
        <v>111</v>
      </c>
      <c r="K275" s="9">
        <v>2860</v>
      </c>
      <c r="L275" s="8" t="s">
        <v>6582</v>
      </c>
      <c r="M275" s="9">
        <v>197</v>
      </c>
      <c r="N275" s="6">
        <v>55.751491599999987</v>
      </c>
      <c r="O275" s="6">
        <v>12.4973733</v>
      </c>
      <c r="P275" s="6" t="s">
        <v>6583</v>
      </c>
      <c r="Q275" s="6">
        <v>1</v>
      </c>
      <c r="R275" s="6" t="s">
        <v>79</v>
      </c>
      <c r="S275" s="6">
        <v>1901</v>
      </c>
      <c r="T275" s="6">
        <v>27084392</v>
      </c>
      <c r="U275" s="6" t="s">
        <v>80</v>
      </c>
      <c r="V275" s="6">
        <v>494233</v>
      </c>
      <c r="W275" s="6" t="s">
        <v>80</v>
      </c>
      <c r="X275" s="6" t="s">
        <v>6584</v>
      </c>
      <c r="Y275" s="6" t="s">
        <v>6585</v>
      </c>
      <c r="Z275" s="6" t="s">
        <v>6586</v>
      </c>
      <c r="AA275" s="6" t="s">
        <v>6587</v>
      </c>
      <c r="AB275" s="6" t="s">
        <v>6588</v>
      </c>
      <c r="AC275" s="6">
        <v>423390</v>
      </c>
      <c r="AD275" s="10" t="str">
        <f>_xlfn.XLOOKUP(AC275,[1]Mapping!B:B,[1]Mapping!C:C,"")</f>
        <v xml:space="preserve">Other Construction Material Merchant Wholesalers </v>
      </c>
      <c r="AG275" s="6" t="s">
        <v>6589</v>
      </c>
      <c r="AH275" s="6" t="s">
        <v>6590</v>
      </c>
      <c r="AI275" s="6" t="s">
        <v>6591</v>
      </c>
      <c r="AJ275" s="6" t="s">
        <v>467</v>
      </c>
      <c r="AK275" s="6" t="s">
        <v>468</v>
      </c>
      <c r="AL275" s="6" t="s">
        <v>434</v>
      </c>
      <c r="AM275" s="6" t="s">
        <v>435</v>
      </c>
      <c r="AN275" s="6" t="s">
        <v>436</v>
      </c>
      <c r="AO275" s="6" t="s">
        <v>437</v>
      </c>
      <c r="AQ275" s="6">
        <v>5039</v>
      </c>
      <c r="AR275" s="6" t="s">
        <v>6592</v>
      </c>
      <c r="AS275" s="6" t="s">
        <v>6593</v>
      </c>
      <c r="AT275" s="6">
        <v>4663</v>
      </c>
      <c r="AU275" s="6" t="s">
        <v>6594</v>
      </c>
      <c r="AV275" s="6" t="s">
        <v>6595</v>
      </c>
      <c r="AW275" s="6" t="s">
        <v>6596</v>
      </c>
      <c r="AX275" s="6" t="s">
        <v>6597</v>
      </c>
      <c r="AY275" s="6" t="s">
        <v>6598</v>
      </c>
      <c r="BA275" s="6" t="s">
        <v>6599</v>
      </c>
      <c r="BB275" s="6" t="s">
        <v>6600</v>
      </c>
      <c r="BC275" s="6" t="s">
        <v>6599</v>
      </c>
      <c r="BD275" s="6" t="s">
        <v>6601</v>
      </c>
      <c r="BE275" s="6" t="str">
        <f t="shared" si="8"/>
        <v>issworld.com</v>
      </c>
      <c r="BF275" s="6" t="str">
        <f t="shared" si="9"/>
        <v>com</v>
      </c>
      <c r="BG275" s="6" t="s">
        <v>101</v>
      </c>
      <c r="BH275" s="6" t="s">
        <v>6558</v>
      </c>
      <c r="BI275" s="6" t="s">
        <v>6534</v>
      </c>
      <c r="BK275" s="6" t="s">
        <v>6602</v>
      </c>
      <c r="BN275" s="6" t="s">
        <v>6536</v>
      </c>
      <c r="BP275" s="6" t="s">
        <v>6603</v>
      </c>
      <c r="BQ275" s="6" t="s">
        <v>6604</v>
      </c>
      <c r="BR275" s="6" t="s">
        <v>105</v>
      </c>
    </row>
    <row r="276" spans="1:70" ht="45" customHeight="1" x14ac:dyDescent="0.25">
      <c r="A276" s="6">
        <v>276</v>
      </c>
      <c r="B276" s="7" t="s">
        <v>6605</v>
      </c>
      <c r="C276" s="8" t="s">
        <v>6606</v>
      </c>
      <c r="D276" s="6" t="s">
        <v>6607</v>
      </c>
      <c r="E276" s="6" t="s">
        <v>6608</v>
      </c>
      <c r="F276" s="8" t="s">
        <v>6609</v>
      </c>
      <c r="G276" s="6" t="s">
        <v>73</v>
      </c>
      <c r="H276" s="6" t="s">
        <v>74</v>
      </c>
      <c r="I276" s="6"/>
      <c r="J276" s="6" t="s">
        <v>76</v>
      </c>
      <c r="K276" s="9">
        <v>9200</v>
      </c>
      <c r="L276" s="8" t="s">
        <v>6610</v>
      </c>
      <c r="M276" s="9" t="s">
        <v>6611</v>
      </c>
      <c r="N276" s="6">
        <v>57.018241400000008</v>
      </c>
      <c r="O276" s="6">
        <v>9.8779506999999995</v>
      </c>
      <c r="P276" s="6" t="s">
        <v>6612</v>
      </c>
      <c r="Q276" s="6">
        <v>1</v>
      </c>
      <c r="R276" s="6" t="s">
        <v>79</v>
      </c>
      <c r="S276" s="6">
        <v>2008</v>
      </c>
      <c r="T276" s="6">
        <v>2697310</v>
      </c>
      <c r="U276" s="6" t="s">
        <v>80</v>
      </c>
      <c r="V276" s="6">
        <v>12</v>
      </c>
      <c r="W276" s="6" t="s">
        <v>167</v>
      </c>
      <c r="X276" s="6" t="s">
        <v>6613</v>
      </c>
      <c r="Y276" s="6" t="s">
        <v>6614</v>
      </c>
      <c r="Z276" s="6" t="s">
        <v>6615</v>
      </c>
      <c r="AA276" s="6" t="s">
        <v>6616</v>
      </c>
      <c r="AB276" s="6" t="s">
        <v>6617</v>
      </c>
      <c r="AC276" s="6">
        <v>541512</v>
      </c>
      <c r="AD276" s="10" t="str">
        <f>_xlfn.XLOOKUP(AC276,[1]Mapping!B:B,[1]Mapping!C:C,"")</f>
        <v xml:space="preserve">Computer Systems Design Services </v>
      </c>
      <c r="AE276" s="6">
        <v>541519</v>
      </c>
      <c r="AF276" s="6" t="s">
        <v>3729</v>
      </c>
      <c r="AG276" s="6" t="s">
        <v>6618</v>
      </c>
      <c r="AH276" s="6" t="s">
        <v>2819</v>
      </c>
      <c r="AI276" s="6" t="s">
        <v>499</v>
      </c>
      <c r="AJ276" s="6" t="s">
        <v>86</v>
      </c>
      <c r="AK276" s="6" t="s">
        <v>88</v>
      </c>
      <c r="AL276" s="6" t="s">
        <v>89</v>
      </c>
      <c r="AM276" s="6" t="s">
        <v>90</v>
      </c>
      <c r="AN276" s="6" t="s">
        <v>91</v>
      </c>
      <c r="AO276" s="6" t="s">
        <v>92</v>
      </c>
      <c r="AQ276" s="6">
        <v>7373</v>
      </c>
      <c r="AR276" s="6" t="s">
        <v>2820</v>
      </c>
      <c r="AT276" s="6">
        <v>6202</v>
      </c>
      <c r="AU276" s="6" t="s">
        <v>2821</v>
      </c>
      <c r="AV276" s="6">
        <v>62.02</v>
      </c>
      <c r="AW276" s="6" t="s">
        <v>2822</v>
      </c>
      <c r="AY276" s="6" t="s">
        <v>6619</v>
      </c>
      <c r="AZ276" s="6" t="s">
        <v>6620</v>
      </c>
      <c r="BA276" s="6" t="s">
        <v>6621</v>
      </c>
      <c r="BB276" s="6" t="s">
        <v>6621</v>
      </c>
      <c r="BD276" s="6" t="s">
        <v>6622</v>
      </c>
      <c r="BE276" s="6" t="str">
        <f t="shared" si="8"/>
        <v>itectra.com</v>
      </c>
      <c r="BF276" s="6" t="str">
        <f t="shared" si="9"/>
        <v>com</v>
      </c>
      <c r="BG276" s="6" t="s">
        <v>123</v>
      </c>
      <c r="BH276" s="6" t="s">
        <v>6623</v>
      </c>
      <c r="BK276" s="6" t="s">
        <v>6624</v>
      </c>
      <c r="BP276" s="6" t="s">
        <v>6625</v>
      </c>
      <c r="BQ276" s="6" t="s">
        <v>6626</v>
      </c>
      <c r="BR276" s="6" t="s">
        <v>105</v>
      </c>
    </row>
    <row r="277" spans="1:70" ht="45" customHeight="1" x14ac:dyDescent="0.25">
      <c r="A277" s="6">
        <v>277</v>
      </c>
      <c r="B277" s="7" t="s">
        <v>6627</v>
      </c>
      <c r="C277" s="8" t="s">
        <v>6628</v>
      </c>
      <c r="D277" s="6" t="s">
        <v>6629</v>
      </c>
      <c r="E277" s="6" t="s">
        <v>6630</v>
      </c>
      <c r="F277" s="8" t="s">
        <v>6631</v>
      </c>
      <c r="G277" s="6" t="s">
        <v>1400</v>
      </c>
      <c r="H277" s="6" t="s">
        <v>1401</v>
      </c>
      <c r="I277" s="6" t="s">
        <v>1402</v>
      </c>
      <c r="J277" s="6" t="s">
        <v>1403</v>
      </c>
      <c r="K277" s="9">
        <v>75600</v>
      </c>
      <c r="L277" s="8" t="s">
        <v>6632</v>
      </c>
      <c r="N277" s="6">
        <v>24.8267959</v>
      </c>
      <c r="O277" s="6">
        <v>67.042603799999995</v>
      </c>
      <c r="P277" s="6" t="s">
        <v>6633</v>
      </c>
      <c r="Q277" s="6">
        <v>1</v>
      </c>
      <c r="R277" s="6" t="s">
        <v>79</v>
      </c>
      <c r="S277" s="6">
        <v>2020</v>
      </c>
      <c r="T277" s="6">
        <v>1000000</v>
      </c>
      <c r="U277" s="6" t="s">
        <v>167</v>
      </c>
      <c r="V277" s="6">
        <v>38</v>
      </c>
      <c r="W277" s="6" t="s">
        <v>167</v>
      </c>
      <c r="X277" s="6" t="s">
        <v>6634</v>
      </c>
      <c r="Y277" s="6" t="s">
        <v>6635</v>
      </c>
      <c r="Z277" s="6" t="s">
        <v>6636</v>
      </c>
      <c r="AA277" s="6" t="s">
        <v>6637</v>
      </c>
      <c r="AB277" s="6" t="s">
        <v>6638</v>
      </c>
      <c r="AC277" s="6">
        <v>541840</v>
      </c>
      <c r="AD277" s="10" t="str">
        <f>_xlfn.XLOOKUP(AC277,[1]Mapping!B:B,[1]Mapping!C:C,"")</f>
        <v>Media Representatives</v>
      </c>
      <c r="AG277" s="6" t="s">
        <v>1142</v>
      </c>
      <c r="AH277" s="6" t="s">
        <v>1143</v>
      </c>
      <c r="AI277" s="6" t="s">
        <v>500</v>
      </c>
      <c r="AJ277" s="6" t="s">
        <v>500</v>
      </c>
      <c r="AK277" s="6" t="s">
        <v>501</v>
      </c>
      <c r="AL277" s="6" t="s">
        <v>502</v>
      </c>
      <c r="AM277" s="6" t="s">
        <v>503</v>
      </c>
      <c r="AN277" s="6" t="s">
        <v>297</v>
      </c>
      <c r="AO277" s="6" t="s">
        <v>298</v>
      </c>
      <c r="AQ277" s="6">
        <v>7313</v>
      </c>
      <c r="AR277" s="6" t="s">
        <v>3936</v>
      </c>
      <c r="AT277" s="6">
        <v>7310</v>
      </c>
      <c r="AU277" s="6" t="s">
        <v>1123</v>
      </c>
      <c r="AV277" s="6" t="s">
        <v>1144</v>
      </c>
      <c r="AW277" s="6" t="s">
        <v>1145</v>
      </c>
      <c r="AY277" s="6" t="s">
        <v>6639</v>
      </c>
      <c r="AZ277" s="6">
        <v>923170000000</v>
      </c>
      <c r="BA277" s="6" t="s">
        <v>6640</v>
      </c>
      <c r="BB277" s="6" t="s">
        <v>6641</v>
      </c>
      <c r="BD277" s="6" t="s">
        <v>6642</v>
      </c>
      <c r="BE277" s="6" t="str">
        <f t="shared" si="8"/>
        <v>jackofdigital.com</v>
      </c>
      <c r="BF277" s="6" t="str">
        <f t="shared" si="9"/>
        <v>com</v>
      </c>
      <c r="BG277" s="6" t="s">
        <v>101</v>
      </c>
      <c r="BH277" s="6" t="s">
        <v>6643</v>
      </c>
      <c r="BI277" s="6" t="s">
        <v>6644</v>
      </c>
      <c r="BJ277" s="6" t="s">
        <v>6645</v>
      </c>
      <c r="BK277" s="6" t="s">
        <v>6646</v>
      </c>
      <c r="BP277" s="6" t="s">
        <v>6647</v>
      </c>
      <c r="BQ277" s="6" t="s">
        <v>6648</v>
      </c>
      <c r="BR277" s="6" t="s">
        <v>105</v>
      </c>
    </row>
    <row r="278" spans="1:70" ht="45" customHeight="1" x14ac:dyDescent="0.25">
      <c r="A278" s="6">
        <v>278</v>
      </c>
      <c r="B278" s="7" t="s">
        <v>6649</v>
      </c>
      <c r="C278" s="8" t="s">
        <v>6650</v>
      </c>
      <c r="D278" s="6" t="s">
        <v>6651</v>
      </c>
      <c r="E278" s="6" t="s">
        <v>6652</v>
      </c>
      <c r="F278" s="8" t="s">
        <v>6653</v>
      </c>
      <c r="G278" s="6" t="s">
        <v>73</v>
      </c>
      <c r="H278" s="6" t="s">
        <v>74</v>
      </c>
      <c r="I278" s="6"/>
      <c r="J278" s="6" t="s">
        <v>2206</v>
      </c>
      <c r="K278" s="9">
        <v>7100</v>
      </c>
      <c r="L278" s="8" t="s">
        <v>6654</v>
      </c>
      <c r="M278" s="9">
        <v>8</v>
      </c>
      <c r="N278" s="6">
        <v>55.701485099999999</v>
      </c>
      <c r="O278" s="6">
        <v>9.5448407</v>
      </c>
      <c r="P278" s="6" t="s">
        <v>6655</v>
      </c>
      <c r="Q278" s="6">
        <v>1</v>
      </c>
      <c r="R278" s="6" t="s">
        <v>79</v>
      </c>
      <c r="S278" s="6">
        <v>2020</v>
      </c>
      <c r="T278" s="6">
        <v>1650458</v>
      </c>
      <c r="U278" s="6" t="s">
        <v>80</v>
      </c>
      <c r="V278" s="6">
        <v>9</v>
      </c>
      <c r="W278" s="6" t="s">
        <v>167</v>
      </c>
      <c r="X278" s="6" t="s">
        <v>6656</v>
      </c>
      <c r="Y278" s="6" t="s">
        <v>6657</v>
      </c>
      <c r="Z278" s="6" t="s">
        <v>6658</v>
      </c>
      <c r="AA278" s="6" t="s">
        <v>6659</v>
      </c>
      <c r="AB278" s="6" t="s">
        <v>6660</v>
      </c>
      <c r="AC278" s="6">
        <v>541511</v>
      </c>
      <c r="AD278" s="10" t="str">
        <f>_xlfn.XLOOKUP(AC278,[1]Mapping!B:B,[1]Mapping!C:C,"")</f>
        <v xml:space="preserve">Custom Computer Programming Services </v>
      </c>
      <c r="AG278" s="6" t="s">
        <v>990</v>
      </c>
      <c r="AH278" s="6" t="s">
        <v>174</v>
      </c>
      <c r="AI278" s="6" t="s">
        <v>87</v>
      </c>
      <c r="AQ278" s="6">
        <v>7371</v>
      </c>
      <c r="AR278" s="6" t="s">
        <v>504</v>
      </c>
      <c r="AT278" s="6">
        <v>6201</v>
      </c>
      <c r="AU278" s="6" t="s">
        <v>505</v>
      </c>
      <c r="AV278" s="6">
        <v>62.01</v>
      </c>
      <c r="AW278" s="6" t="s">
        <v>505</v>
      </c>
      <c r="AY278" s="6" t="s">
        <v>6661</v>
      </c>
      <c r="AZ278" s="6" t="s">
        <v>6662</v>
      </c>
      <c r="BA278" s="6" t="s">
        <v>6663</v>
      </c>
      <c r="BB278" s="6" t="s">
        <v>6663</v>
      </c>
      <c r="BD278" s="6" t="s">
        <v>6664</v>
      </c>
      <c r="BE278" s="6" t="str">
        <f t="shared" si="8"/>
        <v>ea-engros.dk</v>
      </c>
      <c r="BF278" s="6" t="str">
        <f t="shared" si="9"/>
        <v>dk</v>
      </c>
      <c r="BG278" s="6" t="s">
        <v>123</v>
      </c>
      <c r="BH278" s="6" t="s">
        <v>6665</v>
      </c>
      <c r="BK278" s="6" t="s">
        <v>6666</v>
      </c>
      <c r="BP278" s="6" t="s">
        <v>6667</v>
      </c>
      <c r="BQ278" s="6" t="s">
        <v>6668</v>
      </c>
      <c r="BR278" s="6" t="s">
        <v>105</v>
      </c>
    </row>
    <row r="279" spans="1:70" ht="45" customHeight="1" x14ac:dyDescent="0.25">
      <c r="A279" s="6">
        <v>279</v>
      </c>
      <c r="B279" s="7" t="s">
        <v>6669</v>
      </c>
      <c r="C279" s="8" t="s">
        <v>6670</v>
      </c>
      <c r="D279" s="6" t="s">
        <v>6671</v>
      </c>
      <c r="E279" s="6" t="s">
        <v>6672</v>
      </c>
      <c r="F279" s="8" t="s">
        <v>6673</v>
      </c>
      <c r="G279" s="6" t="s">
        <v>1324</v>
      </c>
      <c r="H279" s="6" t="s">
        <v>1325</v>
      </c>
      <c r="I279" s="6" t="s">
        <v>6674</v>
      </c>
      <c r="K279" s="9">
        <v>11120</v>
      </c>
      <c r="L279" s="8" t="s">
        <v>6675</v>
      </c>
      <c r="N279" s="6">
        <v>13.9055783</v>
      </c>
      <c r="O279" s="6">
        <v>100.5210211</v>
      </c>
      <c r="P279" s="6" t="s">
        <v>6676</v>
      </c>
      <c r="Q279" s="6">
        <v>2</v>
      </c>
      <c r="R279" s="6" t="s">
        <v>79</v>
      </c>
      <c r="S279" s="6">
        <v>2006</v>
      </c>
      <c r="T279" s="6"/>
      <c r="X279" s="6" t="s">
        <v>6677</v>
      </c>
      <c r="Y279" s="6" t="s">
        <v>6678</v>
      </c>
      <c r="Z279" s="6" t="s">
        <v>6679</v>
      </c>
      <c r="AA279" s="6" t="s">
        <v>6680</v>
      </c>
      <c r="AB279" s="6" t="s">
        <v>6681</v>
      </c>
      <c r="AC279" s="6">
        <v>517111</v>
      </c>
      <c r="AD279" s="10" t="str">
        <f>_xlfn.XLOOKUP(AC279,[1]Mapping!B:B,[1]Mapping!C:C,"")</f>
        <v xml:space="preserve">Wired Telecommunications Carriers </v>
      </c>
      <c r="AG279" s="6" t="s">
        <v>85</v>
      </c>
      <c r="AH279" s="6" t="s">
        <v>86</v>
      </c>
      <c r="AI279" s="6" t="s">
        <v>87</v>
      </c>
      <c r="AJ279" s="6" t="s">
        <v>86</v>
      </c>
      <c r="AK279" s="6" t="s">
        <v>88</v>
      </c>
      <c r="AL279" s="6" t="s">
        <v>89</v>
      </c>
      <c r="AM279" s="6" t="s">
        <v>90</v>
      </c>
      <c r="AN279" s="6" t="s">
        <v>91</v>
      </c>
      <c r="AO279" s="6" t="s">
        <v>92</v>
      </c>
      <c r="AQ279" s="6" t="s">
        <v>1747</v>
      </c>
      <c r="AR279" s="6" t="s">
        <v>1748</v>
      </c>
      <c r="AS279" s="6" t="s">
        <v>6682</v>
      </c>
      <c r="AT279" s="6" t="s">
        <v>1749</v>
      </c>
      <c r="AU279" s="6" t="s">
        <v>1750</v>
      </c>
      <c r="AV279" s="6" t="s">
        <v>1751</v>
      </c>
      <c r="AW279" s="6" t="s">
        <v>1750</v>
      </c>
      <c r="AX279" s="6" t="s">
        <v>6683</v>
      </c>
      <c r="AY279" s="6" t="s">
        <v>6684</v>
      </c>
      <c r="AZ279" s="6" t="s">
        <v>6685</v>
      </c>
      <c r="BA279" s="6" t="s">
        <v>6686</v>
      </c>
      <c r="BB279" s="6" t="s">
        <v>6687</v>
      </c>
      <c r="BD279" s="6" t="s">
        <v>6688</v>
      </c>
      <c r="BE279" s="6" t="str">
        <f t="shared" si="8"/>
        <v>jastel.co.th</v>
      </c>
      <c r="BF279" s="6" t="str">
        <f t="shared" si="9"/>
        <v>th</v>
      </c>
      <c r="BG279" s="6" t="s">
        <v>101</v>
      </c>
      <c r="BK279" s="6" t="s">
        <v>6689</v>
      </c>
      <c r="BP279" s="6" t="s">
        <v>6690</v>
      </c>
      <c r="BQ279" s="6" t="s">
        <v>6691</v>
      </c>
      <c r="BR279" s="6" t="s">
        <v>105</v>
      </c>
    </row>
    <row r="280" spans="1:70" ht="45" customHeight="1" x14ac:dyDescent="0.25">
      <c r="A280" s="6">
        <v>280</v>
      </c>
      <c r="B280" s="7" t="s">
        <v>6692</v>
      </c>
      <c r="C280" s="8" t="s">
        <v>6693</v>
      </c>
      <c r="D280" s="6" t="s">
        <v>6694</v>
      </c>
      <c r="E280" s="6" t="s">
        <v>6695</v>
      </c>
      <c r="F280" s="8" t="s">
        <v>6696</v>
      </c>
      <c r="G280" s="6" t="s">
        <v>160</v>
      </c>
      <c r="H280" s="6" t="s">
        <v>161</v>
      </c>
      <c r="I280" s="6" t="s">
        <v>281</v>
      </c>
      <c r="J280" s="6" t="s">
        <v>282</v>
      </c>
      <c r="K280" s="9" t="s">
        <v>6697</v>
      </c>
      <c r="L280" s="8" t="s">
        <v>6698</v>
      </c>
      <c r="M280" s="9">
        <v>25</v>
      </c>
      <c r="N280" s="6">
        <v>59.336633000000013</v>
      </c>
      <c r="O280" s="6">
        <v>18.070784700000001</v>
      </c>
      <c r="P280" s="6" t="s">
        <v>6699</v>
      </c>
      <c r="Q280" s="6">
        <v>2</v>
      </c>
      <c r="R280" s="6" t="s">
        <v>79</v>
      </c>
      <c r="T280" s="6"/>
      <c r="X280" s="6" t="s">
        <v>6700</v>
      </c>
      <c r="Y280" s="6" t="s">
        <v>6701</v>
      </c>
      <c r="Z280" s="6" t="s">
        <v>6702</v>
      </c>
      <c r="AA280" s="6" t="s">
        <v>6703</v>
      </c>
      <c r="AB280" s="6" t="s">
        <v>6704</v>
      </c>
      <c r="AC280" s="6">
        <v>531311</v>
      </c>
      <c r="AD280" s="10" t="str">
        <f>_xlfn.XLOOKUP(AC280,[1]Mapping!B:B,[1]Mapping!C:C,"")</f>
        <v xml:space="preserve">Residential Property Managers </v>
      </c>
      <c r="AG280" s="6" t="s">
        <v>6705</v>
      </c>
      <c r="AH280" s="6" t="s">
        <v>6705</v>
      </c>
      <c r="AI280" s="6" t="s">
        <v>2321</v>
      </c>
      <c r="AJ280" s="6" t="s">
        <v>3065</v>
      </c>
      <c r="AK280" s="6" t="s">
        <v>3066</v>
      </c>
      <c r="AL280" s="6" t="s">
        <v>2321</v>
      </c>
      <c r="AM280" s="6" t="s">
        <v>2323</v>
      </c>
      <c r="AN280" s="6" t="s">
        <v>655</v>
      </c>
      <c r="AO280" s="6" t="s">
        <v>657</v>
      </c>
      <c r="AQ280" s="6">
        <v>6531</v>
      </c>
      <c r="AR280" s="6" t="s">
        <v>6706</v>
      </c>
      <c r="AS280" s="6" t="s">
        <v>6707</v>
      </c>
      <c r="AT280" s="6">
        <v>6820</v>
      </c>
      <c r="AU280" s="6" t="s">
        <v>6708</v>
      </c>
      <c r="AV280" s="6" t="s">
        <v>6709</v>
      </c>
      <c r="AW280" s="6" t="s">
        <v>6710</v>
      </c>
      <c r="AX280" s="6" t="s">
        <v>6711</v>
      </c>
      <c r="AY280" s="6" t="s">
        <v>6712</v>
      </c>
      <c r="AZ280" s="6" t="s">
        <v>6713</v>
      </c>
      <c r="BA280" s="6" t="s">
        <v>6714</v>
      </c>
      <c r="BD280" s="6" t="s">
        <v>6715</v>
      </c>
      <c r="BE280" s="6" t="str">
        <f t="shared" si="8"/>
        <v>jllsweden.se</v>
      </c>
      <c r="BF280" s="6" t="str">
        <f t="shared" si="9"/>
        <v>se</v>
      </c>
      <c r="BG280" s="6" t="s">
        <v>101</v>
      </c>
      <c r="BH280" s="6" t="s">
        <v>6716</v>
      </c>
      <c r="BI280" s="6" t="s">
        <v>6717</v>
      </c>
      <c r="BJ280" s="6" t="s">
        <v>6718</v>
      </c>
      <c r="BK280" s="6" t="s">
        <v>6719</v>
      </c>
      <c r="BQ280" s="6" t="s">
        <v>6720</v>
      </c>
      <c r="BR280" s="6" t="s">
        <v>105</v>
      </c>
    </row>
    <row r="281" spans="1:70" ht="45" customHeight="1" x14ac:dyDescent="0.25">
      <c r="A281" s="6">
        <v>281</v>
      </c>
      <c r="B281" s="7" t="s">
        <v>6721</v>
      </c>
      <c r="C281" s="8" t="s">
        <v>6722</v>
      </c>
      <c r="D281" s="6" t="s">
        <v>6723</v>
      </c>
      <c r="E281" s="6" t="s">
        <v>6724</v>
      </c>
      <c r="F281" s="8" t="s">
        <v>6725</v>
      </c>
      <c r="G281" s="6" t="s">
        <v>73</v>
      </c>
      <c r="H281" s="6" t="s">
        <v>74</v>
      </c>
      <c r="I281" s="6"/>
      <c r="J281" s="6" t="s">
        <v>486</v>
      </c>
      <c r="K281" s="9">
        <v>2500</v>
      </c>
      <c r="L281" s="8" t="s">
        <v>6726</v>
      </c>
      <c r="M281" s="9" t="s">
        <v>6727</v>
      </c>
      <c r="N281" s="6">
        <v>55.654873299999998</v>
      </c>
      <c r="O281" s="6">
        <v>12.5144365</v>
      </c>
      <c r="P281" s="6" t="s">
        <v>6728</v>
      </c>
      <c r="Q281" s="6">
        <v>1</v>
      </c>
      <c r="R281" s="6" t="s">
        <v>79</v>
      </c>
      <c r="T281" s="6">
        <v>6598815</v>
      </c>
      <c r="U281" s="6" t="s">
        <v>80</v>
      </c>
      <c r="V281" s="6">
        <v>75</v>
      </c>
      <c r="W281" s="6" t="s">
        <v>80</v>
      </c>
      <c r="X281" s="6" t="s">
        <v>6729</v>
      </c>
      <c r="Y281" s="6" t="s">
        <v>6730</v>
      </c>
      <c r="Z281" s="6" t="s">
        <v>6731</v>
      </c>
      <c r="AA281" s="6" t="s">
        <v>6732</v>
      </c>
      <c r="AB281" s="6" t="s">
        <v>6733</v>
      </c>
      <c r="AC281" s="6">
        <v>519130</v>
      </c>
      <c r="AD281" s="6" t="s">
        <v>6734</v>
      </c>
      <c r="AE281" s="6">
        <v>561311</v>
      </c>
      <c r="AF281" s="6" t="s">
        <v>6734</v>
      </c>
      <c r="AG281" s="6" t="s">
        <v>6735</v>
      </c>
      <c r="AH281" s="6" t="s">
        <v>6736</v>
      </c>
      <c r="AI281" s="6" t="s">
        <v>6737</v>
      </c>
      <c r="AQ281" s="6">
        <v>7361</v>
      </c>
      <c r="AR281" s="6" t="s">
        <v>3042</v>
      </c>
      <c r="AT281" s="6">
        <v>7810</v>
      </c>
      <c r="AU281" s="6" t="s">
        <v>401</v>
      </c>
      <c r="AV281" s="6">
        <v>78.099999999999994</v>
      </c>
      <c r="AW281" s="6" t="s">
        <v>401</v>
      </c>
      <c r="AY281" s="6" t="s">
        <v>6738</v>
      </c>
      <c r="AZ281" s="6" t="s">
        <v>6739</v>
      </c>
      <c r="BD281" s="6" t="s">
        <v>6740</v>
      </c>
      <c r="BE281" s="6" t="str">
        <f t="shared" si="8"/>
        <v>jobindex.dk</v>
      </c>
      <c r="BF281" s="6" t="str">
        <f t="shared" si="9"/>
        <v>dk</v>
      </c>
      <c r="BG281" s="6" t="s">
        <v>123</v>
      </c>
      <c r="BH281" s="6" t="s">
        <v>6741</v>
      </c>
      <c r="BJ281" s="6" t="s">
        <v>6742</v>
      </c>
      <c r="BK281" s="6" t="s">
        <v>6743</v>
      </c>
      <c r="BN281" s="6" t="s">
        <v>6744</v>
      </c>
      <c r="BP281" s="6" t="s">
        <v>6745</v>
      </c>
      <c r="BQ281" s="6" t="s">
        <v>6746</v>
      </c>
      <c r="BR281" s="6" t="s">
        <v>105</v>
      </c>
    </row>
    <row r="282" spans="1:70" ht="45" customHeight="1" x14ac:dyDescent="0.25">
      <c r="A282" s="6">
        <v>282</v>
      </c>
      <c r="B282" s="7" t="s">
        <v>6747</v>
      </c>
      <c r="C282" s="8" t="s">
        <v>6748</v>
      </c>
      <c r="D282" s="6" t="s">
        <v>6749</v>
      </c>
      <c r="E282" s="6" t="s">
        <v>6750</v>
      </c>
      <c r="F282" s="8" t="s">
        <v>6751</v>
      </c>
      <c r="G282" s="6" t="s">
        <v>315</v>
      </c>
      <c r="H282" s="6" t="s">
        <v>316</v>
      </c>
      <c r="I282" s="6"/>
      <c r="J282" s="6" t="s">
        <v>316</v>
      </c>
      <c r="K282" s="9">
        <v>78881</v>
      </c>
      <c r="L282" s="8" t="s">
        <v>6752</v>
      </c>
      <c r="M282" s="9">
        <v>1</v>
      </c>
      <c r="N282" s="6">
        <v>1.2764491</v>
      </c>
      <c r="O282" s="6">
        <v>103.8458497</v>
      </c>
      <c r="P282" s="6" t="s">
        <v>6753</v>
      </c>
      <c r="Q282" s="6">
        <v>1</v>
      </c>
      <c r="R282" s="6" t="s">
        <v>79</v>
      </c>
      <c r="S282" s="6">
        <v>2011</v>
      </c>
      <c r="T282" s="6">
        <v>154088</v>
      </c>
      <c r="U282" s="6" t="s">
        <v>80</v>
      </c>
      <c r="V282" s="6">
        <v>3</v>
      </c>
      <c r="W282" s="6" t="s">
        <v>167</v>
      </c>
      <c r="X282" s="6" t="s">
        <v>6754</v>
      </c>
      <c r="Y282" s="6" t="s">
        <v>6755</v>
      </c>
      <c r="Z282" s="6" t="s">
        <v>6756</v>
      </c>
      <c r="AA282" s="6" t="s">
        <v>6757</v>
      </c>
      <c r="AB282" s="6" t="s">
        <v>6758</v>
      </c>
      <c r="AC282" s="6">
        <v>541213</v>
      </c>
      <c r="AD282" s="10" t="str">
        <f>_xlfn.XLOOKUP(AC282,[1]Mapping!B:B,[1]Mapping!C:C,"")</f>
        <v xml:space="preserve">Tax Preparation Services </v>
      </c>
      <c r="AG282" s="6" t="s">
        <v>2755</v>
      </c>
      <c r="AH282" s="6" t="s">
        <v>1095</v>
      </c>
      <c r="AI282" s="6" t="s">
        <v>119</v>
      </c>
      <c r="AJ282" s="6" t="s">
        <v>293</v>
      </c>
      <c r="AK282" s="6" t="s">
        <v>294</v>
      </c>
      <c r="AL282" s="6" t="s">
        <v>295</v>
      </c>
      <c r="AM282" s="6" t="s">
        <v>296</v>
      </c>
      <c r="AN282" s="6" t="s">
        <v>297</v>
      </c>
      <c r="AO282" s="6" t="s">
        <v>298</v>
      </c>
      <c r="AQ282" s="6">
        <v>7291</v>
      </c>
      <c r="AR282" s="6" t="s">
        <v>2756</v>
      </c>
      <c r="AS282" s="6" t="s">
        <v>6759</v>
      </c>
      <c r="AT282" s="6">
        <v>6920</v>
      </c>
      <c r="AU282" s="6" t="s">
        <v>1098</v>
      </c>
      <c r="AV282" s="6">
        <v>69.2</v>
      </c>
      <c r="AW282" s="6" t="s">
        <v>1098</v>
      </c>
      <c r="AX282" s="6" t="s">
        <v>6760</v>
      </c>
      <c r="AY282" s="6" t="s">
        <v>6761</v>
      </c>
      <c r="AZ282" s="6" t="s">
        <v>6762</v>
      </c>
      <c r="BA282" s="6" t="s">
        <v>6763</v>
      </c>
      <c r="BB282" s="6" t="s">
        <v>6764</v>
      </c>
      <c r="BC282" s="6" t="s">
        <v>6763</v>
      </c>
      <c r="BD282" s="6" t="s">
        <v>6765</v>
      </c>
      <c r="BE282" s="6" t="str">
        <f t="shared" si="8"/>
        <v>jobstreet.com.sg</v>
      </c>
      <c r="BF282" s="6" t="str">
        <f t="shared" si="9"/>
        <v>sg</v>
      </c>
      <c r="BG282" s="6" t="s">
        <v>101</v>
      </c>
      <c r="BK282" s="6" t="s">
        <v>6766</v>
      </c>
      <c r="BP282" s="6" t="s">
        <v>6767</v>
      </c>
      <c r="BQ282" s="6" t="s">
        <v>6768</v>
      </c>
      <c r="BR282" s="6" t="s">
        <v>105</v>
      </c>
    </row>
    <row r="283" spans="1:70" ht="45" customHeight="1" x14ac:dyDescent="0.25">
      <c r="A283" s="6">
        <v>283</v>
      </c>
      <c r="B283" s="7" t="s">
        <v>6769</v>
      </c>
      <c r="C283" s="8" t="s">
        <v>6770</v>
      </c>
      <c r="D283" s="6" t="s">
        <v>6771</v>
      </c>
      <c r="E283" s="8" t="s">
        <v>6769</v>
      </c>
      <c r="F283" s="8" t="s">
        <v>6772</v>
      </c>
      <c r="G283" s="6" t="s">
        <v>73</v>
      </c>
      <c r="H283" s="6" t="s">
        <v>74</v>
      </c>
      <c r="J283" s="6" t="s">
        <v>6773</v>
      </c>
      <c r="K283" s="9">
        <v>8270</v>
      </c>
      <c r="L283" s="8" t="s">
        <v>6774</v>
      </c>
      <c r="M283" s="9">
        <v>201</v>
      </c>
      <c r="N283" s="6">
        <v>56.113297000000003</v>
      </c>
      <c r="O283" s="6">
        <v>10.158671500000001</v>
      </c>
      <c r="P283" s="6" t="s">
        <v>6775</v>
      </c>
      <c r="Q283" s="6">
        <v>1</v>
      </c>
      <c r="R283" s="6" t="s">
        <v>79</v>
      </c>
      <c r="T283" s="6"/>
      <c r="X283" s="6" t="s">
        <v>6776</v>
      </c>
      <c r="Y283" s="6" t="s">
        <v>6777</v>
      </c>
      <c r="Z283" s="6" t="s">
        <v>6778</v>
      </c>
      <c r="AA283" s="6" t="s">
        <v>6779</v>
      </c>
      <c r="AB283" s="6" t="s">
        <v>6780</v>
      </c>
      <c r="AC283" s="6">
        <v>238220</v>
      </c>
      <c r="AD283" s="10" t="str">
        <f>_xlfn.XLOOKUP(AC283,[1]Mapping!B:B,[1]Mapping!C:C,"")</f>
        <v xml:space="preserve">Plumbing, Heating, and Air-Conditioning Contractors </v>
      </c>
      <c r="AE283" s="6">
        <v>423610</v>
      </c>
      <c r="AF283" s="6" t="s">
        <v>6781</v>
      </c>
      <c r="AG283" s="6" t="s">
        <v>6782</v>
      </c>
      <c r="AH283" s="6" t="s">
        <v>6783</v>
      </c>
      <c r="AI283" s="6" t="s">
        <v>6784</v>
      </c>
      <c r="AQ283" s="6">
        <v>1711</v>
      </c>
      <c r="AR283" s="6" t="s">
        <v>6785</v>
      </c>
      <c r="AT283" s="6">
        <v>4322</v>
      </c>
      <c r="AU283" s="6" t="s">
        <v>6786</v>
      </c>
      <c r="AV283" s="6">
        <v>43.22</v>
      </c>
      <c r="AW283" s="6" t="s">
        <v>6786</v>
      </c>
      <c r="AY283" s="6" t="s">
        <v>6787</v>
      </c>
      <c r="AZ283" s="6">
        <v>4587367000</v>
      </c>
      <c r="BD283" s="6" t="s">
        <v>6788</v>
      </c>
      <c r="BE283" s="6" t="str">
        <f t="shared" si="8"/>
        <v>johnsoncontrols.com</v>
      </c>
      <c r="BF283" s="6" t="str">
        <f t="shared" si="9"/>
        <v>com</v>
      </c>
      <c r="BG283" s="6" t="s">
        <v>101</v>
      </c>
      <c r="BH283" s="6" t="s">
        <v>6789</v>
      </c>
      <c r="BI283" s="6" t="s">
        <v>6790</v>
      </c>
      <c r="BK283" s="6" t="s">
        <v>6791</v>
      </c>
      <c r="BN283" s="6" t="s">
        <v>6792</v>
      </c>
      <c r="BQ283" s="6" t="s">
        <v>6793</v>
      </c>
      <c r="BR283" s="6" t="s">
        <v>105</v>
      </c>
    </row>
    <row r="284" spans="1:70" ht="45" customHeight="1" x14ac:dyDescent="0.25">
      <c r="A284" s="6">
        <v>284</v>
      </c>
      <c r="B284" s="7" t="s">
        <v>6794</v>
      </c>
      <c r="C284" s="8" t="s">
        <v>6795</v>
      </c>
      <c r="D284" s="6" t="s">
        <v>6796</v>
      </c>
      <c r="E284" s="8" t="s">
        <v>6796</v>
      </c>
      <c r="F284" s="8" t="s">
        <v>6796</v>
      </c>
      <c r="G284" s="6" t="s">
        <v>315</v>
      </c>
      <c r="H284" s="6" t="s">
        <v>316</v>
      </c>
      <c r="I284" s="6"/>
      <c r="J284" s="6" t="s">
        <v>316</v>
      </c>
      <c r="K284" s="9">
        <v>38986</v>
      </c>
      <c r="L284" s="8" t="s">
        <v>2465</v>
      </c>
      <c r="M284" s="9">
        <v>6</v>
      </c>
      <c r="N284" s="6">
        <v>1.2946709999999999</v>
      </c>
      <c r="O284" s="6">
        <v>103.85967359999999</v>
      </c>
      <c r="P284" s="6" t="s">
        <v>6797</v>
      </c>
      <c r="Q284" s="6">
        <v>1</v>
      </c>
      <c r="R284" s="6" t="s">
        <v>79</v>
      </c>
      <c r="T284" s="6"/>
      <c r="X284" s="6" t="s">
        <v>6798</v>
      </c>
      <c r="Y284" s="6" t="s">
        <v>6799</v>
      </c>
      <c r="Z284" s="6" t="s">
        <v>6800</v>
      </c>
      <c r="AC284" s="6">
        <v>531210</v>
      </c>
      <c r="AD284" s="10" t="str">
        <f>_xlfn.XLOOKUP(AC284,[1]Mapping!B:B,[1]Mapping!C:C,"")</f>
        <v>Offices of Real Estate Agents and Brokers</v>
      </c>
      <c r="AG284" s="6" t="s">
        <v>6705</v>
      </c>
      <c r="AH284" s="6" t="s">
        <v>6705</v>
      </c>
      <c r="AI284" s="6" t="s">
        <v>2321</v>
      </c>
      <c r="AQ284" s="6">
        <v>6531</v>
      </c>
      <c r="AR284" s="6" t="s">
        <v>6801</v>
      </c>
      <c r="AT284" s="6">
        <v>6820</v>
      </c>
      <c r="AU284" s="6" t="s">
        <v>6708</v>
      </c>
      <c r="AV284" s="6" t="s">
        <v>6709</v>
      </c>
      <c r="AW284" s="6" t="s">
        <v>6710</v>
      </c>
      <c r="AY284" s="6" t="s">
        <v>6802</v>
      </c>
      <c r="AZ284" s="6">
        <v>6563372737</v>
      </c>
      <c r="BE284" s="6" t="str">
        <f t="shared" si="8"/>
        <v/>
      </c>
      <c r="BF284" s="6" t="e">
        <f t="shared" si="9"/>
        <v>#VALUE!</v>
      </c>
      <c r="BQ284" s="6" t="s">
        <v>6803</v>
      </c>
      <c r="BR284" s="6" t="s">
        <v>105</v>
      </c>
    </row>
    <row r="285" spans="1:70" ht="45" customHeight="1" x14ac:dyDescent="0.25">
      <c r="A285" s="6">
        <v>285</v>
      </c>
      <c r="B285" s="7" t="s">
        <v>6804</v>
      </c>
      <c r="C285" s="8" t="s">
        <v>6805</v>
      </c>
      <c r="D285" s="6" t="s">
        <v>6804</v>
      </c>
      <c r="E285" s="6" t="s">
        <v>6806</v>
      </c>
      <c r="F285" s="8" t="s">
        <v>6807</v>
      </c>
      <c r="G285" s="6" t="s">
        <v>73</v>
      </c>
      <c r="H285" s="6" t="s">
        <v>74</v>
      </c>
      <c r="I285" s="6"/>
      <c r="J285" s="6" t="s">
        <v>486</v>
      </c>
      <c r="K285" s="9">
        <v>1620</v>
      </c>
      <c r="L285" s="8" t="s">
        <v>6808</v>
      </c>
      <c r="M285" s="9" t="s">
        <v>6809</v>
      </c>
      <c r="N285" s="6">
        <v>55.675088700000003</v>
      </c>
      <c r="O285" s="6">
        <v>12.5666636</v>
      </c>
      <c r="P285" s="6" t="s">
        <v>6810</v>
      </c>
      <c r="Q285" s="6">
        <v>2</v>
      </c>
      <c r="R285" s="6" t="s">
        <v>79</v>
      </c>
      <c r="S285" s="6">
        <v>2012</v>
      </c>
      <c r="T285" s="6">
        <v>163000000</v>
      </c>
      <c r="U285" s="6" t="s">
        <v>167</v>
      </c>
      <c r="V285" s="6">
        <v>422</v>
      </c>
      <c r="W285" s="6" t="s">
        <v>167</v>
      </c>
      <c r="X285" s="6" t="s">
        <v>6811</v>
      </c>
      <c r="Y285" s="6" t="s">
        <v>6812</v>
      </c>
      <c r="Z285" s="6" t="s">
        <v>6813</v>
      </c>
      <c r="AA285" s="6" t="s">
        <v>6814</v>
      </c>
      <c r="AC285" s="6">
        <v>513210</v>
      </c>
      <c r="AD285" s="10" t="str">
        <f>_xlfn.XLOOKUP(AC285,[1]Mapping!B:B,[1]Mapping!C:C,"")</f>
        <v>Software Publishers</v>
      </c>
      <c r="AG285" s="6" t="s">
        <v>581</v>
      </c>
      <c r="AH285" s="6" t="s">
        <v>174</v>
      </c>
      <c r="AI285" s="6" t="s">
        <v>87</v>
      </c>
      <c r="AJ285" s="6" t="s">
        <v>174</v>
      </c>
      <c r="AK285" s="6" t="s">
        <v>175</v>
      </c>
      <c r="AL285" s="6" t="s">
        <v>176</v>
      </c>
      <c r="AM285" s="6" t="s">
        <v>177</v>
      </c>
      <c r="AN285" s="6" t="s">
        <v>91</v>
      </c>
      <c r="AO285" s="6" t="s">
        <v>92</v>
      </c>
      <c r="AQ285" s="6">
        <v>7372</v>
      </c>
      <c r="AR285" s="6" t="s">
        <v>2026</v>
      </c>
      <c r="AS285" s="6" t="s">
        <v>6815</v>
      </c>
      <c r="AT285" s="6">
        <v>5820</v>
      </c>
      <c r="AU285" s="6" t="s">
        <v>2028</v>
      </c>
      <c r="AV285" s="6" t="s">
        <v>2029</v>
      </c>
      <c r="AW285" s="6" t="s">
        <v>2030</v>
      </c>
      <c r="AX285" s="6" t="s">
        <v>6816</v>
      </c>
      <c r="BA285" s="6" t="s">
        <v>6817</v>
      </c>
      <c r="BB285" s="6" t="s">
        <v>6817</v>
      </c>
      <c r="BD285" s="6" t="s">
        <v>6818</v>
      </c>
      <c r="BE285" s="6" t="str">
        <f t="shared" si="8"/>
        <v>kahoot.com</v>
      </c>
      <c r="BF285" s="6" t="str">
        <f t="shared" si="9"/>
        <v>com</v>
      </c>
      <c r="BG285" s="6" t="s">
        <v>101</v>
      </c>
      <c r="BH285" s="6" t="s">
        <v>6819</v>
      </c>
      <c r="BI285" s="6" t="s">
        <v>6820</v>
      </c>
      <c r="BJ285" s="6" t="s">
        <v>6821</v>
      </c>
      <c r="BK285" s="6" t="s">
        <v>6822</v>
      </c>
      <c r="BL285" s="6" t="s">
        <v>6823</v>
      </c>
      <c r="BM285" s="6" t="s">
        <v>6824</v>
      </c>
      <c r="BP285" s="6" t="s">
        <v>6825</v>
      </c>
      <c r="BQ285" s="6" t="s">
        <v>6826</v>
      </c>
      <c r="BR285" s="6" t="s">
        <v>105</v>
      </c>
    </row>
    <row r="286" spans="1:70" ht="45" customHeight="1" x14ac:dyDescent="0.25">
      <c r="A286" s="6">
        <v>286</v>
      </c>
      <c r="B286" s="7" t="s">
        <v>6827</v>
      </c>
      <c r="C286" s="8" t="s">
        <v>6828</v>
      </c>
      <c r="D286" s="6" t="s">
        <v>6827</v>
      </c>
      <c r="E286" s="6" t="s">
        <v>6829</v>
      </c>
      <c r="F286" s="8" t="s">
        <v>6830</v>
      </c>
      <c r="G286" s="6" t="s">
        <v>73</v>
      </c>
      <c r="H286" s="6" t="s">
        <v>74</v>
      </c>
      <c r="I286" s="6"/>
      <c r="J286" s="6" t="s">
        <v>6831</v>
      </c>
      <c r="K286" s="9">
        <v>2970</v>
      </c>
      <c r="L286" s="8" t="s">
        <v>6832</v>
      </c>
      <c r="M286" s="9" t="s">
        <v>6833</v>
      </c>
      <c r="N286" s="6">
        <v>55.896254199999987</v>
      </c>
      <c r="O286" s="6">
        <v>12.4925859</v>
      </c>
      <c r="P286" s="6" t="s">
        <v>6834</v>
      </c>
      <c r="Q286" s="6">
        <v>1</v>
      </c>
      <c r="R286" s="6" t="s">
        <v>79</v>
      </c>
      <c r="S286" s="6">
        <v>2021</v>
      </c>
      <c r="T286" s="6">
        <v>1173202</v>
      </c>
      <c r="U286" s="6" t="s">
        <v>80</v>
      </c>
      <c r="V286" s="6">
        <v>5</v>
      </c>
      <c r="W286" s="6" t="s">
        <v>167</v>
      </c>
      <c r="X286" s="6" t="s">
        <v>6835</v>
      </c>
      <c r="Y286" s="6" t="s">
        <v>6836</v>
      </c>
      <c r="Z286" s="6" t="s">
        <v>6837</v>
      </c>
      <c r="AA286" s="6" t="s">
        <v>6838</v>
      </c>
      <c r="AB286" s="6" t="s">
        <v>6839</v>
      </c>
      <c r="AC286" s="6">
        <v>541512</v>
      </c>
      <c r="AD286" s="10" t="str">
        <f>_xlfn.XLOOKUP(AC286,[1]Mapping!B:B,[1]Mapping!C:C,"")</f>
        <v xml:space="preserve">Computer Systems Design Services </v>
      </c>
      <c r="AG286" s="6" t="s">
        <v>581</v>
      </c>
      <c r="AH286" s="6" t="s">
        <v>174</v>
      </c>
      <c r="AI286" s="6" t="s">
        <v>87</v>
      </c>
      <c r="AJ286" s="6" t="s">
        <v>174</v>
      </c>
      <c r="AK286" s="6" t="s">
        <v>175</v>
      </c>
      <c r="AL286" s="6" t="s">
        <v>176</v>
      </c>
      <c r="AM286" s="6" t="s">
        <v>177</v>
      </c>
      <c r="AN286" s="6" t="s">
        <v>91</v>
      </c>
      <c r="AO286" s="6" t="s">
        <v>92</v>
      </c>
      <c r="AQ286" s="6" t="s">
        <v>582</v>
      </c>
      <c r="AR286" s="6" t="s">
        <v>583</v>
      </c>
      <c r="AS286" s="6" t="s">
        <v>6840</v>
      </c>
      <c r="AT286" s="6">
        <v>6202</v>
      </c>
      <c r="AU286" s="6" t="s">
        <v>584</v>
      </c>
      <c r="AV286" s="6" t="s">
        <v>585</v>
      </c>
      <c r="AW286" s="6" t="s">
        <v>586</v>
      </c>
      <c r="AX286" s="6" t="s">
        <v>6841</v>
      </c>
      <c r="BA286" s="6" t="s">
        <v>6842</v>
      </c>
      <c r="BB286" s="6" t="s">
        <v>6843</v>
      </c>
      <c r="BD286" s="6" t="s">
        <v>6844</v>
      </c>
      <c r="BE286" s="6" t="str">
        <f t="shared" si="8"/>
        <v>kamtower.com</v>
      </c>
      <c r="BF286" s="6" t="str">
        <f t="shared" si="9"/>
        <v>com</v>
      </c>
      <c r="BG286" s="6" t="s">
        <v>101</v>
      </c>
      <c r="BK286" s="6" t="s">
        <v>6845</v>
      </c>
      <c r="BP286" s="6" t="s">
        <v>6846</v>
      </c>
      <c r="BQ286" s="6" t="s">
        <v>6847</v>
      </c>
      <c r="BR286" s="6" t="s">
        <v>105</v>
      </c>
    </row>
    <row r="287" spans="1:70" ht="45" customHeight="1" x14ac:dyDescent="0.25">
      <c r="A287" s="6">
        <v>287</v>
      </c>
      <c r="B287" s="7" t="s">
        <v>6848</v>
      </c>
      <c r="C287" s="8" t="s">
        <v>6849</v>
      </c>
      <c r="D287" s="6" t="s">
        <v>6850</v>
      </c>
      <c r="E287" s="8" t="s">
        <v>6848</v>
      </c>
      <c r="F287" s="8" t="s">
        <v>6851</v>
      </c>
      <c r="G287" s="6" t="s">
        <v>130</v>
      </c>
      <c r="H287" s="6" t="s">
        <v>131</v>
      </c>
      <c r="I287" s="8" t="s">
        <v>132</v>
      </c>
      <c r="J287" s="6" t="s">
        <v>132</v>
      </c>
      <c r="K287" s="9">
        <v>187</v>
      </c>
      <c r="L287" s="8" t="s">
        <v>6852</v>
      </c>
      <c r="M287" s="9">
        <v>23</v>
      </c>
      <c r="N287" s="6">
        <v>59.914964099999999</v>
      </c>
      <c r="O287" s="6">
        <v>10.760963800000001</v>
      </c>
      <c r="P287" s="6" t="s">
        <v>6853</v>
      </c>
      <c r="Q287" s="6">
        <v>1</v>
      </c>
      <c r="R287" s="6" t="s">
        <v>79</v>
      </c>
      <c r="S287" s="6">
        <v>1977</v>
      </c>
      <c r="T287" s="6">
        <v>46283712</v>
      </c>
      <c r="U287" s="6" t="s">
        <v>80</v>
      </c>
      <c r="V287" s="6">
        <v>150</v>
      </c>
      <c r="W287" s="6" t="s">
        <v>80</v>
      </c>
      <c r="X287" s="6" t="s">
        <v>6854</v>
      </c>
      <c r="Y287" s="6" t="s">
        <v>6855</v>
      </c>
      <c r="Z287" s="6" t="s">
        <v>6856</v>
      </c>
      <c r="AA287" s="6" t="s">
        <v>6857</v>
      </c>
      <c r="AB287" s="6" t="s">
        <v>6858</v>
      </c>
      <c r="AC287" s="6">
        <v>541910</v>
      </c>
      <c r="AD287" s="10" t="str">
        <f>_xlfn.XLOOKUP(AC287,[1]Mapping!B:B,[1]Mapping!C:C,"")</f>
        <v>Marketing Research and Public Opinion Polling</v>
      </c>
      <c r="AG287" s="6" t="s">
        <v>6859</v>
      </c>
      <c r="AH287" s="6" t="s">
        <v>6860</v>
      </c>
      <c r="AI287" s="6" t="s">
        <v>652</v>
      </c>
      <c r="AJ287" s="6" t="s">
        <v>500</v>
      </c>
      <c r="AK287" s="6" t="s">
        <v>501</v>
      </c>
      <c r="AL287" s="6" t="s">
        <v>502</v>
      </c>
      <c r="AM287" s="6" t="s">
        <v>503</v>
      </c>
      <c r="AN287" s="6" t="s">
        <v>297</v>
      </c>
      <c r="AO287" s="6" t="s">
        <v>298</v>
      </c>
      <c r="AQ287" s="6">
        <v>8732</v>
      </c>
      <c r="AR287" s="6" t="s">
        <v>6405</v>
      </c>
      <c r="AS287" s="6" t="s">
        <v>1067</v>
      </c>
      <c r="AT287" s="6">
        <v>7320</v>
      </c>
      <c r="AU287" s="6" t="s">
        <v>6407</v>
      </c>
      <c r="AV287" s="6">
        <v>73.2</v>
      </c>
      <c r="AW287" s="6" t="s">
        <v>6407</v>
      </c>
      <c r="AX287" s="6" t="s">
        <v>1068</v>
      </c>
      <c r="AY287" s="6" t="s">
        <v>6861</v>
      </c>
      <c r="AZ287" s="6" t="s">
        <v>6862</v>
      </c>
      <c r="BA287" s="6" t="s">
        <v>6863</v>
      </c>
      <c r="BD287" s="6" t="s">
        <v>6864</v>
      </c>
      <c r="BE287" s="6" t="str">
        <f t="shared" si="8"/>
        <v>kantar.no</v>
      </c>
      <c r="BF287" s="6" t="str">
        <f t="shared" si="9"/>
        <v>no</v>
      </c>
      <c r="BG287" s="6" t="s">
        <v>101</v>
      </c>
      <c r="BN287" s="6" t="s">
        <v>6865</v>
      </c>
      <c r="BP287" s="6" t="s">
        <v>6866</v>
      </c>
      <c r="BQ287" s="6" t="s">
        <v>6867</v>
      </c>
      <c r="BR287" s="6" t="s">
        <v>105</v>
      </c>
    </row>
    <row r="288" spans="1:70" ht="45" customHeight="1" x14ac:dyDescent="0.25">
      <c r="A288" s="6">
        <v>288</v>
      </c>
      <c r="B288" s="7" t="s">
        <v>6868</v>
      </c>
      <c r="C288" s="8" t="s">
        <v>6869</v>
      </c>
      <c r="D288" s="6" t="s">
        <v>6870</v>
      </c>
      <c r="E288" s="8" t="s">
        <v>6868</v>
      </c>
      <c r="F288" s="8" t="s">
        <v>6871</v>
      </c>
      <c r="G288" s="6" t="s">
        <v>6872</v>
      </c>
      <c r="H288" s="6" t="s">
        <v>6873</v>
      </c>
      <c r="I288" s="8" t="s">
        <v>6874</v>
      </c>
      <c r="J288" s="6" t="s">
        <v>6875</v>
      </c>
      <c r="K288" s="9">
        <v>13571</v>
      </c>
      <c r="L288" s="8" t="s">
        <v>6876</v>
      </c>
      <c r="M288" s="9">
        <v>644</v>
      </c>
      <c r="N288" s="6">
        <v>37.408738100000001</v>
      </c>
      <c r="O288" s="6">
        <v>127.1292538</v>
      </c>
      <c r="P288" s="6" t="s">
        <v>6877</v>
      </c>
      <c r="Q288" s="6">
        <v>8</v>
      </c>
      <c r="R288" s="6" t="s">
        <v>79</v>
      </c>
      <c r="S288" s="6">
        <v>2001</v>
      </c>
      <c r="T288" s="6">
        <v>2200000</v>
      </c>
      <c r="U288" s="6" t="s">
        <v>167</v>
      </c>
      <c r="V288" s="6">
        <v>150</v>
      </c>
      <c r="W288" s="6" t="s">
        <v>80</v>
      </c>
      <c r="X288" s="6" t="s">
        <v>6878</v>
      </c>
      <c r="Y288" s="6" t="s">
        <v>6879</v>
      </c>
      <c r="Z288" s="6" t="s">
        <v>6880</v>
      </c>
      <c r="AA288" s="6" t="s">
        <v>6881</v>
      </c>
      <c r="AB288" s="6" t="s">
        <v>6882</v>
      </c>
      <c r="AC288" s="6">
        <v>334220</v>
      </c>
      <c r="AD288" s="10" t="str">
        <f>_xlfn.XLOOKUP(AC288,[1]Mapping!B:B,[1]Mapping!C:C,"")</f>
        <v>Radio and Television Broadcasting and Wireless Communications Equipment Manufacturing</v>
      </c>
      <c r="AE288" s="6">
        <v>334111</v>
      </c>
      <c r="AF288" s="6" t="s">
        <v>5506</v>
      </c>
      <c r="AG288" s="6" t="s">
        <v>6883</v>
      </c>
      <c r="AH288" s="6" t="s">
        <v>6884</v>
      </c>
      <c r="AI288" s="6" t="s">
        <v>628</v>
      </c>
      <c r="AJ288" s="6" t="s">
        <v>255</v>
      </c>
      <c r="AK288" s="6" t="s">
        <v>256</v>
      </c>
      <c r="AL288" s="6" t="s">
        <v>257</v>
      </c>
      <c r="AM288" s="6" t="s">
        <v>258</v>
      </c>
      <c r="AN288" s="6" t="s">
        <v>259</v>
      </c>
      <c r="AO288" s="6" t="s">
        <v>260</v>
      </c>
      <c r="AQ288" s="6">
        <v>3663</v>
      </c>
      <c r="AR288" s="6" t="s">
        <v>2683</v>
      </c>
      <c r="AS288" s="6" t="s">
        <v>6885</v>
      </c>
      <c r="AT288" s="6">
        <v>2630</v>
      </c>
      <c r="AU288" s="6" t="s">
        <v>2684</v>
      </c>
      <c r="AV288" s="6">
        <v>26.3</v>
      </c>
      <c r="AW288" s="6" t="s">
        <v>2684</v>
      </c>
      <c r="AX288" s="6" t="s">
        <v>6886</v>
      </c>
      <c r="AY288" s="6" t="s">
        <v>6887</v>
      </c>
      <c r="AZ288" s="6" t="s">
        <v>6888</v>
      </c>
      <c r="BA288" s="6" t="s">
        <v>6889</v>
      </c>
      <c r="BD288" s="6" t="s">
        <v>6890</v>
      </c>
      <c r="BE288" s="6" t="str">
        <f t="shared" si="8"/>
        <v>kaonbroadband.com</v>
      </c>
      <c r="BF288" s="6" t="str">
        <f t="shared" si="9"/>
        <v>com</v>
      </c>
      <c r="BG288" s="6" t="s">
        <v>101</v>
      </c>
      <c r="BH288" s="6" t="s">
        <v>6891</v>
      </c>
      <c r="BI288" s="6" t="s">
        <v>6892</v>
      </c>
      <c r="BK288" s="6" t="s">
        <v>6893</v>
      </c>
      <c r="BN288" s="6" t="s">
        <v>6894</v>
      </c>
      <c r="BP288" s="6" t="s">
        <v>6895</v>
      </c>
      <c r="BQ288" s="6" t="s">
        <v>6896</v>
      </c>
      <c r="BR288" s="6" t="s">
        <v>105</v>
      </c>
    </row>
    <row r="289" spans="1:70" ht="45" customHeight="1" x14ac:dyDescent="0.25">
      <c r="A289" s="6">
        <v>289</v>
      </c>
      <c r="B289" s="7" t="s">
        <v>6897</v>
      </c>
      <c r="C289" s="8" t="s">
        <v>6898</v>
      </c>
      <c r="D289" s="6" t="s">
        <v>6899</v>
      </c>
      <c r="E289" s="8" t="s">
        <v>6897</v>
      </c>
      <c r="F289" s="8" t="s">
        <v>6900</v>
      </c>
      <c r="G289" s="6" t="s">
        <v>1400</v>
      </c>
      <c r="H289" s="6" t="s">
        <v>1401</v>
      </c>
      <c r="I289" s="8" t="s">
        <v>1402</v>
      </c>
      <c r="J289" s="6" t="s">
        <v>1403</v>
      </c>
      <c r="L289" s="8" t="s">
        <v>6901</v>
      </c>
      <c r="M289" s="9">
        <v>46</v>
      </c>
      <c r="N289" s="6">
        <v>24.886527699999998</v>
      </c>
      <c r="O289" s="6">
        <v>67.087513399999992</v>
      </c>
      <c r="P289" s="6" t="s">
        <v>6902</v>
      </c>
      <c r="Q289" s="6">
        <v>1</v>
      </c>
      <c r="R289" s="6" t="s">
        <v>79</v>
      </c>
      <c r="T289" s="6">
        <v>113116</v>
      </c>
      <c r="U289" s="6" t="s">
        <v>80</v>
      </c>
      <c r="V289" s="6">
        <v>15</v>
      </c>
      <c r="W289" s="6" t="s">
        <v>80</v>
      </c>
      <c r="X289" s="6" t="s">
        <v>6903</v>
      </c>
      <c r="Y289" s="6" t="s">
        <v>6904</v>
      </c>
      <c r="Z289" s="6" t="s">
        <v>6905</v>
      </c>
      <c r="AA289" s="6" t="s">
        <v>6906</v>
      </c>
      <c r="AB289" s="6" t="s">
        <v>6907</v>
      </c>
      <c r="AC289" s="6">
        <v>459999</v>
      </c>
      <c r="AD289" s="10" t="str">
        <f>_xlfn.XLOOKUP(AC289,[1]Mapping!B:B,[1]Mapping!C:C,"")</f>
        <v xml:space="preserve">All Other Miscellaneous Retailers </v>
      </c>
      <c r="AE289" s="6">
        <v>449129</v>
      </c>
      <c r="AF289" s="6" t="s">
        <v>6908</v>
      </c>
      <c r="AG289" s="6" t="s">
        <v>821</v>
      </c>
      <c r="AH289" s="6" t="s">
        <v>822</v>
      </c>
      <c r="AI289" s="6" t="s">
        <v>822</v>
      </c>
      <c r="AJ289" s="6" t="s">
        <v>255</v>
      </c>
      <c r="AK289" s="6" t="s">
        <v>256</v>
      </c>
      <c r="AL289" s="6" t="s">
        <v>257</v>
      </c>
      <c r="AM289" s="6" t="s">
        <v>258</v>
      </c>
      <c r="AN289" s="6" t="s">
        <v>259</v>
      </c>
      <c r="AO289" s="6" t="s">
        <v>260</v>
      </c>
      <c r="AQ289" s="6" t="s">
        <v>6909</v>
      </c>
      <c r="AR289" s="6" t="s">
        <v>6910</v>
      </c>
      <c r="AT289" s="6" t="s">
        <v>6911</v>
      </c>
      <c r="AU289" s="6" t="s">
        <v>6912</v>
      </c>
      <c r="AV289" s="6" t="s">
        <v>6913</v>
      </c>
      <c r="AW289" s="6" t="s">
        <v>6914</v>
      </c>
      <c r="AY289" s="6" t="s">
        <v>6915</v>
      </c>
      <c r="AZ289" s="6">
        <v>923191000000</v>
      </c>
      <c r="BA289" s="6" t="s">
        <v>6916</v>
      </c>
      <c r="BB289" s="6" t="s">
        <v>6916</v>
      </c>
      <c r="BD289" s="6" t="s">
        <v>6917</v>
      </c>
      <c r="BE289" s="6" t="str">
        <f t="shared" si="8"/>
        <v>kerrycart.com</v>
      </c>
      <c r="BF289" s="6" t="str">
        <f t="shared" si="9"/>
        <v>com</v>
      </c>
      <c r="BG289" s="6" t="s">
        <v>101</v>
      </c>
      <c r="BH289" s="6" t="s">
        <v>6918</v>
      </c>
      <c r="BJ289" s="6" t="s">
        <v>6919</v>
      </c>
      <c r="BQ289" s="6" t="s">
        <v>6920</v>
      </c>
      <c r="BR289" s="6" t="s">
        <v>105</v>
      </c>
    </row>
    <row r="290" spans="1:70" ht="45" customHeight="1" x14ac:dyDescent="0.25">
      <c r="A290" s="6">
        <v>290</v>
      </c>
      <c r="B290" s="7" t="s">
        <v>6921</v>
      </c>
      <c r="C290" s="8" t="s">
        <v>6922</v>
      </c>
      <c r="D290" s="6" t="s">
        <v>6923</v>
      </c>
      <c r="E290" s="6" t="s">
        <v>6921</v>
      </c>
      <c r="F290" s="8" t="s">
        <v>6924</v>
      </c>
      <c r="G290" s="6" t="s">
        <v>2438</v>
      </c>
      <c r="H290" s="6" t="s">
        <v>2439</v>
      </c>
      <c r="I290" s="6" t="s">
        <v>2439</v>
      </c>
      <c r="J290" s="6" t="s">
        <v>2439</v>
      </c>
      <c r="L290" s="8" t="s">
        <v>6925</v>
      </c>
      <c r="M290" s="9">
        <v>55</v>
      </c>
      <c r="N290" s="6">
        <v>22.363333300000001</v>
      </c>
      <c r="O290" s="6">
        <v>114.1208333</v>
      </c>
      <c r="P290" s="6" t="s">
        <v>6926</v>
      </c>
      <c r="Q290" s="6">
        <v>61</v>
      </c>
      <c r="R290" s="6" t="s">
        <v>906</v>
      </c>
      <c r="S290" s="6">
        <v>1981</v>
      </c>
      <c r="T290" s="6">
        <v>6834542080</v>
      </c>
      <c r="U290" s="6" t="s">
        <v>167</v>
      </c>
      <c r="V290" s="6">
        <v>42000</v>
      </c>
      <c r="W290" s="6" t="s">
        <v>167</v>
      </c>
      <c r="X290" s="6" t="s">
        <v>6927</v>
      </c>
      <c r="Y290" s="6" t="s">
        <v>6928</v>
      </c>
      <c r="Z290" s="6" t="s">
        <v>6929</v>
      </c>
      <c r="AA290" s="6" t="s">
        <v>6930</v>
      </c>
      <c r="AB290" s="6" t="s">
        <v>6931</v>
      </c>
      <c r="AC290" s="6">
        <v>484110</v>
      </c>
      <c r="AD290" s="10" t="str">
        <f>_xlfn.XLOOKUP(AC290,[1]Mapping!B:B,[1]Mapping!C:C,"")</f>
        <v xml:space="preserve">General Freight Trucking, Local </v>
      </c>
      <c r="AE290" s="6">
        <v>484121</v>
      </c>
      <c r="AF290" s="6" t="s">
        <v>6932</v>
      </c>
      <c r="AG290" s="6" t="s">
        <v>4565</v>
      </c>
      <c r="AH290" s="6" t="s">
        <v>4566</v>
      </c>
      <c r="AI290" s="6" t="s">
        <v>4567</v>
      </c>
      <c r="AJ290" s="6" t="s">
        <v>6933</v>
      </c>
      <c r="AK290" s="6" t="s">
        <v>6934</v>
      </c>
      <c r="AL290" s="6" t="s">
        <v>2136</v>
      </c>
      <c r="AM290" s="6" t="s">
        <v>2137</v>
      </c>
      <c r="AN290" s="6" t="s">
        <v>2138</v>
      </c>
      <c r="AO290" s="6" t="s">
        <v>2139</v>
      </c>
      <c r="AQ290" s="6" t="s">
        <v>6935</v>
      </c>
      <c r="AR290" s="6" t="s">
        <v>6936</v>
      </c>
      <c r="AS290" s="6" t="s">
        <v>6937</v>
      </c>
      <c r="AT290" s="6">
        <v>4923</v>
      </c>
      <c r="AU290" s="6" t="s">
        <v>6938</v>
      </c>
      <c r="AV290" s="6" t="s">
        <v>6939</v>
      </c>
      <c r="AW290" s="6" t="s">
        <v>6940</v>
      </c>
      <c r="AX290" s="6" t="s">
        <v>6941</v>
      </c>
      <c r="AY290" s="6" t="s">
        <v>6942</v>
      </c>
      <c r="AZ290" s="6" t="s">
        <v>6943</v>
      </c>
      <c r="BA290" s="6" t="s">
        <v>6944</v>
      </c>
      <c r="BB290" s="6" t="s">
        <v>6944</v>
      </c>
      <c r="BC290" s="6" t="s">
        <v>6945</v>
      </c>
      <c r="BD290" s="6" t="s">
        <v>6946</v>
      </c>
      <c r="BE290" s="6" t="str">
        <f t="shared" si="8"/>
        <v>kerrylogistics.com</v>
      </c>
      <c r="BF290" s="6" t="str">
        <f t="shared" si="9"/>
        <v>com</v>
      </c>
      <c r="BG290" s="6" t="s">
        <v>101</v>
      </c>
      <c r="BH290" s="6" t="s">
        <v>6947</v>
      </c>
      <c r="BI290" s="6" t="s">
        <v>6948</v>
      </c>
      <c r="BK290" s="6" t="s">
        <v>6949</v>
      </c>
      <c r="BP290" s="6" t="s">
        <v>6950</v>
      </c>
      <c r="BQ290" s="6" t="s">
        <v>6951</v>
      </c>
      <c r="BR290" s="6" t="s">
        <v>105</v>
      </c>
    </row>
    <row r="291" spans="1:70" ht="45" customHeight="1" x14ac:dyDescent="0.25">
      <c r="A291" s="6">
        <v>291</v>
      </c>
      <c r="B291" s="7" t="s">
        <v>6952</v>
      </c>
      <c r="C291" s="8" t="s">
        <v>6953</v>
      </c>
      <c r="D291" s="6" t="s">
        <v>6954</v>
      </c>
      <c r="E291" s="8" t="s">
        <v>6952</v>
      </c>
      <c r="F291" s="8" t="s">
        <v>6955</v>
      </c>
      <c r="G291" s="6" t="s">
        <v>130</v>
      </c>
      <c r="H291" s="6" t="s">
        <v>131</v>
      </c>
      <c r="I291" s="8" t="s">
        <v>2066</v>
      </c>
      <c r="J291" s="6" t="s">
        <v>6956</v>
      </c>
      <c r="K291" s="9">
        <v>4033</v>
      </c>
      <c r="L291" s="8" t="s">
        <v>6957</v>
      </c>
      <c r="M291" s="9">
        <v>3</v>
      </c>
      <c r="N291" s="6">
        <v>58.895993099999991</v>
      </c>
      <c r="O291" s="6">
        <v>5.6908026999999999</v>
      </c>
      <c r="P291" s="6" t="s">
        <v>6958</v>
      </c>
      <c r="Q291" s="6">
        <v>1</v>
      </c>
      <c r="R291" s="6" t="s">
        <v>79</v>
      </c>
      <c r="S291" s="6">
        <v>2019</v>
      </c>
      <c r="T291" s="6">
        <v>141998</v>
      </c>
      <c r="U291" s="6" t="s">
        <v>80</v>
      </c>
      <c r="V291" s="6">
        <v>1</v>
      </c>
      <c r="W291" s="6" t="s">
        <v>167</v>
      </c>
      <c r="X291" s="6" t="s">
        <v>6959</v>
      </c>
      <c r="Y291" s="6" t="s">
        <v>6960</v>
      </c>
      <c r="Z291" s="6" t="s">
        <v>6961</v>
      </c>
      <c r="AA291" s="6" t="s">
        <v>6962</v>
      </c>
      <c r="AB291" s="6" t="s">
        <v>6963</v>
      </c>
      <c r="AC291" s="6">
        <v>541511</v>
      </c>
      <c r="AD291" s="10" t="str">
        <f>_xlfn.XLOOKUP(AC291,[1]Mapping!B:B,[1]Mapping!C:C,"")</f>
        <v xml:space="preserve">Custom Computer Programming Services </v>
      </c>
      <c r="AG291" s="6" t="s">
        <v>1972</v>
      </c>
      <c r="AH291" s="6" t="s">
        <v>174</v>
      </c>
      <c r="AI291" s="6" t="s">
        <v>87</v>
      </c>
      <c r="AJ291" s="6" t="s">
        <v>942</v>
      </c>
      <c r="AK291" s="6" t="s">
        <v>2921</v>
      </c>
      <c r="AL291" s="6" t="s">
        <v>295</v>
      </c>
      <c r="AM291" s="6" t="s">
        <v>296</v>
      </c>
      <c r="AN291" s="6" t="s">
        <v>297</v>
      </c>
      <c r="AO291" s="6" t="s">
        <v>298</v>
      </c>
      <c r="AQ291" s="6">
        <v>7371</v>
      </c>
      <c r="AR291" s="6" t="s">
        <v>504</v>
      </c>
      <c r="AS291" s="6" t="s">
        <v>6964</v>
      </c>
      <c r="AT291" s="6">
        <v>6201</v>
      </c>
      <c r="AU291" s="6" t="s">
        <v>505</v>
      </c>
      <c r="AV291" s="6">
        <v>62.01</v>
      </c>
      <c r="AW291" s="6" t="s">
        <v>505</v>
      </c>
      <c r="AX291" s="6" t="s">
        <v>6965</v>
      </c>
      <c r="AY291" s="6" t="s">
        <v>6966</v>
      </c>
      <c r="BA291" s="6" t="s">
        <v>6967</v>
      </c>
      <c r="BB291" s="6" t="s">
        <v>6967</v>
      </c>
      <c r="BD291" s="6" t="s">
        <v>6968</v>
      </c>
      <c r="BE291" s="6" t="str">
        <f t="shared" si="8"/>
        <v>kinly.com</v>
      </c>
      <c r="BF291" s="6" t="str">
        <f t="shared" si="9"/>
        <v>com</v>
      </c>
      <c r="BG291" s="6" t="s">
        <v>101</v>
      </c>
      <c r="BH291" s="6" t="s">
        <v>6969</v>
      </c>
      <c r="BJ291" s="6" t="s">
        <v>6970</v>
      </c>
      <c r="BK291" s="6" t="s">
        <v>6971</v>
      </c>
      <c r="BP291" s="6" t="s">
        <v>6972</v>
      </c>
      <c r="BQ291" s="6" t="s">
        <v>6973</v>
      </c>
      <c r="BR291" s="6" t="s">
        <v>105</v>
      </c>
    </row>
    <row r="292" spans="1:70" ht="45" customHeight="1" x14ac:dyDescent="0.25">
      <c r="A292" s="6">
        <v>292</v>
      </c>
      <c r="B292" s="7" t="s">
        <v>6974</v>
      </c>
      <c r="C292" s="8" t="s">
        <v>6975</v>
      </c>
      <c r="D292" s="6" t="s">
        <v>6976</v>
      </c>
      <c r="E292" s="6" t="s">
        <v>6977</v>
      </c>
      <c r="F292" s="8" t="s">
        <v>6978</v>
      </c>
      <c r="G292" s="6" t="s">
        <v>73</v>
      </c>
      <c r="H292" s="6" t="s">
        <v>74</v>
      </c>
      <c r="I292" s="6"/>
      <c r="J292" s="6" t="s">
        <v>2811</v>
      </c>
      <c r="K292" s="9">
        <v>2605</v>
      </c>
      <c r="L292" s="8" t="s">
        <v>6979</v>
      </c>
      <c r="M292" s="9">
        <v>522</v>
      </c>
      <c r="N292" s="6">
        <v>55.6687388</v>
      </c>
      <c r="O292" s="6">
        <v>12.423586</v>
      </c>
      <c r="P292" s="6" t="s">
        <v>6980</v>
      </c>
      <c r="Q292" s="6">
        <v>3</v>
      </c>
      <c r="R292" s="6" t="s">
        <v>79</v>
      </c>
      <c r="S292" s="6">
        <v>1942</v>
      </c>
      <c r="T292" s="6">
        <v>46535336</v>
      </c>
      <c r="U292" s="6" t="s">
        <v>80</v>
      </c>
      <c r="V292" s="6">
        <v>150</v>
      </c>
      <c r="W292" s="6" t="s">
        <v>80</v>
      </c>
      <c r="X292" s="6" t="s">
        <v>6981</v>
      </c>
      <c r="Y292" s="6" t="s">
        <v>6982</v>
      </c>
      <c r="Z292" s="6" t="s">
        <v>6983</v>
      </c>
      <c r="AA292" s="6" t="s">
        <v>6984</v>
      </c>
      <c r="AB292" s="6" t="s">
        <v>6985</v>
      </c>
      <c r="AC292" s="6">
        <v>337214</v>
      </c>
      <c r="AD292" s="10" t="str">
        <f>_xlfn.XLOOKUP(AC292,[1]Mapping!B:B,[1]Mapping!C:C,"")</f>
        <v xml:space="preserve">Office Furniture (except Wood) Manufacturing </v>
      </c>
      <c r="AE292" s="6">
        <v>423210</v>
      </c>
      <c r="AF292" s="6" t="s">
        <v>6986</v>
      </c>
      <c r="AG292" s="6" t="s">
        <v>6987</v>
      </c>
      <c r="AH292" s="6" t="s">
        <v>6988</v>
      </c>
      <c r="AI292" s="6" t="s">
        <v>6989</v>
      </c>
      <c r="AJ292" s="6" t="s">
        <v>6990</v>
      </c>
      <c r="AK292" s="6" t="s">
        <v>6991</v>
      </c>
      <c r="AL292" s="6" t="s">
        <v>885</v>
      </c>
      <c r="AM292" s="6" t="s">
        <v>886</v>
      </c>
      <c r="AN292" s="6" t="s">
        <v>259</v>
      </c>
      <c r="AO292" s="6" t="s">
        <v>260</v>
      </c>
      <c r="AQ292" s="6">
        <v>2522</v>
      </c>
      <c r="AR292" s="6" t="s">
        <v>6992</v>
      </c>
      <c r="AT292" s="6">
        <v>3100</v>
      </c>
      <c r="AU292" s="6" t="s">
        <v>6993</v>
      </c>
      <c r="AV292" s="6">
        <v>31.01</v>
      </c>
      <c r="AW292" s="6" t="s">
        <v>6994</v>
      </c>
      <c r="AY292" s="6" t="s">
        <v>6995</v>
      </c>
      <c r="AZ292" s="6" t="s">
        <v>6996</v>
      </c>
      <c r="BA292" s="6" t="s">
        <v>6997</v>
      </c>
      <c r="BB292" s="6" t="s">
        <v>6997</v>
      </c>
      <c r="BC292" s="6" t="s">
        <v>6998</v>
      </c>
      <c r="BD292" s="6" t="s">
        <v>6999</v>
      </c>
      <c r="BE292" s="6" t="str">
        <f t="shared" si="8"/>
        <v>kinnarps.dk</v>
      </c>
      <c r="BF292" s="6" t="str">
        <f t="shared" si="9"/>
        <v>dk</v>
      </c>
      <c r="BG292" s="6" t="s">
        <v>123</v>
      </c>
      <c r="BH292" s="6" t="s">
        <v>7000</v>
      </c>
      <c r="BI292" s="6" t="s">
        <v>7001</v>
      </c>
      <c r="BJ292" s="6" t="s">
        <v>7002</v>
      </c>
      <c r="BK292" s="6" t="s">
        <v>7003</v>
      </c>
      <c r="BP292" s="6" t="s">
        <v>7004</v>
      </c>
      <c r="BQ292" s="6" t="s">
        <v>7005</v>
      </c>
      <c r="BR292" s="6" t="s">
        <v>105</v>
      </c>
    </row>
    <row r="293" spans="1:70" ht="45" customHeight="1" x14ac:dyDescent="0.25">
      <c r="A293" s="6">
        <v>293</v>
      </c>
      <c r="B293" s="7" t="s">
        <v>7006</v>
      </c>
      <c r="C293" s="8" t="s">
        <v>7007</v>
      </c>
      <c r="D293" s="6" t="s">
        <v>7008</v>
      </c>
      <c r="E293" s="8" t="s">
        <v>7009</v>
      </c>
      <c r="F293" s="8" t="s">
        <v>7010</v>
      </c>
      <c r="G293" s="6" t="s">
        <v>130</v>
      </c>
      <c r="H293" s="6" t="s">
        <v>131</v>
      </c>
      <c r="I293" s="8" t="s">
        <v>132</v>
      </c>
      <c r="J293" s="6" t="s">
        <v>132</v>
      </c>
      <c r="K293" s="9">
        <v>161</v>
      </c>
      <c r="L293" s="8" t="s">
        <v>7011</v>
      </c>
      <c r="M293" s="9">
        <v>9</v>
      </c>
      <c r="N293" s="6">
        <v>59.914505899999988</v>
      </c>
      <c r="O293" s="6">
        <v>10.7307731</v>
      </c>
      <c r="P293" s="6" t="s">
        <v>7012</v>
      </c>
      <c r="Q293" s="6">
        <v>1</v>
      </c>
      <c r="R293" s="6" t="s">
        <v>79</v>
      </c>
      <c r="T293" s="6"/>
      <c r="X293" s="6" t="s">
        <v>7013</v>
      </c>
      <c r="Y293" s="6" t="s">
        <v>7014</v>
      </c>
      <c r="Z293" s="6" t="s">
        <v>7015</v>
      </c>
      <c r="AA293" s="6" t="s">
        <v>7015</v>
      </c>
      <c r="AC293" s="6">
        <v>481111</v>
      </c>
      <c r="AD293" s="10" t="str">
        <f>_xlfn.XLOOKUP(AC293,[1]Mapping!B:B,[1]Mapping!C:C,"")</f>
        <v xml:space="preserve">Scheduled Passenger Air Transportation </v>
      </c>
      <c r="AG293" s="6" t="s">
        <v>7016</v>
      </c>
      <c r="AH293" s="6" t="s">
        <v>7017</v>
      </c>
      <c r="AI293" s="6" t="s">
        <v>4567</v>
      </c>
      <c r="AJ293" s="6" t="s">
        <v>2134</v>
      </c>
      <c r="AK293" s="6" t="s">
        <v>2135</v>
      </c>
      <c r="AL293" s="6" t="s">
        <v>2136</v>
      </c>
      <c r="AM293" s="6" t="s">
        <v>2137</v>
      </c>
      <c r="AN293" s="6" t="s">
        <v>2138</v>
      </c>
      <c r="AO293" s="6" t="s">
        <v>2139</v>
      </c>
      <c r="AQ293" s="6">
        <v>4512</v>
      </c>
      <c r="AR293" s="6" t="s">
        <v>7018</v>
      </c>
      <c r="AT293" s="6">
        <v>5110</v>
      </c>
      <c r="AU293" s="6" t="s">
        <v>2142</v>
      </c>
      <c r="AV293" s="6">
        <v>51.1</v>
      </c>
      <c r="AW293" s="6" t="s">
        <v>2142</v>
      </c>
      <c r="AY293" s="6" t="s">
        <v>7019</v>
      </c>
      <c r="BD293" s="6" t="s">
        <v>7020</v>
      </c>
      <c r="BE293" s="6" t="str">
        <f t="shared" si="8"/>
        <v>klm.no</v>
      </c>
      <c r="BF293" s="6" t="str">
        <f t="shared" si="9"/>
        <v>no</v>
      </c>
      <c r="BG293" s="6" t="s">
        <v>150</v>
      </c>
      <c r="BP293" s="6" t="s">
        <v>7021</v>
      </c>
      <c r="BQ293" s="6" t="s">
        <v>7022</v>
      </c>
      <c r="BR293" s="6" t="s">
        <v>105</v>
      </c>
    </row>
    <row r="294" spans="1:70" ht="45" customHeight="1" x14ac:dyDescent="0.25">
      <c r="A294" s="6">
        <v>294</v>
      </c>
      <c r="B294" s="7" t="s">
        <v>7023</v>
      </c>
      <c r="C294" s="8" t="s">
        <v>7024</v>
      </c>
      <c r="D294" s="6" t="s">
        <v>7025</v>
      </c>
      <c r="E294" s="6" t="s">
        <v>7026</v>
      </c>
      <c r="F294" s="8" t="s">
        <v>7027</v>
      </c>
      <c r="G294" s="6" t="s">
        <v>73</v>
      </c>
      <c r="H294" s="6" t="s">
        <v>74</v>
      </c>
      <c r="I294" s="6"/>
      <c r="J294" s="6" t="s">
        <v>4140</v>
      </c>
      <c r="K294" s="9">
        <v>7000</v>
      </c>
      <c r="L294" s="8" t="s">
        <v>7028</v>
      </c>
      <c r="M294" s="9">
        <v>12</v>
      </c>
      <c r="N294" s="6">
        <v>55.533375900000003</v>
      </c>
      <c r="O294" s="6">
        <v>9.7117991000000021</v>
      </c>
      <c r="P294" s="6" t="s">
        <v>7029</v>
      </c>
      <c r="Q294" s="6">
        <v>2</v>
      </c>
      <c r="R294" s="6" t="s">
        <v>79</v>
      </c>
      <c r="T294" s="6">
        <v>57397932</v>
      </c>
      <c r="U294" s="6" t="s">
        <v>80</v>
      </c>
      <c r="V294" s="6">
        <v>150</v>
      </c>
      <c r="W294" s="6" t="s">
        <v>80</v>
      </c>
      <c r="X294" s="6" t="s">
        <v>7030</v>
      </c>
      <c r="Y294" s="6" t="s">
        <v>7031</v>
      </c>
      <c r="Z294" s="6" t="s">
        <v>7032</v>
      </c>
      <c r="AA294" s="6" t="s">
        <v>7033</v>
      </c>
      <c r="AC294" s="6">
        <v>517121</v>
      </c>
      <c r="AD294" s="10" t="str">
        <f>_xlfn.XLOOKUP(AC294,[1]Mapping!B:B,[1]Mapping!C:C,"")</f>
        <v>Telecommunications Resellers</v>
      </c>
      <c r="AG294" s="6" t="s">
        <v>89</v>
      </c>
      <c r="AH294" s="6" t="s">
        <v>86</v>
      </c>
      <c r="AI294" s="6" t="s">
        <v>87</v>
      </c>
      <c r="AJ294" s="6" t="s">
        <v>86</v>
      </c>
      <c r="AK294" s="6" t="s">
        <v>88</v>
      </c>
      <c r="AL294" s="6" t="s">
        <v>89</v>
      </c>
      <c r="AM294" s="6" t="s">
        <v>90</v>
      </c>
      <c r="AN294" s="6" t="s">
        <v>91</v>
      </c>
      <c r="AO294" s="6" t="s">
        <v>92</v>
      </c>
      <c r="AQ294" s="6" t="s">
        <v>93</v>
      </c>
      <c r="AR294" s="6" t="s">
        <v>94</v>
      </c>
      <c r="AT294" s="6">
        <v>6190</v>
      </c>
      <c r="AU294" s="6" t="s">
        <v>96</v>
      </c>
      <c r="AV294" s="6">
        <v>61.9</v>
      </c>
      <c r="AW294" s="6" t="s">
        <v>96</v>
      </c>
      <c r="AY294" s="6" t="s">
        <v>7034</v>
      </c>
      <c r="AZ294" s="6" t="s">
        <v>7035</v>
      </c>
      <c r="BA294" s="6" t="s">
        <v>7036</v>
      </c>
      <c r="BB294" s="6" t="s">
        <v>7037</v>
      </c>
      <c r="BC294" s="6" t="s">
        <v>7038</v>
      </c>
      <c r="BD294" s="6" t="s">
        <v>7039</v>
      </c>
      <c r="BE294" s="6" t="str">
        <f t="shared" si="8"/>
        <v>km-telecom.com</v>
      </c>
      <c r="BF294" s="6" t="str">
        <f t="shared" si="9"/>
        <v>com</v>
      </c>
      <c r="BG294" s="6" t="s">
        <v>101</v>
      </c>
      <c r="BH294" s="6" t="s">
        <v>7040</v>
      </c>
      <c r="BK294" s="6" t="s">
        <v>7041</v>
      </c>
      <c r="BP294" s="6" t="s">
        <v>7042</v>
      </c>
      <c r="BQ294" s="6" t="s">
        <v>7043</v>
      </c>
      <c r="BR294" s="6" t="s">
        <v>105</v>
      </c>
    </row>
    <row r="295" spans="1:70" ht="45" customHeight="1" x14ac:dyDescent="0.25">
      <c r="A295" s="6">
        <v>295</v>
      </c>
      <c r="B295" s="7" t="s">
        <v>7044</v>
      </c>
      <c r="C295" s="8" t="s">
        <v>7045</v>
      </c>
      <c r="D295" s="6" t="s">
        <v>7046</v>
      </c>
      <c r="E295" s="6" t="s">
        <v>7047</v>
      </c>
      <c r="F295" s="8" t="s">
        <v>7048</v>
      </c>
      <c r="G295" s="6" t="s">
        <v>73</v>
      </c>
      <c r="H295" s="6" t="s">
        <v>74</v>
      </c>
      <c r="I295" s="6"/>
      <c r="J295" s="6" t="s">
        <v>1494</v>
      </c>
      <c r="K295" s="9">
        <v>2750</v>
      </c>
      <c r="L295" s="8" t="s">
        <v>7049</v>
      </c>
      <c r="M295" s="9">
        <v>40</v>
      </c>
      <c r="N295" s="6">
        <v>55.736010099999987</v>
      </c>
      <c r="O295" s="6">
        <v>12.3939349</v>
      </c>
      <c r="P295" s="6" t="s">
        <v>7050</v>
      </c>
      <c r="Q295" s="6">
        <v>2</v>
      </c>
      <c r="R295" s="6" t="s">
        <v>79</v>
      </c>
      <c r="S295" s="6">
        <v>1972</v>
      </c>
      <c r="T295" s="6">
        <v>676482368</v>
      </c>
      <c r="U295" s="6" t="s">
        <v>167</v>
      </c>
      <c r="V295" s="6">
        <v>3000</v>
      </c>
      <c r="W295" s="6" t="s">
        <v>167</v>
      </c>
      <c r="X295" s="6" t="s">
        <v>7051</v>
      </c>
      <c r="Y295" s="6" t="s">
        <v>7052</v>
      </c>
      <c r="Z295" s="6" t="s">
        <v>7053</v>
      </c>
      <c r="AA295" s="6" t="s">
        <v>7054</v>
      </c>
      <c r="AB295" s="6" t="s">
        <v>7055</v>
      </c>
      <c r="AC295" s="6">
        <v>518210</v>
      </c>
      <c r="AD295" s="10" t="str">
        <f>_xlfn.XLOOKUP(AC295,[1]Mapping!B:B,[1]Mapping!C:C,"")</f>
        <v>Computing Infrastructure Providers, Data Processing, Web Hosting, and Related Services</v>
      </c>
      <c r="AE295" s="6">
        <v>541511</v>
      </c>
      <c r="AF295" s="6" t="s">
        <v>1971</v>
      </c>
      <c r="AG295" s="6" t="s">
        <v>1972</v>
      </c>
      <c r="AH295" s="6" t="s">
        <v>174</v>
      </c>
      <c r="AI295" s="6" t="s">
        <v>87</v>
      </c>
      <c r="AJ295" s="6" t="s">
        <v>174</v>
      </c>
      <c r="AK295" s="6" t="s">
        <v>175</v>
      </c>
      <c r="AL295" s="6" t="s">
        <v>176</v>
      </c>
      <c r="AM295" s="6" t="s">
        <v>177</v>
      </c>
      <c r="AN295" s="6" t="s">
        <v>91</v>
      </c>
      <c r="AO295" s="6" t="s">
        <v>92</v>
      </c>
      <c r="AQ295" s="6" t="s">
        <v>178</v>
      </c>
      <c r="AR295" s="6" t="s">
        <v>179</v>
      </c>
      <c r="AS295" s="6" t="s">
        <v>7056</v>
      </c>
      <c r="AT295" s="6" t="s">
        <v>181</v>
      </c>
      <c r="AU295" s="6" t="s">
        <v>182</v>
      </c>
      <c r="AV295" s="6" t="s">
        <v>183</v>
      </c>
      <c r="AW295" s="6" t="s">
        <v>184</v>
      </c>
      <c r="AX295" s="6" t="s">
        <v>7057</v>
      </c>
      <c r="AY295" s="6" t="s">
        <v>7058</v>
      </c>
      <c r="AZ295" s="6" t="s">
        <v>7059</v>
      </c>
      <c r="BA295" s="6" t="s">
        <v>7060</v>
      </c>
      <c r="BB295" s="6" t="s">
        <v>7061</v>
      </c>
      <c r="BD295" s="6" t="s">
        <v>7062</v>
      </c>
      <c r="BE295" s="6" t="str">
        <f t="shared" si="8"/>
        <v>kmd.dk</v>
      </c>
      <c r="BF295" s="6" t="str">
        <f t="shared" si="9"/>
        <v>dk</v>
      </c>
      <c r="BG295" s="6" t="s">
        <v>123</v>
      </c>
      <c r="BH295" s="6" t="s">
        <v>7063</v>
      </c>
      <c r="BI295" s="6" t="s">
        <v>7064</v>
      </c>
      <c r="BJ295" s="6" t="s">
        <v>7065</v>
      </c>
      <c r="BK295" s="6" t="s">
        <v>7066</v>
      </c>
      <c r="BN295" s="6" t="s">
        <v>7067</v>
      </c>
      <c r="BP295" s="6" t="s">
        <v>7068</v>
      </c>
      <c r="BQ295" s="6" t="s">
        <v>7069</v>
      </c>
      <c r="BR295" s="6" t="s">
        <v>105</v>
      </c>
    </row>
    <row r="296" spans="1:70" ht="45" customHeight="1" x14ac:dyDescent="0.25">
      <c r="A296" s="6">
        <v>296</v>
      </c>
      <c r="B296" s="7" t="s">
        <v>7070</v>
      </c>
      <c r="C296" s="8" t="s">
        <v>7071</v>
      </c>
      <c r="D296" s="6" t="s">
        <v>7072</v>
      </c>
      <c r="E296" s="8" t="s">
        <v>7070</v>
      </c>
      <c r="F296" s="8" t="s">
        <v>7073</v>
      </c>
      <c r="G296" s="6" t="s">
        <v>73</v>
      </c>
      <c r="H296" s="6" t="s">
        <v>74</v>
      </c>
      <c r="J296" s="6" t="s">
        <v>486</v>
      </c>
      <c r="K296" s="9">
        <v>2100</v>
      </c>
      <c r="L296" s="8" t="s">
        <v>7074</v>
      </c>
      <c r="M296" s="9">
        <v>9</v>
      </c>
      <c r="N296" s="6">
        <v>55.710865800000001</v>
      </c>
      <c r="O296" s="6">
        <v>12.5890474</v>
      </c>
      <c r="P296" s="6" t="s">
        <v>7075</v>
      </c>
      <c r="Q296" s="6">
        <v>1</v>
      </c>
      <c r="R296" s="6" t="s">
        <v>79</v>
      </c>
      <c r="S296" s="6">
        <v>1964</v>
      </c>
      <c r="T296" s="6">
        <v>45410572</v>
      </c>
      <c r="U296" s="6" t="s">
        <v>80</v>
      </c>
      <c r="V296" s="6">
        <v>150</v>
      </c>
      <c r="W296" s="6" t="s">
        <v>80</v>
      </c>
      <c r="X296" s="6" t="s">
        <v>7076</v>
      </c>
      <c r="Y296" s="6" t="s">
        <v>7077</v>
      </c>
      <c r="Z296" s="6" t="s">
        <v>7078</v>
      </c>
      <c r="AA296" s="6" t="s">
        <v>7079</v>
      </c>
      <c r="AB296" s="6" t="s">
        <v>7080</v>
      </c>
      <c r="AC296" s="6">
        <v>512230</v>
      </c>
      <c r="AD296" s="10" t="str">
        <f>_xlfn.XLOOKUP(AC296,[1]Mapping!B:B,[1]Mapping!C:C,"")</f>
        <v>Music Publishers</v>
      </c>
      <c r="AG296" s="6" t="s">
        <v>1922</v>
      </c>
      <c r="AH296" s="6" t="s">
        <v>1922</v>
      </c>
      <c r="AI296" s="6" t="s">
        <v>1412</v>
      </c>
      <c r="AJ296" s="6" t="s">
        <v>1413</v>
      </c>
      <c r="AK296" s="6" t="s">
        <v>1414</v>
      </c>
      <c r="AL296" s="6" t="s">
        <v>502</v>
      </c>
      <c r="AM296" s="6" t="s">
        <v>503</v>
      </c>
      <c r="AN296" s="6" t="s">
        <v>297</v>
      </c>
      <c r="AO296" s="6" t="s">
        <v>298</v>
      </c>
      <c r="AQ296" s="6" t="s">
        <v>7081</v>
      </c>
      <c r="AR296" s="6" t="s">
        <v>7082</v>
      </c>
      <c r="AT296" s="6">
        <v>5920</v>
      </c>
      <c r="AU296" s="6" t="s">
        <v>1924</v>
      </c>
      <c r="AV296" s="6">
        <v>59.2</v>
      </c>
      <c r="AW296" s="6" t="s">
        <v>1924</v>
      </c>
      <c r="AY296" s="6" t="s">
        <v>7083</v>
      </c>
      <c r="AZ296" s="6" t="s">
        <v>7084</v>
      </c>
      <c r="BA296" s="6" t="s">
        <v>7085</v>
      </c>
      <c r="BD296" s="6" t="s">
        <v>7086</v>
      </c>
      <c r="BE296" s="6" t="str">
        <f t="shared" si="8"/>
        <v>koda.dk</v>
      </c>
      <c r="BF296" s="6" t="str">
        <f t="shared" si="9"/>
        <v>dk</v>
      </c>
      <c r="BG296" s="6" t="s">
        <v>101</v>
      </c>
      <c r="BH296" s="6" t="s">
        <v>7087</v>
      </c>
      <c r="BJ296" s="6" t="s">
        <v>7088</v>
      </c>
      <c r="BK296" s="6" t="s">
        <v>7089</v>
      </c>
      <c r="BP296" s="6" t="s">
        <v>7090</v>
      </c>
      <c r="BQ296" s="6" t="s">
        <v>7091</v>
      </c>
      <c r="BR296" s="6" t="s">
        <v>105</v>
      </c>
    </row>
    <row r="297" spans="1:70" ht="45" customHeight="1" x14ac:dyDescent="0.25">
      <c r="A297" s="6">
        <v>297</v>
      </c>
      <c r="B297" s="7" t="s">
        <v>7092</v>
      </c>
      <c r="C297" s="8" t="s">
        <v>7093</v>
      </c>
      <c r="D297" s="6" t="s">
        <v>7094</v>
      </c>
      <c r="E297" s="8" t="s">
        <v>7092</v>
      </c>
      <c r="F297" s="8" t="s">
        <v>7095</v>
      </c>
      <c r="G297" s="6" t="s">
        <v>73</v>
      </c>
      <c r="H297" s="6" t="s">
        <v>74</v>
      </c>
      <c r="J297" s="6" t="s">
        <v>7096</v>
      </c>
      <c r="K297" s="9">
        <v>2635</v>
      </c>
      <c r="L297" s="8" t="s">
        <v>7097</v>
      </c>
      <c r="M297" s="9">
        <v>2</v>
      </c>
      <c r="N297" s="6">
        <v>55.617742300000003</v>
      </c>
      <c r="O297" s="6">
        <v>12.319970700000001</v>
      </c>
      <c r="P297" s="6" t="s">
        <v>7098</v>
      </c>
      <c r="Q297" s="6">
        <v>1</v>
      </c>
      <c r="R297" s="6" t="s">
        <v>79</v>
      </c>
      <c r="T297" s="6">
        <v>5324900</v>
      </c>
      <c r="U297" s="6" t="s">
        <v>80</v>
      </c>
      <c r="V297" s="6">
        <v>75</v>
      </c>
      <c r="W297" s="6" t="s">
        <v>80</v>
      </c>
      <c r="X297" s="6" t="s">
        <v>2209</v>
      </c>
      <c r="Y297" s="6" t="s">
        <v>7099</v>
      </c>
      <c r="Z297" s="6" t="s">
        <v>7100</v>
      </c>
      <c r="AA297" s="6" t="s">
        <v>7101</v>
      </c>
      <c r="AB297" s="6" t="s">
        <v>7102</v>
      </c>
      <c r="AC297" s="6">
        <v>311811</v>
      </c>
      <c r="AD297" s="10" t="str">
        <f>_xlfn.XLOOKUP(AC297,[1]Mapping!B:B,[1]Mapping!C:C,"")</f>
        <v xml:space="preserve">Retail Bakeries </v>
      </c>
      <c r="AG297" s="6" t="s">
        <v>7103</v>
      </c>
      <c r="AH297" s="6" t="s">
        <v>7103</v>
      </c>
      <c r="AI297" s="6" t="s">
        <v>6325</v>
      </c>
      <c r="AJ297" s="6" t="s">
        <v>255</v>
      </c>
      <c r="AK297" s="6" t="s">
        <v>256</v>
      </c>
      <c r="AL297" s="6" t="s">
        <v>257</v>
      </c>
      <c r="AM297" s="6" t="s">
        <v>258</v>
      </c>
      <c r="AN297" s="6" t="s">
        <v>259</v>
      </c>
      <c r="AO297" s="6" t="s">
        <v>260</v>
      </c>
      <c r="AQ297" s="6">
        <v>5461</v>
      </c>
      <c r="AR297" s="6" t="s">
        <v>7104</v>
      </c>
      <c r="AS297" s="6" t="s">
        <v>7105</v>
      </c>
      <c r="AT297" s="6">
        <v>1071</v>
      </c>
      <c r="AU297" s="6" t="s">
        <v>7106</v>
      </c>
      <c r="AV297" s="6" t="s">
        <v>7107</v>
      </c>
      <c r="AW297" s="6" t="s">
        <v>7108</v>
      </c>
      <c r="AX297" s="6" t="s">
        <v>7109</v>
      </c>
      <c r="AY297" s="6" t="s">
        <v>7110</v>
      </c>
      <c r="AZ297" s="6" t="s">
        <v>7111</v>
      </c>
      <c r="BA297" s="6" t="s">
        <v>7112</v>
      </c>
      <c r="BB297" s="6" t="s">
        <v>2216</v>
      </c>
      <c r="BD297" s="6" t="s">
        <v>7113</v>
      </c>
      <c r="BE297" s="6" t="str">
        <f t="shared" si="8"/>
        <v>koelegruppen.dk</v>
      </c>
      <c r="BF297" s="6" t="str">
        <f t="shared" si="9"/>
        <v>dk</v>
      </c>
      <c r="BG297" s="6" t="s">
        <v>101</v>
      </c>
      <c r="BH297" s="6" t="s">
        <v>2218</v>
      </c>
      <c r="BK297" s="6" t="s">
        <v>2219</v>
      </c>
      <c r="BP297" s="6" t="s">
        <v>7114</v>
      </c>
      <c r="BQ297" s="6" t="s">
        <v>7115</v>
      </c>
      <c r="BR297" s="6" t="s">
        <v>105</v>
      </c>
    </row>
    <row r="298" spans="1:70" ht="45" customHeight="1" x14ac:dyDescent="0.25">
      <c r="A298" s="6">
        <v>298</v>
      </c>
      <c r="B298" s="7" t="s">
        <v>7116</v>
      </c>
      <c r="C298" s="8" t="s">
        <v>7117</v>
      </c>
      <c r="D298" s="6" t="s">
        <v>7118</v>
      </c>
      <c r="E298" s="6" t="s">
        <v>7119</v>
      </c>
      <c r="F298" s="8" t="s">
        <v>7120</v>
      </c>
      <c r="G298" s="6" t="s">
        <v>73</v>
      </c>
      <c r="H298" s="6" t="s">
        <v>74</v>
      </c>
      <c r="I298" s="6"/>
      <c r="J298" s="6" t="s">
        <v>76</v>
      </c>
      <c r="K298" s="9">
        <v>9000</v>
      </c>
      <c r="L298" s="8" t="s">
        <v>7121</v>
      </c>
      <c r="M298" s="9">
        <v>7</v>
      </c>
      <c r="N298" s="6">
        <v>57.054540000000003</v>
      </c>
      <c r="O298" s="6">
        <v>9.9135919999999995</v>
      </c>
      <c r="P298" s="6" t="s">
        <v>7122</v>
      </c>
      <c r="Q298" s="6">
        <v>1</v>
      </c>
      <c r="R298" s="6" t="s">
        <v>79</v>
      </c>
      <c r="T298" s="6">
        <v>979083</v>
      </c>
      <c r="U298" s="6" t="s">
        <v>80</v>
      </c>
      <c r="V298" s="6">
        <v>15</v>
      </c>
      <c r="W298" s="6" t="s">
        <v>80</v>
      </c>
      <c r="X298" s="6" t="s">
        <v>7123</v>
      </c>
      <c r="Y298" s="6" t="s">
        <v>7124</v>
      </c>
      <c r="Z298" s="6" t="s">
        <v>7125</v>
      </c>
      <c r="AA298" s="6" t="s">
        <v>7126</v>
      </c>
      <c r="AB298" s="6" t="s">
        <v>7127</v>
      </c>
      <c r="AC298" s="6">
        <v>811192</v>
      </c>
      <c r="AD298" s="10" t="str">
        <f>_xlfn.XLOOKUP(AC298,[1]Mapping!B:B,[1]Mapping!C:C,"")</f>
        <v xml:space="preserve">Car Washes </v>
      </c>
      <c r="AG298" s="6" t="s">
        <v>7128</v>
      </c>
      <c r="AH298" s="6" t="s">
        <v>7129</v>
      </c>
      <c r="AI298" s="6" t="s">
        <v>1893</v>
      </c>
      <c r="AJ298" s="6" t="s">
        <v>293</v>
      </c>
      <c r="AK298" s="6" t="s">
        <v>294</v>
      </c>
      <c r="AL298" s="6" t="s">
        <v>295</v>
      </c>
      <c r="AM298" s="6" t="s">
        <v>296</v>
      </c>
      <c r="AN298" s="6" t="s">
        <v>297</v>
      </c>
      <c r="AO298" s="6" t="s">
        <v>298</v>
      </c>
      <c r="AQ298" s="6">
        <v>7542</v>
      </c>
      <c r="AR298" s="6" t="s">
        <v>7130</v>
      </c>
      <c r="AS298" s="6" t="s">
        <v>7131</v>
      </c>
      <c r="AT298" s="6">
        <v>4520</v>
      </c>
      <c r="AU298" s="6" t="s">
        <v>7132</v>
      </c>
      <c r="AV298" s="6">
        <v>45.2</v>
      </c>
      <c r="AW298" s="6" t="s">
        <v>7132</v>
      </c>
      <c r="AX298" s="6" t="s">
        <v>7133</v>
      </c>
      <c r="AY298" s="6" t="s">
        <v>7134</v>
      </c>
      <c r="AZ298" s="6">
        <v>4547315601</v>
      </c>
      <c r="BD298" s="6" t="s">
        <v>7135</v>
      </c>
      <c r="BE298" s="6" t="str">
        <f t="shared" si="8"/>
        <v>frederikssund-antirust.dk</v>
      </c>
      <c r="BF298" s="6" t="str">
        <f t="shared" si="9"/>
        <v>dk</v>
      </c>
      <c r="BG298" s="6" t="s">
        <v>123</v>
      </c>
      <c r="BP298" s="6" t="s">
        <v>7136</v>
      </c>
      <c r="BQ298" s="6" t="s">
        <v>7137</v>
      </c>
      <c r="BR298" s="6" t="s">
        <v>105</v>
      </c>
    </row>
    <row r="299" spans="1:70" ht="45" customHeight="1" x14ac:dyDescent="0.25">
      <c r="A299" s="6">
        <v>299</v>
      </c>
      <c r="B299" s="7" t="s">
        <v>7138</v>
      </c>
      <c r="C299" s="8" t="s">
        <v>7139</v>
      </c>
      <c r="D299" s="6" t="s">
        <v>7140</v>
      </c>
      <c r="E299" s="8" t="s">
        <v>7138</v>
      </c>
      <c r="F299" s="8" t="s">
        <v>7140</v>
      </c>
      <c r="G299" s="6" t="s">
        <v>840</v>
      </c>
      <c r="H299" s="6" t="s">
        <v>841</v>
      </c>
      <c r="I299" s="8" t="s">
        <v>842</v>
      </c>
      <c r="J299" s="6" t="s">
        <v>843</v>
      </c>
      <c r="K299" s="9" t="s">
        <v>7141</v>
      </c>
      <c r="L299" s="8" t="s">
        <v>7142</v>
      </c>
      <c r="M299" s="9">
        <v>14</v>
      </c>
      <c r="N299" s="6">
        <v>51.506988700000008</v>
      </c>
      <c r="O299" s="6">
        <v>-0.13846430000000001</v>
      </c>
      <c r="P299" s="6" t="s">
        <v>7143</v>
      </c>
      <c r="Q299" s="6">
        <v>1</v>
      </c>
      <c r="R299" s="6" t="s">
        <v>79</v>
      </c>
      <c r="T299" s="6"/>
      <c r="X299" s="6" t="s">
        <v>7144</v>
      </c>
      <c r="Y299" s="6" t="s">
        <v>7145</v>
      </c>
      <c r="Z299" s="6" t="s">
        <v>7146</v>
      </c>
      <c r="AA299" s="6" t="s">
        <v>7147</v>
      </c>
      <c r="AC299" s="6">
        <v>541611</v>
      </c>
      <c r="AD299" s="10" t="str">
        <f>_xlfn.XLOOKUP(AC299,[1]Mapping!B:B,[1]Mapping!C:C,"")</f>
        <v xml:space="preserve">Administrative Management and General Management Consulting Services </v>
      </c>
      <c r="AG299" s="6" t="s">
        <v>376</v>
      </c>
      <c r="AH299" s="6" t="s">
        <v>376</v>
      </c>
      <c r="AI299" s="6" t="s">
        <v>141</v>
      </c>
      <c r="AQ299" s="6">
        <v>8742</v>
      </c>
      <c r="AR299" s="6" t="s">
        <v>377</v>
      </c>
      <c r="AT299" s="6">
        <v>7020</v>
      </c>
      <c r="AU299" s="6" t="s">
        <v>378</v>
      </c>
      <c r="AV299" s="6" t="s">
        <v>379</v>
      </c>
      <c r="AW299" s="6" t="s">
        <v>380</v>
      </c>
      <c r="AY299" s="6" t="s">
        <v>7148</v>
      </c>
      <c r="AZ299" s="6">
        <v>442070000000</v>
      </c>
      <c r="BD299" s="6" t="s">
        <v>7149</v>
      </c>
      <c r="BE299" s="6" t="str">
        <f t="shared" si="8"/>
        <v>kornferry.com</v>
      </c>
      <c r="BF299" s="6" t="str">
        <f t="shared" si="9"/>
        <v>com</v>
      </c>
      <c r="BG299" s="6" t="s">
        <v>101</v>
      </c>
      <c r="BH299" s="6" t="s">
        <v>7150</v>
      </c>
      <c r="BI299" s="6" t="s">
        <v>7151</v>
      </c>
      <c r="BJ299" s="6" t="s">
        <v>7152</v>
      </c>
      <c r="BK299" s="6" t="s">
        <v>7153</v>
      </c>
      <c r="BN299" s="6" t="s">
        <v>7154</v>
      </c>
      <c r="BQ299" s="6" t="s">
        <v>7155</v>
      </c>
      <c r="BR299" s="6" t="s">
        <v>105</v>
      </c>
    </row>
    <row r="300" spans="1:70" ht="45" customHeight="1" x14ac:dyDescent="0.25">
      <c r="A300" s="6">
        <v>300</v>
      </c>
      <c r="B300" s="7" t="s">
        <v>7156</v>
      </c>
      <c r="C300" s="8" t="s">
        <v>7157</v>
      </c>
      <c r="D300" s="6" t="s">
        <v>7158</v>
      </c>
      <c r="E300" s="8" t="s">
        <v>7159</v>
      </c>
      <c r="F300" s="8" t="s">
        <v>7160</v>
      </c>
      <c r="G300" s="6" t="s">
        <v>130</v>
      </c>
      <c r="H300" s="6" t="s">
        <v>131</v>
      </c>
      <c r="I300" s="8" t="s">
        <v>132</v>
      </c>
      <c r="J300" s="6" t="s">
        <v>132</v>
      </c>
      <c r="K300" s="9">
        <v>191</v>
      </c>
      <c r="L300" s="8" t="s">
        <v>1041</v>
      </c>
      <c r="M300" s="9" t="s">
        <v>488</v>
      </c>
      <c r="N300" s="6">
        <v>59.909185699999988</v>
      </c>
      <c r="O300" s="6">
        <v>10.7546731</v>
      </c>
      <c r="P300" s="6" t="s">
        <v>7161</v>
      </c>
      <c r="Q300" s="6">
        <v>1</v>
      </c>
      <c r="R300" s="6" t="s">
        <v>79</v>
      </c>
      <c r="T300" s="6"/>
      <c r="X300" s="6" t="s">
        <v>7162</v>
      </c>
      <c r="Y300" s="6" t="s">
        <v>7163</v>
      </c>
      <c r="Z300" s="6" t="s">
        <v>7164</v>
      </c>
      <c r="AC300" s="6">
        <v>541219</v>
      </c>
      <c r="AD300" s="10" t="str">
        <f>_xlfn.XLOOKUP(AC300,[1]Mapping!B:B,[1]Mapping!C:C,"")</f>
        <v xml:space="preserve">Other Accounting Services </v>
      </c>
      <c r="AG300" s="6" t="s">
        <v>1094</v>
      </c>
      <c r="AH300" s="6" t="s">
        <v>1095</v>
      </c>
      <c r="AI300" s="6" t="s">
        <v>119</v>
      </c>
      <c r="AQ300" s="6">
        <v>8721</v>
      </c>
      <c r="AR300" s="6" t="s">
        <v>1096</v>
      </c>
      <c r="AT300" s="6">
        <v>6920</v>
      </c>
      <c r="AU300" s="6" t="s">
        <v>1098</v>
      </c>
      <c r="AV300" s="6">
        <v>69.2</v>
      </c>
      <c r="AW300" s="6" t="s">
        <v>1098</v>
      </c>
      <c r="AY300" s="6" t="s">
        <v>7165</v>
      </c>
      <c r="AZ300" s="6">
        <v>4737169350</v>
      </c>
      <c r="BD300" s="6" t="s">
        <v>7166</v>
      </c>
      <c r="BE300" s="6" t="str">
        <f t="shared" si="8"/>
        <v>home.kpmg.com</v>
      </c>
      <c r="BF300" s="6" t="str">
        <f t="shared" si="9"/>
        <v>com</v>
      </c>
      <c r="BG300" s="6" t="s">
        <v>101</v>
      </c>
      <c r="BH300" s="6" t="s">
        <v>7167</v>
      </c>
      <c r="BJ300" s="6" t="s">
        <v>7168</v>
      </c>
      <c r="BK300" s="6" t="s">
        <v>7169</v>
      </c>
      <c r="BQ300" s="6" t="s">
        <v>7170</v>
      </c>
      <c r="BR300" s="6" t="s">
        <v>105</v>
      </c>
    </row>
    <row r="301" spans="1:70" ht="45" customHeight="1" x14ac:dyDescent="0.25">
      <c r="A301" s="6">
        <v>301</v>
      </c>
      <c r="B301" s="7" t="s">
        <v>7171</v>
      </c>
      <c r="C301" s="8" t="s">
        <v>7172</v>
      </c>
      <c r="D301" s="6" t="s">
        <v>7173</v>
      </c>
      <c r="E301" s="6" t="s">
        <v>7174</v>
      </c>
      <c r="F301" s="8" t="s">
        <v>7175</v>
      </c>
      <c r="G301" s="6" t="s">
        <v>840</v>
      </c>
      <c r="H301" s="6" t="s">
        <v>841</v>
      </c>
      <c r="I301" s="6" t="s">
        <v>842</v>
      </c>
      <c r="J301" s="6" t="s">
        <v>843</v>
      </c>
      <c r="K301" s="9" t="s">
        <v>7176</v>
      </c>
      <c r="L301" s="8" t="s">
        <v>7177</v>
      </c>
      <c r="M301" s="9">
        <v>3</v>
      </c>
      <c r="N301" s="6">
        <v>51.505384799999987</v>
      </c>
      <c r="O301" s="6">
        <v>-8.76112E-2</v>
      </c>
      <c r="P301" s="6" t="s">
        <v>7178</v>
      </c>
      <c r="Q301" s="6">
        <v>8</v>
      </c>
      <c r="R301" s="6" t="s">
        <v>79</v>
      </c>
      <c r="S301" s="6">
        <v>1932</v>
      </c>
      <c r="T301" s="6"/>
      <c r="X301" s="6" t="s">
        <v>7179</v>
      </c>
      <c r="Y301" s="6" t="s">
        <v>7180</v>
      </c>
      <c r="Z301" s="6" t="s">
        <v>7181</v>
      </c>
      <c r="AA301" s="6" t="s">
        <v>7182</v>
      </c>
      <c r="AB301" s="6" t="s">
        <v>7183</v>
      </c>
      <c r="AC301" s="6">
        <v>541618</v>
      </c>
      <c r="AD301" s="10" t="str">
        <f>_xlfn.XLOOKUP(AC301,[1]Mapping!B:B,[1]Mapping!C:C,"")</f>
        <v xml:space="preserve">Other Management Consulting Services </v>
      </c>
      <c r="AE301" s="6">
        <v>561611</v>
      </c>
      <c r="AF301" s="6" t="s">
        <v>7184</v>
      </c>
      <c r="AG301" s="6" t="s">
        <v>7185</v>
      </c>
      <c r="AH301" s="6" t="s">
        <v>7186</v>
      </c>
      <c r="AI301" s="6" t="s">
        <v>652</v>
      </c>
      <c r="AJ301" s="6" t="s">
        <v>293</v>
      </c>
      <c r="AK301" s="6" t="s">
        <v>294</v>
      </c>
      <c r="AL301" s="6" t="s">
        <v>295</v>
      </c>
      <c r="AM301" s="6" t="s">
        <v>296</v>
      </c>
      <c r="AN301" s="6" t="s">
        <v>297</v>
      </c>
      <c r="AO301" s="6" t="s">
        <v>298</v>
      </c>
      <c r="AQ301" s="6">
        <v>7381</v>
      </c>
      <c r="AR301" s="6" t="s">
        <v>7187</v>
      </c>
      <c r="AT301" s="6">
        <v>8010</v>
      </c>
      <c r="AU301" s="6" t="s">
        <v>7188</v>
      </c>
      <c r="AV301" s="6">
        <v>80.099999999999994</v>
      </c>
      <c r="AW301" s="6" t="s">
        <v>7188</v>
      </c>
      <c r="AY301" s="6" t="s">
        <v>7189</v>
      </c>
      <c r="AZ301" s="6" t="s">
        <v>7190</v>
      </c>
      <c r="BA301" s="6" t="s">
        <v>7191</v>
      </c>
      <c r="BD301" s="6" t="s">
        <v>7192</v>
      </c>
      <c r="BE301" s="6" t="str">
        <f t="shared" si="8"/>
        <v>kroll.com</v>
      </c>
      <c r="BF301" s="6" t="str">
        <f t="shared" si="9"/>
        <v>com</v>
      </c>
      <c r="BG301" s="6" t="s">
        <v>101</v>
      </c>
      <c r="BH301" s="6" t="s">
        <v>7193</v>
      </c>
      <c r="BI301" s="6" t="s">
        <v>7194</v>
      </c>
      <c r="BJ301" s="6" t="s">
        <v>7195</v>
      </c>
      <c r="BK301" s="6" t="s">
        <v>7196</v>
      </c>
      <c r="BN301" s="6" t="s">
        <v>7197</v>
      </c>
      <c r="BQ301" s="6" t="s">
        <v>7198</v>
      </c>
      <c r="BR301" s="6" t="s">
        <v>105</v>
      </c>
    </row>
    <row r="302" spans="1:70" ht="45" customHeight="1" x14ac:dyDescent="0.25">
      <c r="A302" s="6">
        <v>302</v>
      </c>
      <c r="B302" s="7" t="s">
        <v>7199</v>
      </c>
      <c r="C302" s="8" t="s">
        <v>7200</v>
      </c>
      <c r="D302" s="6" t="s">
        <v>7201</v>
      </c>
      <c r="E302" s="8" t="s">
        <v>7202</v>
      </c>
      <c r="F302" s="8" t="s">
        <v>7203</v>
      </c>
      <c r="G302" s="6" t="s">
        <v>73</v>
      </c>
      <c r="H302" s="6" t="s">
        <v>74</v>
      </c>
      <c r="J302" s="6" t="s">
        <v>486</v>
      </c>
      <c r="K302" s="9">
        <v>2100</v>
      </c>
      <c r="L302" s="8" t="s">
        <v>6056</v>
      </c>
      <c r="M302" s="9">
        <v>5</v>
      </c>
      <c r="N302" s="6">
        <v>55.709582099999999</v>
      </c>
      <c r="O302" s="6">
        <v>12.5909637</v>
      </c>
      <c r="P302" s="6" t="s">
        <v>7204</v>
      </c>
      <c r="Q302" s="6">
        <v>3</v>
      </c>
      <c r="R302" s="6" t="s">
        <v>79</v>
      </c>
      <c r="S302" s="6">
        <v>1994</v>
      </c>
      <c r="T302" s="6">
        <v>104010784</v>
      </c>
      <c r="U302" s="6" t="s">
        <v>80</v>
      </c>
      <c r="V302" s="6">
        <v>620</v>
      </c>
      <c r="W302" s="6" t="s">
        <v>167</v>
      </c>
      <c r="X302" s="6" t="s">
        <v>7205</v>
      </c>
      <c r="Y302" s="6" t="s">
        <v>7206</v>
      </c>
      <c r="Z302" s="6" t="s">
        <v>7207</v>
      </c>
      <c r="AA302" s="6" t="s">
        <v>7208</v>
      </c>
      <c r="AB302" s="6" t="s">
        <v>7209</v>
      </c>
      <c r="AC302" s="6">
        <v>541110</v>
      </c>
      <c r="AD302" s="10" t="str">
        <f>_xlfn.XLOOKUP(AC302,[1]Mapping!B:B,[1]Mapping!C:C,"")</f>
        <v>Offices of Lawyers</v>
      </c>
      <c r="AG302" s="6" t="s">
        <v>852</v>
      </c>
      <c r="AH302" s="6" t="s">
        <v>7210</v>
      </c>
      <c r="AI302" s="6" t="s">
        <v>652</v>
      </c>
      <c r="AJ302" s="6" t="s">
        <v>293</v>
      </c>
      <c r="AK302" s="6" t="s">
        <v>294</v>
      </c>
      <c r="AL302" s="6" t="s">
        <v>295</v>
      </c>
      <c r="AM302" s="6" t="s">
        <v>296</v>
      </c>
      <c r="AN302" s="6" t="s">
        <v>297</v>
      </c>
      <c r="AO302" s="6" t="s">
        <v>298</v>
      </c>
      <c r="AQ302" s="6">
        <v>8111</v>
      </c>
      <c r="AR302" s="6" t="s">
        <v>852</v>
      </c>
      <c r="AT302" s="6">
        <v>6910</v>
      </c>
      <c r="AU302" s="6" t="s">
        <v>855</v>
      </c>
      <c r="AV302" s="6">
        <v>69.099999999999994</v>
      </c>
      <c r="AW302" s="6" t="s">
        <v>855</v>
      </c>
      <c r="AY302" s="6" t="s">
        <v>7211</v>
      </c>
      <c r="AZ302" s="6" t="s">
        <v>7212</v>
      </c>
      <c r="BA302" s="6" t="s">
        <v>7213</v>
      </c>
      <c r="BB302" s="6" t="s">
        <v>7213</v>
      </c>
      <c r="BC302" s="6" t="s">
        <v>7214</v>
      </c>
      <c r="BD302" s="6" t="s">
        <v>7215</v>
      </c>
      <c r="BE302" s="6" t="str">
        <f t="shared" si="8"/>
        <v>kromannreumert.com</v>
      </c>
      <c r="BF302" s="6" t="str">
        <f t="shared" si="9"/>
        <v>com</v>
      </c>
      <c r="BG302" s="6" t="s">
        <v>101</v>
      </c>
      <c r="BH302" s="6" t="s">
        <v>7216</v>
      </c>
      <c r="BJ302" s="6" t="s">
        <v>7217</v>
      </c>
      <c r="BK302" s="6" t="s">
        <v>7218</v>
      </c>
      <c r="BN302" s="6" t="s">
        <v>7219</v>
      </c>
      <c r="BP302" s="6" t="s">
        <v>7220</v>
      </c>
      <c r="BQ302" s="6" t="s">
        <v>7221</v>
      </c>
      <c r="BR302" s="6" t="s">
        <v>105</v>
      </c>
    </row>
    <row r="303" spans="1:70" ht="45" customHeight="1" x14ac:dyDescent="0.25">
      <c r="A303" s="6">
        <v>303</v>
      </c>
      <c r="B303" s="7" t="s">
        <v>7222</v>
      </c>
      <c r="C303" s="8" t="s">
        <v>7223</v>
      </c>
      <c r="D303" s="6" t="s">
        <v>7224</v>
      </c>
      <c r="E303" s="8" t="s">
        <v>7222</v>
      </c>
      <c r="F303" s="8" t="s">
        <v>7225</v>
      </c>
      <c r="G303" s="6" t="s">
        <v>130</v>
      </c>
      <c r="H303" s="6" t="s">
        <v>131</v>
      </c>
      <c r="I303" s="8" t="s">
        <v>132</v>
      </c>
      <c r="J303" s="6" t="s">
        <v>132</v>
      </c>
      <c r="K303" s="9">
        <v>694</v>
      </c>
      <c r="L303" s="8" t="s">
        <v>7226</v>
      </c>
      <c r="M303" s="9">
        <v>6</v>
      </c>
      <c r="N303" s="6">
        <v>59.865254800000002</v>
      </c>
      <c r="O303" s="6">
        <v>10.841352499999999</v>
      </c>
      <c r="P303" s="6" t="s">
        <v>7227</v>
      </c>
      <c r="Q303" s="6">
        <v>1</v>
      </c>
      <c r="R303" s="6" t="s">
        <v>79</v>
      </c>
      <c r="S303" s="6">
        <v>2002</v>
      </c>
      <c r="T303" s="6">
        <v>5513354</v>
      </c>
      <c r="U303" s="6" t="s">
        <v>80</v>
      </c>
      <c r="V303" s="6">
        <v>17</v>
      </c>
      <c r="W303" s="6" t="s">
        <v>167</v>
      </c>
      <c r="X303" s="6" t="s">
        <v>7228</v>
      </c>
      <c r="Y303" s="6" t="s">
        <v>7229</v>
      </c>
      <c r="Z303" s="6" t="s">
        <v>7230</v>
      </c>
      <c r="AA303" s="6" t="s">
        <v>7231</v>
      </c>
      <c r="AB303" s="6" t="s">
        <v>7232</v>
      </c>
      <c r="AC303" s="6">
        <v>541613</v>
      </c>
      <c r="AD303" s="10" t="str">
        <f>_xlfn.XLOOKUP(AC303,[1]Mapping!B:B,[1]Mapping!C:C,"")</f>
        <v xml:space="preserve">Marketing Consulting Services </v>
      </c>
      <c r="AG303" s="6" t="s">
        <v>1142</v>
      </c>
      <c r="AH303" s="6" t="s">
        <v>1143</v>
      </c>
      <c r="AI303" s="6" t="s">
        <v>500</v>
      </c>
      <c r="AJ303" s="6" t="s">
        <v>500</v>
      </c>
      <c r="AK303" s="6" t="s">
        <v>501</v>
      </c>
      <c r="AL303" s="6" t="s">
        <v>502</v>
      </c>
      <c r="AM303" s="6" t="s">
        <v>503</v>
      </c>
      <c r="AN303" s="6" t="s">
        <v>297</v>
      </c>
      <c r="AO303" s="6" t="s">
        <v>298</v>
      </c>
      <c r="AQ303" s="6">
        <v>8742</v>
      </c>
      <c r="AR303" s="6" t="s">
        <v>2660</v>
      </c>
      <c r="AS303" s="6" t="s">
        <v>1067</v>
      </c>
      <c r="AT303" s="6">
        <v>7020</v>
      </c>
      <c r="AU303" s="6" t="s">
        <v>378</v>
      </c>
      <c r="AV303" s="6" t="s">
        <v>379</v>
      </c>
      <c r="AW303" s="6" t="s">
        <v>380</v>
      </c>
      <c r="AX303" s="6" t="s">
        <v>1068</v>
      </c>
      <c r="AY303" s="6" t="s">
        <v>7233</v>
      </c>
      <c r="AZ303" s="6" t="s">
        <v>7234</v>
      </c>
      <c r="BA303" s="6" t="s">
        <v>7235</v>
      </c>
      <c r="BB303" s="6" t="s">
        <v>7236</v>
      </c>
      <c r="BC303" s="6" t="s">
        <v>7237</v>
      </c>
      <c r="BD303" s="6" t="s">
        <v>7238</v>
      </c>
      <c r="BE303" s="6" t="str">
        <f t="shared" si="8"/>
        <v>leaddesk.com</v>
      </c>
      <c r="BF303" s="6" t="str">
        <f t="shared" si="9"/>
        <v>com</v>
      </c>
      <c r="BG303" s="6" t="s">
        <v>150</v>
      </c>
      <c r="BH303" s="6" t="s">
        <v>7239</v>
      </c>
      <c r="BI303" s="6" t="s">
        <v>7240</v>
      </c>
      <c r="BJ303" s="6" t="s">
        <v>7241</v>
      </c>
      <c r="BK303" s="6" t="s">
        <v>7242</v>
      </c>
      <c r="BN303" s="6" t="s">
        <v>7243</v>
      </c>
      <c r="BP303" s="6" t="s">
        <v>7244</v>
      </c>
      <c r="BQ303" s="6" t="s">
        <v>7245</v>
      </c>
      <c r="BR303" s="6" t="s">
        <v>105</v>
      </c>
    </row>
    <row r="304" spans="1:70" ht="45" customHeight="1" x14ac:dyDescent="0.25">
      <c r="A304" s="6">
        <v>304</v>
      </c>
      <c r="B304" s="7" t="s">
        <v>7246</v>
      </c>
      <c r="C304" s="8" t="s">
        <v>7247</v>
      </c>
      <c r="D304" s="6" t="s">
        <v>7248</v>
      </c>
      <c r="E304" s="8" t="s">
        <v>7246</v>
      </c>
      <c r="F304" s="8" t="s">
        <v>7249</v>
      </c>
      <c r="G304" s="6" t="s">
        <v>73</v>
      </c>
      <c r="H304" s="6" t="s">
        <v>74</v>
      </c>
      <c r="J304" s="6" t="s">
        <v>2811</v>
      </c>
      <c r="K304" s="9">
        <v>2605</v>
      </c>
      <c r="L304" s="8" t="s">
        <v>7250</v>
      </c>
      <c r="M304" s="9">
        <v>20</v>
      </c>
      <c r="N304" s="6">
        <v>55.646594399999998</v>
      </c>
      <c r="O304" s="6">
        <v>12.3871453</v>
      </c>
      <c r="P304" s="6" t="s">
        <v>7251</v>
      </c>
      <c r="Q304" s="6">
        <v>1</v>
      </c>
      <c r="R304" s="6" t="s">
        <v>79</v>
      </c>
      <c r="S304" s="6">
        <v>2011</v>
      </c>
      <c r="T304" s="6"/>
      <c r="X304" s="6" t="s">
        <v>7252</v>
      </c>
      <c r="Y304" s="6" t="s">
        <v>7253</v>
      </c>
      <c r="Z304" s="6" t="s">
        <v>7254</v>
      </c>
      <c r="AA304" s="6" t="s">
        <v>7255</v>
      </c>
      <c r="AB304" s="6" t="s">
        <v>7256</v>
      </c>
      <c r="AC304" s="6">
        <v>458210</v>
      </c>
      <c r="AD304" s="10" t="str">
        <f>_xlfn.XLOOKUP(AC304,[1]Mapping!B:B,[1]Mapping!C:C,"")</f>
        <v xml:space="preserve">Shoe Retailers </v>
      </c>
      <c r="AG304" s="6" t="s">
        <v>7257</v>
      </c>
      <c r="AH304" s="6" t="s">
        <v>7258</v>
      </c>
      <c r="AI304" s="6" t="s">
        <v>1467</v>
      </c>
      <c r="AJ304" s="6" t="s">
        <v>1467</v>
      </c>
      <c r="AK304" s="6" t="s">
        <v>1468</v>
      </c>
      <c r="AL304" s="6" t="s">
        <v>1469</v>
      </c>
      <c r="AM304" s="6" t="s">
        <v>1470</v>
      </c>
      <c r="AN304" s="6" t="s">
        <v>259</v>
      </c>
      <c r="AO304" s="6" t="s">
        <v>260</v>
      </c>
      <c r="AQ304" s="6" t="s">
        <v>7259</v>
      </c>
      <c r="AR304" s="6" t="s">
        <v>7260</v>
      </c>
      <c r="AS304" s="6" t="s">
        <v>7261</v>
      </c>
      <c r="AT304" s="6" t="s">
        <v>7262</v>
      </c>
      <c r="AU304" s="6" t="s">
        <v>7263</v>
      </c>
      <c r="AV304" s="6" t="s">
        <v>7264</v>
      </c>
      <c r="AW304" s="6" t="s">
        <v>7265</v>
      </c>
      <c r="AX304" s="6" t="s">
        <v>7266</v>
      </c>
      <c r="AY304" s="6" t="s">
        <v>7267</v>
      </c>
      <c r="BA304" s="6" t="s">
        <v>7268</v>
      </c>
      <c r="BD304" s="6" t="s">
        <v>7269</v>
      </c>
      <c r="BE304" s="6" t="str">
        <f t="shared" si="8"/>
        <v>ayvens.com</v>
      </c>
      <c r="BF304" s="6" t="str">
        <f t="shared" si="9"/>
        <v>com</v>
      </c>
      <c r="BG304" s="6" t="s">
        <v>101</v>
      </c>
      <c r="BH304" s="6" t="s">
        <v>7270</v>
      </c>
      <c r="BK304" s="6" t="s">
        <v>7271</v>
      </c>
      <c r="BN304" s="6" t="s">
        <v>7272</v>
      </c>
      <c r="BP304" s="6" t="s">
        <v>7273</v>
      </c>
      <c r="BQ304" s="6" t="s">
        <v>7274</v>
      </c>
      <c r="BR304" s="6" t="s">
        <v>105</v>
      </c>
    </row>
    <row r="305" spans="1:70" ht="45" customHeight="1" x14ac:dyDescent="0.25">
      <c r="A305" s="6">
        <v>305</v>
      </c>
      <c r="B305" s="7" t="s">
        <v>7275</v>
      </c>
      <c r="C305" s="8" t="s">
        <v>7276</v>
      </c>
      <c r="D305" s="6" t="s">
        <v>672</v>
      </c>
      <c r="E305" s="6" t="s">
        <v>672</v>
      </c>
      <c r="F305" s="8" t="s">
        <v>7277</v>
      </c>
      <c r="G305" s="6" t="s">
        <v>160</v>
      </c>
      <c r="H305" s="6" t="s">
        <v>161</v>
      </c>
      <c r="I305" s="6" t="s">
        <v>281</v>
      </c>
      <c r="J305" s="6" t="s">
        <v>1350</v>
      </c>
      <c r="K305" s="9" t="s">
        <v>3782</v>
      </c>
      <c r="L305" s="8" t="s">
        <v>3783</v>
      </c>
      <c r="M305" s="9">
        <v>4</v>
      </c>
      <c r="N305" s="6">
        <v>59.375542000000003</v>
      </c>
      <c r="O305" s="6">
        <v>18.013500000000001</v>
      </c>
      <c r="P305" s="6" t="s">
        <v>7278</v>
      </c>
      <c r="Q305" s="6">
        <v>1</v>
      </c>
      <c r="R305" s="6" t="s">
        <v>79</v>
      </c>
      <c r="S305" s="6">
        <v>1995</v>
      </c>
      <c r="T305" s="12">
        <v>9000000</v>
      </c>
      <c r="U305" s="6" t="s">
        <v>167</v>
      </c>
      <c r="V305" s="6">
        <v>1</v>
      </c>
      <c r="X305" s="6" t="s">
        <v>7279</v>
      </c>
      <c r="Y305" s="6" t="s">
        <v>7280</v>
      </c>
      <c r="Z305" s="6" t="s">
        <v>7281</v>
      </c>
      <c r="AA305" s="6" t="s">
        <v>7281</v>
      </c>
      <c r="AB305" s="6" t="s">
        <v>7282</v>
      </c>
      <c r="AC305" s="10">
        <f>_xlfn.XLOOKUP(AH305,[1]Mapping!C:C,[1]Mapping!B:B,"",1)</f>
        <v>611512</v>
      </c>
      <c r="AD305" s="10" t="s">
        <v>7283</v>
      </c>
      <c r="AE305" s="6">
        <v>522310</v>
      </c>
      <c r="AF305" s="6" t="s">
        <v>7284</v>
      </c>
      <c r="AG305" s="6" t="s">
        <v>5216</v>
      </c>
      <c r="AH305" s="6" t="s">
        <v>7285</v>
      </c>
      <c r="AI305" s="6" t="s">
        <v>1050</v>
      </c>
      <c r="AJ305" s="6" t="s">
        <v>7286</v>
      </c>
      <c r="AK305" s="6">
        <v>7389</v>
      </c>
      <c r="AL305" s="6" t="s">
        <v>7287</v>
      </c>
      <c r="AM305" s="6">
        <v>7300</v>
      </c>
      <c r="AN305" s="6" t="s">
        <v>297</v>
      </c>
      <c r="AO305" s="6">
        <v>7000</v>
      </c>
      <c r="AQ305" s="6">
        <v>7514</v>
      </c>
      <c r="AR305" s="6" t="s">
        <v>7283</v>
      </c>
      <c r="AT305" s="6">
        <v>7710</v>
      </c>
      <c r="AU305" s="6" t="s">
        <v>7288</v>
      </c>
      <c r="AV305" s="6">
        <v>77.11</v>
      </c>
      <c r="AW305" s="6" t="s">
        <v>7289</v>
      </c>
      <c r="AX305" s="6">
        <v>7700</v>
      </c>
      <c r="AY305" s="6" t="s">
        <v>7290</v>
      </c>
      <c r="AZ305" s="6">
        <v>4684702600</v>
      </c>
      <c r="BD305" s="6" t="s">
        <v>7291</v>
      </c>
      <c r="BE305" s="6" t="str">
        <f t="shared" si="8"/>
        <v>ayvens.se</v>
      </c>
      <c r="BF305" s="6" t="str">
        <f t="shared" si="9"/>
        <v>se</v>
      </c>
      <c r="BG305" s="6" t="s">
        <v>308</v>
      </c>
      <c r="BI305" s="6" t="s">
        <v>7292</v>
      </c>
      <c r="BJ305" s="6" t="s">
        <v>7293</v>
      </c>
      <c r="BK305" s="6" t="s">
        <v>7271</v>
      </c>
      <c r="BN305" s="6" t="s">
        <v>7272</v>
      </c>
      <c r="BQ305" s="6" t="s">
        <v>7294</v>
      </c>
      <c r="BR305" s="6" t="s">
        <v>105</v>
      </c>
    </row>
    <row r="306" spans="1:70" ht="45" customHeight="1" x14ac:dyDescent="0.25">
      <c r="A306" s="6">
        <v>306</v>
      </c>
      <c r="B306" s="7" t="s">
        <v>7295</v>
      </c>
      <c r="C306" s="8" t="s">
        <v>7296</v>
      </c>
      <c r="D306" s="6" t="s">
        <v>7297</v>
      </c>
      <c r="E306" s="6" t="s">
        <v>7298</v>
      </c>
      <c r="F306" s="8" t="s">
        <v>7299</v>
      </c>
      <c r="G306" s="6" t="s">
        <v>315</v>
      </c>
      <c r="H306" s="6" t="s">
        <v>316</v>
      </c>
      <c r="I306" s="6"/>
      <c r="J306" s="6" t="s">
        <v>316</v>
      </c>
      <c r="K306" s="9">
        <v>189721</v>
      </c>
      <c r="L306" s="8" t="s">
        <v>7300</v>
      </c>
      <c r="M306" s="9">
        <v>152</v>
      </c>
      <c r="N306" s="6">
        <v>1.2988735</v>
      </c>
      <c r="O306" s="6">
        <v>103.85940069999999</v>
      </c>
      <c r="P306" s="6" t="s">
        <v>7301</v>
      </c>
      <c r="Q306" s="6">
        <v>6</v>
      </c>
      <c r="R306" s="6" t="s">
        <v>79</v>
      </c>
      <c r="S306" s="6">
        <v>1999</v>
      </c>
      <c r="T306" s="6">
        <v>20758510</v>
      </c>
      <c r="U306" s="6" t="s">
        <v>80</v>
      </c>
      <c r="V306" s="6">
        <v>55</v>
      </c>
      <c r="W306" s="6" t="s">
        <v>167</v>
      </c>
      <c r="X306" s="6" t="s">
        <v>7302</v>
      </c>
      <c r="Y306" s="6" t="s">
        <v>7303</v>
      </c>
      <c r="Z306" s="6" t="s">
        <v>7304</v>
      </c>
      <c r="AA306" s="6" t="s">
        <v>7305</v>
      </c>
      <c r="AB306" s="6" t="s">
        <v>7306</v>
      </c>
      <c r="AC306" s="6">
        <v>335910</v>
      </c>
      <c r="AD306" s="10" t="str">
        <f>_xlfn.XLOOKUP(AC306,[1]Mapping!B:B,[1]Mapping!C:C,"")</f>
        <v xml:space="preserve">Battery Manufacturing </v>
      </c>
      <c r="AG306" s="6" t="s">
        <v>1239</v>
      </c>
      <c r="AH306" s="6" t="s">
        <v>1240</v>
      </c>
      <c r="AI306" s="6" t="s">
        <v>1240</v>
      </c>
      <c r="AJ306" s="6" t="s">
        <v>1241</v>
      </c>
      <c r="AK306" s="6" t="s">
        <v>1242</v>
      </c>
      <c r="AL306" s="6" t="s">
        <v>219</v>
      </c>
      <c r="AM306" s="6" t="s">
        <v>220</v>
      </c>
      <c r="AN306" s="6" t="s">
        <v>221</v>
      </c>
      <c r="AO306" s="6" t="s">
        <v>222</v>
      </c>
      <c r="AQ306" s="6" t="s">
        <v>1243</v>
      </c>
      <c r="AR306" s="6" t="s">
        <v>1244</v>
      </c>
      <c r="AT306" s="6">
        <v>2720</v>
      </c>
      <c r="AU306" s="6" t="s">
        <v>1246</v>
      </c>
      <c r="AV306" s="6">
        <v>27.2</v>
      </c>
      <c r="AW306" s="6" t="s">
        <v>1246</v>
      </c>
      <c r="AY306" s="6" t="s">
        <v>7307</v>
      </c>
      <c r="AZ306" s="6" t="s">
        <v>7308</v>
      </c>
      <c r="BA306" s="6" t="s">
        <v>7309</v>
      </c>
      <c r="BD306" s="6" t="s">
        <v>7310</v>
      </c>
      <c r="BE306" s="6" t="str">
        <f t="shared" si="8"/>
        <v>leoch.com.sg</v>
      </c>
      <c r="BF306" s="6" t="str">
        <f t="shared" si="9"/>
        <v>sg</v>
      </c>
      <c r="BG306" s="6" t="s">
        <v>101</v>
      </c>
      <c r="BH306" s="6" t="s">
        <v>7311</v>
      </c>
      <c r="BJ306" s="6" t="s">
        <v>7312</v>
      </c>
      <c r="BK306" s="6" t="s">
        <v>7313</v>
      </c>
      <c r="BP306" s="6" t="s">
        <v>7314</v>
      </c>
      <c r="BQ306" s="6" t="s">
        <v>7315</v>
      </c>
      <c r="BR306" s="6" t="s">
        <v>105</v>
      </c>
    </row>
    <row r="307" spans="1:70" ht="45" customHeight="1" x14ac:dyDescent="0.25">
      <c r="A307" s="6">
        <v>307</v>
      </c>
      <c r="B307" s="7" t="s">
        <v>7316</v>
      </c>
      <c r="C307" s="8" t="s">
        <v>7317</v>
      </c>
      <c r="D307" s="6" t="s">
        <v>7318</v>
      </c>
      <c r="E307" s="8" t="s">
        <v>7319</v>
      </c>
      <c r="F307" s="8" t="s">
        <v>7319</v>
      </c>
      <c r="G307" s="6" t="s">
        <v>570</v>
      </c>
      <c r="H307" s="6" t="s">
        <v>571</v>
      </c>
      <c r="I307" s="6" t="s">
        <v>572</v>
      </c>
      <c r="J307" s="6" t="s">
        <v>3358</v>
      </c>
      <c r="L307" s="8" t="s">
        <v>7320</v>
      </c>
      <c r="N307" s="6">
        <v>53.334573799999987</v>
      </c>
      <c r="O307" s="6">
        <v>-6.2488861999999994</v>
      </c>
      <c r="P307" s="6" t="s">
        <v>7321</v>
      </c>
      <c r="Q307" s="6">
        <v>4</v>
      </c>
      <c r="R307" s="6" t="s">
        <v>79</v>
      </c>
      <c r="S307" s="6">
        <v>2009</v>
      </c>
      <c r="T307" s="6">
        <v>3201810</v>
      </c>
      <c r="U307" s="6" t="s">
        <v>80</v>
      </c>
      <c r="V307" s="6">
        <v>30</v>
      </c>
      <c r="W307" s="6" t="s">
        <v>80</v>
      </c>
      <c r="X307" s="6" t="s">
        <v>7322</v>
      </c>
      <c r="Y307" s="6" t="s">
        <v>7323</v>
      </c>
      <c r="Z307" s="6" t="s">
        <v>7324</v>
      </c>
      <c r="AA307" s="6" t="s">
        <v>7325</v>
      </c>
      <c r="AC307" s="6">
        <v>449210</v>
      </c>
      <c r="AD307" s="10" t="str">
        <f>_xlfn.XLOOKUP(AC307,[1]Mapping!B:B,[1]Mapping!C:C,"")</f>
        <v xml:space="preserve">Electronics and Appliance Retailers </v>
      </c>
      <c r="AG307" s="6" t="s">
        <v>7326</v>
      </c>
      <c r="AH307" s="6" t="s">
        <v>965</v>
      </c>
      <c r="AI307" s="6" t="s">
        <v>733</v>
      </c>
      <c r="AJ307" s="6" t="s">
        <v>255</v>
      </c>
      <c r="AK307" s="6" t="s">
        <v>256</v>
      </c>
      <c r="AL307" s="6" t="s">
        <v>257</v>
      </c>
      <c r="AM307" s="6" t="s">
        <v>258</v>
      </c>
      <c r="AN307" s="6" t="s">
        <v>259</v>
      </c>
      <c r="AO307" s="6" t="s">
        <v>260</v>
      </c>
      <c r="AQ307" s="6" t="s">
        <v>3339</v>
      </c>
      <c r="AR307" s="6" t="s">
        <v>3340</v>
      </c>
      <c r="AT307" s="6" t="s">
        <v>3341</v>
      </c>
      <c r="AU307" s="6" t="s">
        <v>3342</v>
      </c>
      <c r="AV307" s="6" t="s">
        <v>3343</v>
      </c>
      <c r="AW307" s="6" t="s">
        <v>3344</v>
      </c>
      <c r="AY307" s="6">
        <v>420221000000</v>
      </c>
      <c r="AZ307" s="6" t="s">
        <v>7327</v>
      </c>
      <c r="BA307" s="6" t="s">
        <v>7328</v>
      </c>
      <c r="BD307" s="6" t="s">
        <v>7329</v>
      </c>
      <c r="BE307" s="6" t="str">
        <f t="shared" si="8"/>
        <v>linkedin.com</v>
      </c>
      <c r="BF307" s="6" t="str">
        <f t="shared" si="9"/>
        <v>com</v>
      </c>
      <c r="BG307" s="6" t="s">
        <v>7330</v>
      </c>
      <c r="BH307" s="6" t="s">
        <v>7331</v>
      </c>
      <c r="BK307" s="6" t="s">
        <v>7332</v>
      </c>
      <c r="BN307" s="6" t="s">
        <v>7333</v>
      </c>
      <c r="BQ307" s="6" t="s">
        <v>7334</v>
      </c>
      <c r="BR307" s="6" t="s">
        <v>105</v>
      </c>
    </row>
    <row r="308" spans="1:70" ht="45" customHeight="1" x14ac:dyDescent="0.25">
      <c r="A308" s="6">
        <v>308</v>
      </c>
      <c r="B308" s="7" t="s">
        <v>7335</v>
      </c>
      <c r="C308" s="8" t="s">
        <v>7336</v>
      </c>
      <c r="D308" s="6" t="s">
        <v>7337</v>
      </c>
      <c r="E308" s="8" t="s">
        <v>7335</v>
      </c>
      <c r="F308" s="8" t="s">
        <v>7338</v>
      </c>
      <c r="G308" s="6" t="s">
        <v>315</v>
      </c>
      <c r="H308" s="6" t="s">
        <v>316</v>
      </c>
      <c r="J308" s="6" t="s">
        <v>316</v>
      </c>
      <c r="K308" s="9">
        <v>18983</v>
      </c>
      <c r="L308" s="8" t="s">
        <v>7339</v>
      </c>
      <c r="M308" s="9">
        <v>10</v>
      </c>
      <c r="N308" s="6">
        <v>1.2795426000000001</v>
      </c>
      <c r="O308" s="6">
        <v>103.8541225</v>
      </c>
      <c r="P308" s="6" t="s">
        <v>2466</v>
      </c>
      <c r="Q308" s="6">
        <v>1</v>
      </c>
      <c r="R308" s="6" t="s">
        <v>79</v>
      </c>
      <c r="S308" s="6">
        <v>2017</v>
      </c>
      <c r="T308" s="6"/>
      <c r="X308" s="6" t="s">
        <v>7340</v>
      </c>
      <c r="Y308" s="6" t="s">
        <v>7341</v>
      </c>
      <c r="Z308" s="6" t="s">
        <v>7342</v>
      </c>
      <c r="AA308" s="6" t="s">
        <v>7343</v>
      </c>
      <c r="AB308" s="6" t="s">
        <v>7344</v>
      </c>
      <c r="AC308" s="6">
        <v>721110</v>
      </c>
      <c r="AD308" s="10" t="str">
        <f>_xlfn.XLOOKUP(AC308,[1]Mapping!B:B,[1]Mapping!C:C,"")</f>
        <v xml:space="preserve">Hotels (except Casino Hotels) and Motels </v>
      </c>
      <c r="AG308" s="6" t="s">
        <v>1614</v>
      </c>
      <c r="AH308" s="6" t="s">
        <v>324</v>
      </c>
      <c r="AI308" s="6" t="s">
        <v>325</v>
      </c>
      <c r="AQ308" s="6" t="s">
        <v>1615</v>
      </c>
      <c r="AR308" s="6" t="s">
        <v>1616</v>
      </c>
      <c r="AT308" s="6" t="s">
        <v>1617</v>
      </c>
      <c r="AU308" s="6" t="s">
        <v>1618</v>
      </c>
      <c r="AV308" s="6" t="s">
        <v>1619</v>
      </c>
      <c r="AW308" s="6" t="s">
        <v>1620</v>
      </c>
      <c r="AY308" s="6" t="s">
        <v>7345</v>
      </c>
      <c r="BD308" s="6" t="s">
        <v>7346</v>
      </c>
      <c r="BE308" s="6" t="str">
        <f t="shared" si="8"/>
        <v>localx.org</v>
      </c>
      <c r="BF308" s="6" t="str">
        <f t="shared" si="9"/>
        <v>org</v>
      </c>
      <c r="BG308" s="6" t="s">
        <v>101</v>
      </c>
      <c r="BI308" s="6" t="s">
        <v>7347</v>
      </c>
      <c r="BK308" s="6" t="s">
        <v>7348</v>
      </c>
      <c r="BQ308" s="6" t="s">
        <v>7349</v>
      </c>
      <c r="BR308" s="6" t="s">
        <v>105</v>
      </c>
    </row>
    <row r="309" spans="1:70" ht="45" customHeight="1" x14ac:dyDescent="0.25">
      <c r="A309" s="6">
        <v>309</v>
      </c>
      <c r="B309" s="7" t="s">
        <v>7350</v>
      </c>
      <c r="C309" s="8" t="s">
        <v>7351</v>
      </c>
      <c r="D309" s="6" t="s">
        <v>4313</v>
      </c>
      <c r="E309" s="8" t="s">
        <v>7350</v>
      </c>
      <c r="F309" s="8" t="s">
        <v>7352</v>
      </c>
      <c r="G309" s="6" t="s">
        <v>1659</v>
      </c>
      <c r="H309" s="6" t="s">
        <v>1660</v>
      </c>
      <c r="I309" s="8" t="s">
        <v>1661</v>
      </c>
      <c r="J309" s="6" t="s">
        <v>1662</v>
      </c>
      <c r="K309" s="9">
        <v>1212</v>
      </c>
      <c r="L309" s="8" t="s">
        <v>5038</v>
      </c>
      <c r="M309" s="9">
        <v>1212</v>
      </c>
      <c r="N309" s="6">
        <v>23.786849100000001</v>
      </c>
      <c r="O309" s="6">
        <v>90.416384100000002</v>
      </c>
      <c r="R309" s="6" t="s">
        <v>79</v>
      </c>
      <c r="S309" s="6">
        <v>1884</v>
      </c>
      <c r="T309" s="6"/>
      <c r="X309" s="6" t="s">
        <v>7353</v>
      </c>
      <c r="Y309" s="6" t="s">
        <v>7354</v>
      </c>
      <c r="Z309" s="6" t="s">
        <v>7355</v>
      </c>
      <c r="AA309" s="6" t="s">
        <v>7356</v>
      </c>
      <c r="AB309" s="6" t="s">
        <v>7357</v>
      </c>
      <c r="AC309" s="6">
        <v>517112</v>
      </c>
      <c r="AD309" s="10" t="str">
        <f>_xlfn.XLOOKUP(AC309,[1]Mapping!B:B,[1]Mapping!C:C,"")</f>
        <v>Wireless Telecommunications Carriers (except Satellite)</v>
      </c>
      <c r="AG309" s="6" t="s">
        <v>89</v>
      </c>
      <c r="AH309" s="6" t="s">
        <v>86</v>
      </c>
      <c r="AI309" s="6" t="s">
        <v>87</v>
      </c>
      <c r="AJ309" s="6" t="s">
        <v>86</v>
      </c>
      <c r="AK309" s="6" t="s">
        <v>88</v>
      </c>
      <c r="AL309" s="6" t="s">
        <v>89</v>
      </c>
      <c r="AM309" s="6" t="s">
        <v>90</v>
      </c>
      <c r="AN309" s="6" t="s">
        <v>91</v>
      </c>
      <c r="AO309" s="6" t="s">
        <v>92</v>
      </c>
      <c r="AQ309" s="6" t="s">
        <v>1697</v>
      </c>
      <c r="AR309" s="6" t="s">
        <v>1698</v>
      </c>
      <c r="AT309" s="6">
        <v>6120</v>
      </c>
      <c r="AU309" s="6" t="s">
        <v>1699</v>
      </c>
      <c r="AV309" s="6">
        <v>61.2</v>
      </c>
      <c r="AW309" s="6" t="s">
        <v>1699</v>
      </c>
      <c r="AY309" s="6" t="s">
        <v>7358</v>
      </c>
      <c r="BA309" s="6" t="s">
        <v>7359</v>
      </c>
      <c r="BD309" s="6" t="s">
        <v>4295</v>
      </c>
      <c r="BE309" s="6" t="str">
        <f t="shared" si="8"/>
        <v>ericsson.com</v>
      </c>
      <c r="BF309" s="6" t="str">
        <f t="shared" si="9"/>
        <v>com</v>
      </c>
      <c r="BG309" s="6" t="s">
        <v>101</v>
      </c>
      <c r="BQ309" s="6" t="s">
        <v>7360</v>
      </c>
      <c r="BR309" s="6" t="s">
        <v>105</v>
      </c>
    </row>
    <row r="310" spans="1:70" ht="45" customHeight="1" x14ac:dyDescent="0.25">
      <c r="A310" s="6">
        <v>310</v>
      </c>
      <c r="B310" s="7" t="s">
        <v>7361</v>
      </c>
      <c r="C310" s="8" t="s">
        <v>7362</v>
      </c>
      <c r="D310" s="6" t="s">
        <v>7363</v>
      </c>
      <c r="E310" s="8" t="s">
        <v>7361</v>
      </c>
      <c r="F310" s="8" t="s">
        <v>7364</v>
      </c>
      <c r="G310" s="6" t="s">
        <v>73</v>
      </c>
      <c r="H310" s="6" t="s">
        <v>74</v>
      </c>
      <c r="J310" s="6" t="s">
        <v>1636</v>
      </c>
      <c r="K310" s="9">
        <v>9400</v>
      </c>
      <c r="L310" s="8" t="s">
        <v>7365</v>
      </c>
      <c r="M310" s="9">
        <v>6</v>
      </c>
      <c r="N310" s="6">
        <v>57.085268200000002</v>
      </c>
      <c r="O310" s="6">
        <v>9.9572903000000004</v>
      </c>
      <c r="P310" s="6" t="s">
        <v>7366</v>
      </c>
      <c r="Q310" s="6">
        <v>2</v>
      </c>
      <c r="R310" s="6" t="s">
        <v>79</v>
      </c>
      <c r="T310" s="6">
        <v>10005294</v>
      </c>
      <c r="U310" s="6" t="s">
        <v>80</v>
      </c>
      <c r="V310" s="6">
        <v>75</v>
      </c>
      <c r="W310" s="6" t="s">
        <v>80</v>
      </c>
      <c r="X310" s="6" t="s">
        <v>7367</v>
      </c>
      <c r="Y310" s="6" t="s">
        <v>7368</v>
      </c>
      <c r="Z310" s="6" t="s">
        <v>7369</v>
      </c>
      <c r="AA310" s="6" t="s">
        <v>7370</v>
      </c>
      <c r="AB310" s="6" t="s">
        <v>7371</v>
      </c>
      <c r="AC310" s="6">
        <v>621320</v>
      </c>
      <c r="AD310" s="10" t="str">
        <f>_xlfn.XLOOKUP(AC310,[1]Mapping!B:B,[1]Mapping!C:C,"")</f>
        <v>Offices of Optometrists</v>
      </c>
      <c r="AG310" s="6" t="s">
        <v>7372</v>
      </c>
      <c r="AH310" s="6" t="s">
        <v>7373</v>
      </c>
      <c r="AI310" s="6" t="s">
        <v>1164</v>
      </c>
      <c r="AJ310" s="6" t="s">
        <v>3148</v>
      </c>
      <c r="AK310" s="6" t="s">
        <v>3149</v>
      </c>
      <c r="AL310" s="6" t="s">
        <v>3150</v>
      </c>
      <c r="AM310" s="6" t="s">
        <v>3151</v>
      </c>
      <c r="AN310" s="6" t="s">
        <v>2585</v>
      </c>
      <c r="AO310" s="6" t="s">
        <v>2586</v>
      </c>
      <c r="AQ310" s="6">
        <v>8042</v>
      </c>
      <c r="AR310" s="6" t="s">
        <v>7374</v>
      </c>
      <c r="AT310" s="6">
        <v>8690</v>
      </c>
      <c r="AU310" s="6" t="s">
        <v>1166</v>
      </c>
      <c r="AV310" s="6">
        <v>86.9</v>
      </c>
      <c r="AW310" s="6" t="s">
        <v>1166</v>
      </c>
      <c r="AY310" s="6" t="s">
        <v>7375</v>
      </c>
      <c r="BA310" s="6" t="s">
        <v>7376</v>
      </c>
      <c r="BB310" s="6" t="s">
        <v>7377</v>
      </c>
      <c r="BD310" s="6" t="s">
        <v>7378</v>
      </c>
      <c r="BE310" s="6" t="str">
        <f t="shared" si="8"/>
        <v>scangl.com</v>
      </c>
      <c r="BF310" s="6" t="str">
        <f t="shared" si="9"/>
        <v>com</v>
      </c>
      <c r="BG310" s="6" t="s">
        <v>101</v>
      </c>
      <c r="BH310" s="6" t="s">
        <v>7379</v>
      </c>
      <c r="BK310" s="6" t="s">
        <v>7380</v>
      </c>
      <c r="BP310" s="6" t="s">
        <v>7381</v>
      </c>
      <c r="BQ310" s="6" t="s">
        <v>7382</v>
      </c>
      <c r="BR310" s="6" t="s">
        <v>105</v>
      </c>
    </row>
    <row r="311" spans="1:70" ht="45" customHeight="1" x14ac:dyDescent="0.25">
      <c r="A311" s="6">
        <v>311</v>
      </c>
      <c r="B311" s="7" t="s">
        <v>7383</v>
      </c>
      <c r="C311" s="8" t="s">
        <v>7384</v>
      </c>
      <c r="D311" s="6" t="s">
        <v>7385</v>
      </c>
      <c r="E311" s="6" t="s">
        <v>7386</v>
      </c>
      <c r="F311" s="8" t="s">
        <v>7387</v>
      </c>
      <c r="G311" s="6" t="s">
        <v>130</v>
      </c>
      <c r="H311" s="6" t="s">
        <v>131</v>
      </c>
      <c r="I311" s="6" t="s">
        <v>132</v>
      </c>
      <c r="J311" s="6" t="s">
        <v>132</v>
      </c>
      <c r="K311" s="9">
        <v>872</v>
      </c>
      <c r="L311" s="8" t="s">
        <v>5453</v>
      </c>
      <c r="M311" s="9">
        <v>323</v>
      </c>
      <c r="N311" s="6">
        <v>59.954535000000007</v>
      </c>
      <c r="O311" s="6">
        <v>10.762039100000001</v>
      </c>
      <c r="P311" s="6" t="s">
        <v>7388</v>
      </c>
      <c r="Q311" s="6">
        <v>4</v>
      </c>
      <c r="R311" s="6" t="s">
        <v>79</v>
      </c>
      <c r="S311" s="6">
        <v>1995</v>
      </c>
      <c r="T311" s="6">
        <v>17581424</v>
      </c>
      <c r="U311" s="6" t="s">
        <v>80</v>
      </c>
      <c r="V311" s="6">
        <v>180</v>
      </c>
      <c r="W311" s="6" t="s">
        <v>167</v>
      </c>
      <c r="X311" s="6" t="s">
        <v>7389</v>
      </c>
      <c r="Y311" s="6" t="s">
        <v>7390</v>
      </c>
      <c r="Z311" s="6" t="s">
        <v>7391</v>
      </c>
      <c r="AA311" s="6" t="s">
        <v>7392</v>
      </c>
      <c r="AB311" s="6" t="s">
        <v>7393</v>
      </c>
      <c r="AC311" s="6">
        <v>541613</v>
      </c>
      <c r="AD311" s="10" t="str">
        <f>_xlfn.XLOOKUP(AC311,[1]Mapping!B:B,[1]Mapping!C:C,"")</f>
        <v xml:space="preserve">Marketing Consulting Services </v>
      </c>
      <c r="AG311" s="6" t="s">
        <v>7394</v>
      </c>
      <c r="AH311" s="6" t="s">
        <v>7395</v>
      </c>
      <c r="AI311" s="6" t="s">
        <v>652</v>
      </c>
      <c r="AJ311" s="6" t="s">
        <v>293</v>
      </c>
      <c r="AK311" s="6" t="s">
        <v>294</v>
      </c>
      <c r="AL311" s="6" t="s">
        <v>295</v>
      </c>
      <c r="AM311" s="6" t="s">
        <v>296</v>
      </c>
      <c r="AN311" s="6" t="s">
        <v>297</v>
      </c>
      <c r="AO311" s="6" t="s">
        <v>298</v>
      </c>
      <c r="AQ311" s="6">
        <v>8742</v>
      </c>
      <c r="AR311" s="6" t="s">
        <v>2846</v>
      </c>
      <c r="AT311" s="6">
        <v>7020</v>
      </c>
      <c r="AU311" s="6" t="s">
        <v>378</v>
      </c>
      <c r="AV311" s="6">
        <v>70.22</v>
      </c>
      <c r="AW311" s="6" t="s">
        <v>659</v>
      </c>
      <c r="AY311" s="6" t="s">
        <v>7396</v>
      </c>
      <c r="AZ311" s="6" t="s">
        <v>7397</v>
      </c>
      <c r="BA311" s="6" t="s">
        <v>7398</v>
      </c>
      <c r="BB311" s="6" t="s">
        <v>7399</v>
      </c>
      <c r="BC311" s="6" t="s">
        <v>7400</v>
      </c>
      <c r="BD311" s="6" t="s">
        <v>7401</v>
      </c>
      <c r="BE311" s="6" t="str">
        <f t="shared" si="8"/>
        <v>loyalty.no</v>
      </c>
      <c r="BF311" s="6" t="str">
        <f t="shared" si="9"/>
        <v>no</v>
      </c>
      <c r="BG311" s="6" t="s">
        <v>150</v>
      </c>
      <c r="BH311" s="6" t="s">
        <v>7402</v>
      </c>
      <c r="BJ311" s="6" t="s">
        <v>7403</v>
      </c>
      <c r="BK311" s="6" t="s">
        <v>7404</v>
      </c>
      <c r="BP311" s="6" t="s">
        <v>7405</v>
      </c>
      <c r="BQ311" s="6" t="s">
        <v>7406</v>
      </c>
      <c r="BR311" s="6" t="s">
        <v>105</v>
      </c>
    </row>
    <row r="312" spans="1:70" ht="45" customHeight="1" x14ac:dyDescent="0.25">
      <c r="A312" s="6">
        <v>312</v>
      </c>
      <c r="B312" s="7" t="s">
        <v>7407</v>
      </c>
      <c r="C312" s="8" t="s">
        <v>7408</v>
      </c>
      <c r="D312" s="6" t="s">
        <v>7409</v>
      </c>
      <c r="E312" s="6" t="s">
        <v>7410</v>
      </c>
      <c r="F312" s="8" t="s">
        <v>7411</v>
      </c>
      <c r="G312" s="6" t="s">
        <v>73</v>
      </c>
      <c r="H312" s="6" t="s">
        <v>74</v>
      </c>
      <c r="I312" s="6"/>
      <c r="J312" s="6" t="s">
        <v>486</v>
      </c>
      <c r="K312" s="9">
        <v>1127</v>
      </c>
      <c r="L312" s="8" t="s">
        <v>7412</v>
      </c>
      <c r="M312" s="9">
        <v>32</v>
      </c>
      <c r="N312" s="6">
        <v>55.683039000000001</v>
      </c>
      <c r="O312" s="6">
        <v>12.575056999999999</v>
      </c>
      <c r="P312" s="6" t="s">
        <v>7413</v>
      </c>
      <c r="Q312" s="6">
        <v>1</v>
      </c>
      <c r="R312" s="6" t="s">
        <v>79</v>
      </c>
      <c r="T312" s="6">
        <v>6598815</v>
      </c>
      <c r="U312" s="6" t="s">
        <v>80</v>
      </c>
      <c r="V312" s="6">
        <v>75</v>
      </c>
      <c r="W312" s="6" t="s">
        <v>80</v>
      </c>
      <c r="X312" s="6" t="s">
        <v>7414</v>
      </c>
      <c r="Y312" s="6" t="s">
        <v>7415</v>
      </c>
      <c r="Z312" s="6" t="s">
        <v>7416</v>
      </c>
      <c r="AA312" s="6" t="s">
        <v>7417</v>
      </c>
      <c r="AB312" s="6" t="s">
        <v>7418</v>
      </c>
      <c r="AC312" s="6">
        <v>541511</v>
      </c>
      <c r="AD312" s="10" t="str">
        <f>_xlfn.XLOOKUP(AC312,[1]Mapping!B:B,[1]Mapping!C:C,"")</f>
        <v xml:space="preserve">Custom Computer Programming Services </v>
      </c>
      <c r="AE312" s="6" t="s">
        <v>495</v>
      </c>
      <c r="AF312" s="6" t="s">
        <v>496</v>
      </c>
      <c r="AG312" s="6" t="s">
        <v>7419</v>
      </c>
      <c r="AH312" s="6" t="s">
        <v>7420</v>
      </c>
      <c r="AI312" s="6" t="s">
        <v>499</v>
      </c>
      <c r="AQ312" s="6">
        <v>7371</v>
      </c>
      <c r="AR312" s="6" t="s">
        <v>504</v>
      </c>
      <c r="AT312" s="6">
        <v>6201</v>
      </c>
      <c r="AU312" s="6" t="s">
        <v>505</v>
      </c>
      <c r="AV312" s="6">
        <v>62.01</v>
      </c>
      <c r="AW312" s="6" t="s">
        <v>505</v>
      </c>
      <c r="AY312" s="6" t="s">
        <v>7421</v>
      </c>
      <c r="AZ312" s="6">
        <v>4588744912</v>
      </c>
      <c r="BA312" s="6" t="s">
        <v>7422</v>
      </c>
      <c r="BD312" s="6" t="s">
        <v>7423</v>
      </c>
      <c r="BE312" s="6" t="str">
        <f t="shared" si="8"/>
        <v>makio.dk</v>
      </c>
      <c r="BF312" s="6" t="str">
        <f t="shared" si="9"/>
        <v>dk</v>
      </c>
      <c r="BG312" s="6" t="s">
        <v>101</v>
      </c>
      <c r="BK312" s="6" t="s">
        <v>7424</v>
      </c>
      <c r="BP312" s="6" t="s">
        <v>7425</v>
      </c>
      <c r="BQ312" s="6" t="s">
        <v>7426</v>
      </c>
      <c r="BR312" s="6" t="s">
        <v>105</v>
      </c>
    </row>
    <row r="313" spans="1:70" ht="45" customHeight="1" x14ac:dyDescent="0.25">
      <c r="A313" s="6">
        <v>313</v>
      </c>
      <c r="B313" s="7" t="s">
        <v>7427</v>
      </c>
      <c r="C313" s="8" t="s">
        <v>7428</v>
      </c>
      <c r="D313" s="6" t="s">
        <v>7429</v>
      </c>
      <c r="E313" s="8" t="s">
        <v>7427</v>
      </c>
      <c r="F313" s="8" t="s">
        <v>7430</v>
      </c>
      <c r="G313" s="6" t="s">
        <v>160</v>
      </c>
      <c r="H313" s="6" t="s">
        <v>161</v>
      </c>
      <c r="I313" s="8" t="s">
        <v>281</v>
      </c>
      <c r="J313" s="6" t="s">
        <v>1350</v>
      </c>
      <c r="K313" s="9" t="s">
        <v>1351</v>
      </c>
      <c r="L313" s="8" t="s">
        <v>7431</v>
      </c>
      <c r="M313" s="9">
        <v>21</v>
      </c>
      <c r="N313" s="6">
        <v>59.369984300000013</v>
      </c>
      <c r="O313" s="6">
        <v>18.0007637</v>
      </c>
      <c r="P313" s="6" t="s">
        <v>7432</v>
      </c>
      <c r="Q313" s="6">
        <v>54</v>
      </c>
      <c r="R313" s="6" t="s">
        <v>79</v>
      </c>
      <c r="S313" s="6">
        <v>1953</v>
      </c>
      <c r="T313" s="6">
        <v>14684310</v>
      </c>
      <c r="U313" s="6" t="s">
        <v>80</v>
      </c>
      <c r="V313" s="6">
        <v>330</v>
      </c>
      <c r="W313" s="6" t="s">
        <v>167</v>
      </c>
      <c r="X313" s="6" t="s">
        <v>7433</v>
      </c>
      <c r="Y313" s="6" t="s">
        <v>7434</v>
      </c>
      <c r="Z313" s="6" t="s">
        <v>7435</v>
      </c>
      <c r="AA313" s="6" t="s">
        <v>7436</v>
      </c>
      <c r="AB313" s="6" t="s">
        <v>7437</v>
      </c>
      <c r="AC313" s="6">
        <v>561320</v>
      </c>
      <c r="AD313" s="10" t="str">
        <f>_xlfn.XLOOKUP(AC313,[1]Mapping!B:B,[1]Mapping!C:C,"")</f>
        <v>Temporary Help Services</v>
      </c>
      <c r="AG313" s="6" t="s">
        <v>396</v>
      </c>
      <c r="AH313" s="6" t="s">
        <v>397</v>
      </c>
      <c r="AI313" s="6" t="s">
        <v>141</v>
      </c>
      <c r="AJ313" s="6" t="s">
        <v>293</v>
      </c>
      <c r="AK313" s="6" t="s">
        <v>294</v>
      </c>
      <c r="AL313" s="6" t="s">
        <v>295</v>
      </c>
      <c r="AM313" s="6" t="s">
        <v>296</v>
      </c>
      <c r="AN313" s="6" t="s">
        <v>297</v>
      </c>
      <c r="AO313" s="6" t="s">
        <v>298</v>
      </c>
      <c r="AQ313" s="6">
        <v>7363</v>
      </c>
      <c r="AR313" s="6" t="s">
        <v>7438</v>
      </c>
      <c r="AS313" s="6" t="s">
        <v>7439</v>
      </c>
      <c r="AT313" s="6">
        <v>7820</v>
      </c>
      <c r="AU313" s="6" t="s">
        <v>7440</v>
      </c>
      <c r="AV313" s="6">
        <v>78.2</v>
      </c>
      <c r="AW313" s="6" t="s">
        <v>7440</v>
      </c>
      <c r="AX313" s="6" t="s">
        <v>7441</v>
      </c>
      <c r="AY313" s="6" t="s">
        <v>7442</v>
      </c>
      <c r="AZ313" s="6" t="s">
        <v>7443</v>
      </c>
      <c r="BD313" s="6" t="s">
        <v>7444</v>
      </c>
      <c r="BE313" s="6" t="str">
        <f t="shared" si="8"/>
        <v>manpower.se</v>
      </c>
      <c r="BF313" s="6" t="str">
        <f t="shared" si="9"/>
        <v>se</v>
      </c>
      <c r="BG313" s="6" t="s">
        <v>101</v>
      </c>
      <c r="BH313" s="6" t="s">
        <v>7445</v>
      </c>
      <c r="BJ313" s="6" t="s">
        <v>7446</v>
      </c>
      <c r="BK313" s="6" t="s">
        <v>7447</v>
      </c>
      <c r="BP313" s="6" t="s">
        <v>7448</v>
      </c>
      <c r="BQ313" s="6" t="s">
        <v>7449</v>
      </c>
      <c r="BR313" s="6" t="s">
        <v>105</v>
      </c>
    </row>
    <row r="314" spans="1:70" ht="45" customHeight="1" x14ac:dyDescent="0.25">
      <c r="A314" s="6">
        <v>314</v>
      </c>
      <c r="B314" s="7" t="s">
        <v>7450</v>
      </c>
      <c r="C314" s="8" t="s">
        <v>7451</v>
      </c>
      <c r="D314" s="6" t="s">
        <v>7452</v>
      </c>
      <c r="E314" s="8" t="s">
        <v>7450</v>
      </c>
      <c r="F314" s="8" t="s">
        <v>7453</v>
      </c>
      <c r="G314" s="6" t="s">
        <v>130</v>
      </c>
      <c r="H314" s="6" t="s">
        <v>131</v>
      </c>
      <c r="I314" s="8" t="s">
        <v>132</v>
      </c>
      <c r="J314" s="6" t="s">
        <v>132</v>
      </c>
      <c r="K314" s="9">
        <v>187</v>
      </c>
      <c r="L314" s="8" t="s">
        <v>6852</v>
      </c>
      <c r="M314" s="9">
        <v>53</v>
      </c>
      <c r="N314" s="6">
        <v>59.916802999999987</v>
      </c>
      <c r="O314" s="6">
        <v>10.762763</v>
      </c>
      <c r="P314" s="6" t="s">
        <v>7454</v>
      </c>
      <c r="Q314" s="6">
        <v>15</v>
      </c>
      <c r="R314" s="6" t="s">
        <v>79</v>
      </c>
      <c r="S314" s="6">
        <v>1965</v>
      </c>
      <c r="T314" s="6">
        <v>487000</v>
      </c>
      <c r="U314" s="6" t="s">
        <v>167</v>
      </c>
      <c r="V314" s="6">
        <v>4000</v>
      </c>
      <c r="W314" s="6" t="s">
        <v>167</v>
      </c>
      <c r="X314" s="6" t="s">
        <v>7455</v>
      </c>
      <c r="Y314" s="6" t="s">
        <v>7456</v>
      </c>
      <c r="Z314" s="6" t="s">
        <v>7457</v>
      </c>
      <c r="AA314" s="6" t="s">
        <v>7458</v>
      </c>
      <c r="AB314" s="6" t="s">
        <v>7459</v>
      </c>
      <c r="AC314" s="6">
        <v>561320</v>
      </c>
      <c r="AD314" s="10" t="str">
        <f>_xlfn.XLOOKUP(AC314,[1]Mapping!B:B,[1]Mapping!C:C,"")</f>
        <v>Temporary Help Services</v>
      </c>
      <c r="AE314" s="6" t="s">
        <v>7460</v>
      </c>
      <c r="AF314" s="6" t="s">
        <v>6734</v>
      </c>
      <c r="AG314" s="6" t="s">
        <v>3039</v>
      </c>
      <c r="AH314" s="6" t="s">
        <v>7461</v>
      </c>
      <c r="AI314" s="6" t="s">
        <v>3041</v>
      </c>
      <c r="AJ314" s="6" t="s">
        <v>293</v>
      </c>
      <c r="AK314" s="6" t="s">
        <v>294</v>
      </c>
      <c r="AL314" s="6" t="s">
        <v>295</v>
      </c>
      <c r="AM314" s="6" t="s">
        <v>296</v>
      </c>
      <c r="AN314" s="6" t="s">
        <v>297</v>
      </c>
      <c r="AO314" s="6" t="s">
        <v>298</v>
      </c>
      <c r="AQ314" s="6">
        <v>7363</v>
      </c>
      <c r="AR314" s="6" t="s">
        <v>7462</v>
      </c>
      <c r="AT314" s="6">
        <v>7820</v>
      </c>
      <c r="AU314" s="6" t="s">
        <v>7440</v>
      </c>
      <c r="AV314" s="6">
        <v>78.2</v>
      </c>
      <c r="AW314" s="6" t="s">
        <v>7440</v>
      </c>
      <c r="AY314" s="6" t="s">
        <v>7463</v>
      </c>
      <c r="AZ314" s="6">
        <v>4722018000</v>
      </c>
      <c r="BD314" s="6" t="s">
        <v>7464</v>
      </c>
      <c r="BE314" s="6" t="str">
        <f t="shared" si="8"/>
        <v>manpower.no</v>
      </c>
      <c r="BF314" s="6" t="str">
        <f t="shared" si="9"/>
        <v>no</v>
      </c>
      <c r="BG314" s="6" t="s">
        <v>101</v>
      </c>
      <c r="BH314" s="6" t="s">
        <v>7465</v>
      </c>
      <c r="BI314" s="6" t="s">
        <v>7466</v>
      </c>
      <c r="BJ314" s="6" t="s">
        <v>7467</v>
      </c>
      <c r="BK314" s="6" t="s">
        <v>7468</v>
      </c>
      <c r="BP314" s="6" t="s">
        <v>7469</v>
      </c>
      <c r="BQ314" s="6" t="s">
        <v>7470</v>
      </c>
      <c r="BR314" s="6" t="s">
        <v>105</v>
      </c>
    </row>
    <row r="315" spans="1:70" ht="45" customHeight="1" x14ac:dyDescent="0.25">
      <c r="A315" s="6">
        <v>315</v>
      </c>
      <c r="B315" s="7" t="s">
        <v>7471</v>
      </c>
      <c r="C315" s="8" t="s">
        <v>7472</v>
      </c>
      <c r="D315" s="6" t="s">
        <v>7473</v>
      </c>
      <c r="E315" s="6" t="s">
        <v>7474</v>
      </c>
      <c r="F315" s="8" t="s">
        <v>7473</v>
      </c>
      <c r="G315" s="6" t="s">
        <v>73</v>
      </c>
      <c r="H315" s="6" t="s">
        <v>74</v>
      </c>
      <c r="I315" s="6"/>
      <c r="J315" s="6" t="s">
        <v>1636</v>
      </c>
      <c r="K315" s="9">
        <v>9400</v>
      </c>
      <c r="L315" s="8" t="s">
        <v>7365</v>
      </c>
      <c r="M315" s="9">
        <v>6</v>
      </c>
      <c r="N315" s="6">
        <v>57.086062599999998</v>
      </c>
      <c r="O315" s="6">
        <v>9.9577869000000003</v>
      </c>
      <c r="P315" s="6" t="s">
        <v>7475</v>
      </c>
      <c r="Q315" s="6">
        <v>3</v>
      </c>
      <c r="R315" s="6" t="s">
        <v>79</v>
      </c>
      <c r="S315" s="6">
        <v>1897</v>
      </c>
      <c r="T315" s="6">
        <v>6800000</v>
      </c>
      <c r="U315" s="6" t="s">
        <v>167</v>
      </c>
      <c r="V315" s="6">
        <v>130</v>
      </c>
      <c r="W315" s="6" t="s">
        <v>167</v>
      </c>
      <c r="X315" s="6" t="s">
        <v>7476</v>
      </c>
      <c r="Y315" s="6" t="s">
        <v>7477</v>
      </c>
      <c r="Z315" s="6" t="s">
        <v>7478</v>
      </c>
      <c r="AA315" s="6" t="s">
        <v>7479</v>
      </c>
      <c r="AB315" s="6" t="s">
        <v>7480</v>
      </c>
      <c r="AC315" s="6">
        <v>513210</v>
      </c>
      <c r="AD315" s="10" t="str">
        <f>_xlfn.XLOOKUP(AC315,[1]Mapping!B:B,[1]Mapping!C:C,"")</f>
        <v>Software Publishers</v>
      </c>
      <c r="AG315" s="6" t="s">
        <v>7481</v>
      </c>
      <c r="AH315" s="6" t="s">
        <v>7482</v>
      </c>
      <c r="AI315" s="6" t="s">
        <v>499</v>
      </c>
      <c r="AJ315" s="6" t="s">
        <v>6990</v>
      </c>
      <c r="AK315" s="6" t="s">
        <v>6991</v>
      </c>
      <c r="AL315" s="6" t="s">
        <v>885</v>
      </c>
      <c r="AM315" s="6" t="s">
        <v>886</v>
      </c>
      <c r="AN315" s="6" t="s">
        <v>259</v>
      </c>
      <c r="AO315" s="6" t="s">
        <v>260</v>
      </c>
      <c r="AQ315" s="6">
        <v>7372</v>
      </c>
      <c r="AR315" s="6" t="s">
        <v>2077</v>
      </c>
      <c r="AS315" s="6" t="s">
        <v>7483</v>
      </c>
      <c r="AT315" s="6">
        <v>5820</v>
      </c>
      <c r="AU315" s="6" t="s">
        <v>2028</v>
      </c>
      <c r="AV315" s="6">
        <v>58.29</v>
      </c>
      <c r="AW315" s="6" t="s">
        <v>2078</v>
      </c>
      <c r="AX315" s="6" t="s">
        <v>7484</v>
      </c>
      <c r="AY315" s="6" t="s">
        <v>7485</v>
      </c>
      <c r="AZ315" s="6" t="s">
        <v>7486</v>
      </c>
      <c r="BA315" s="6" t="s">
        <v>7487</v>
      </c>
      <c r="BB315" s="6" t="s">
        <v>7488</v>
      </c>
      <c r="BC315" s="6" t="s">
        <v>7487</v>
      </c>
      <c r="BD315" s="6" t="s">
        <v>7489</v>
      </c>
      <c r="BE315" s="6" t="str">
        <f t="shared" si="8"/>
        <v>mapspeople.com</v>
      </c>
      <c r="BF315" s="6" t="str">
        <f t="shared" si="9"/>
        <v>com</v>
      </c>
      <c r="BG315" s="6" t="s">
        <v>101</v>
      </c>
      <c r="BH315" s="6" t="s">
        <v>7490</v>
      </c>
      <c r="BI315" s="6" t="s">
        <v>7491</v>
      </c>
      <c r="BK315" s="6" t="s">
        <v>7492</v>
      </c>
      <c r="BP315" s="6" t="s">
        <v>7493</v>
      </c>
      <c r="BQ315" s="6" t="s">
        <v>7494</v>
      </c>
      <c r="BR315" s="6" t="s">
        <v>105</v>
      </c>
    </row>
    <row r="316" spans="1:70" ht="45" customHeight="1" x14ac:dyDescent="0.25">
      <c r="A316" s="6">
        <v>316</v>
      </c>
      <c r="B316" s="7" t="s">
        <v>7495</v>
      </c>
      <c r="C316" s="8" t="s">
        <v>7496</v>
      </c>
      <c r="D316" s="6" t="s">
        <v>7497</v>
      </c>
      <c r="E316" s="8" t="s">
        <v>7495</v>
      </c>
      <c r="F316" s="8" t="s">
        <v>7498</v>
      </c>
      <c r="G316" s="6" t="s">
        <v>130</v>
      </c>
      <c r="H316" s="6" t="s">
        <v>131</v>
      </c>
      <c r="I316" s="8" t="s">
        <v>132</v>
      </c>
      <c r="J316" s="6" t="s">
        <v>132</v>
      </c>
      <c r="K316" s="9">
        <v>278</v>
      </c>
      <c r="L316" s="8" t="s">
        <v>4897</v>
      </c>
      <c r="M316" s="9">
        <v>10</v>
      </c>
      <c r="N316" s="6">
        <v>59.919133799999997</v>
      </c>
      <c r="O316" s="6">
        <v>10.684913099999999</v>
      </c>
      <c r="P316" s="6" t="s">
        <v>7499</v>
      </c>
      <c r="Q316" s="6">
        <v>3</v>
      </c>
      <c r="R316" s="6" t="s">
        <v>79</v>
      </c>
      <c r="S316" s="6">
        <v>2013</v>
      </c>
      <c r="T316" s="6">
        <v>12960193</v>
      </c>
      <c r="U316" s="6" t="s">
        <v>80</v>
      </c>
      <c r="V316" s="6">
        <v>38</v>
      </c>
      <c r="W316" s="6" t="s">
        <v>167</v>
      </c>
      <c r="X316" s="6" t="s">
        <v>7500</v>
      </c>
      <c r="Y316" s="6" t="s">
        <v>7501</v>
      </c>
      <c r="Z316" s="6" t="s">
        <v>7502</v>
      </c>
      <c r="AA316" s="6" t="s">
        <v>7503</v>
      </c>
      <c r="AB316" s="6" t="s">
        <v>7504</v>
      </c>
      <c r="AC316" s="6">
        <v>541613</v>
      </c>
      <c r="AD316" s="10" t="str">
        <f>_xlfn.XLOOKUP(AC316,[1]Mapping!B:B,[1]Mapping!C:C,"")</f>
        <v xml:space="preserve">Marketing Consulting Services </v>
      </c>
      <c r="AG316" s="6" t="s">
        <v>7505</v>
      </c>
      <c r="AH316" s="6" t="s">
        <v>7506</v>
      </c>
      <c r="AI316" s="6" t="s">
        <v>652</v>
      </c>
      <c r="AJ316" s="6" t="s">
        <v>500</v>
      </c>
      <c r="AK316" s="6" t="s">
        <v>501</v>
      </c>
      <c r="AL316" s="6" t="s">
        <v>502</v>
      </c>
      <c r="AM316" s="6" t="s">
        <v>503</v>
      </c>
      <c r="AN316" s="6" t="s">
        <v>297</v>
      </c>
      <c r="AO316" s="6" t="s">
        <v>298</v>
      </c>
      <c r="AQ316" s="6">
        <v>7311</v>
      </c>
      <c r="AR316" s="6" t="s">
        <v>1121</v>
      </c>
      <c r="AS316" s="6" t="s">
        <v>7507</v>
      </c>
      <c r="AT316" s="6">
        <v>7310</v>
      </c>
      <c r="AU316" s="6" t="s">
        <v>1123</v>
      </c>
      <c r="AV316" s="6">
        <v>73.11</v>
      </c>
      <c r="AW316" s="6" t="s">
        <v>1124</v>
      </c>
      <c r="AX316" s="6" t="s">
        <v>7508</v>
      </c>
      <c r="AY316" s="6" t="s">
        <v>7509</v>
      </c>
      <c r="AZ316" s="6" t="s">
        <v>7510</v>
      </c>
      <c r="BA316" s="6" t="s">
        <v>7511</v>
      </c>
      <c r="BB316" s="6" t="s">
        <v>7512</v>
      </c>
      <c r="BC316" s="6" t="s">
        <v>7512</v>
      </c>
      <c r="BD316" s="6" t="s">
        <v>7513</v>
      </c>
      <c r="BE316" s="6" t="str">
        <f t="shared" si="8"/>
        <v>markedssjefene.no</v>
      </c>
      <c r="BF316" s="6" t="str">
        <f t="shared" si="9"/>
        <v>no</v>
      </c>
      <c r="BG316" s="6" t="s">
        <v>150</v>
      </c>
      <c r="BH316" s="6" t="s">
        <v>7514</v>
      </c>
      <c r="BI316" s="6" t="s">
        <v>7515</v>
      </c>
      <c r="BJ316" s="6" t="s">
        <v>7516</v>
      </c>
      <c r="BK316" s="6" t="s">
        <v>7517</v>
      </c>
      <c r="BP316" s="6" t="s">
        <v>7518</v>
      </c>
      <c r="BQ316" s="6" t="s">
        <v>7519</v>
      </c>
      <c r="BR316" s="6" t="s">
        <v>105</v>
      </c>
    </row>
    <row r="317" spans="1:70" ht="45" customHeight="1" x14ac:dyDescent="0.25">
      <c r="A317" s="6">
        <v>317</v>
      </c>
      <c r="B317" s="7" t="s">
        <v>7520</v>
      </c>
      <c r="C317" s="8" t="s">
        <v>7521</v>
      </c>
      <c r="D317" s="6" t="s">
        <v>7522</v>
      </c>
      <c r="E317" s="6" t="s">
        <v>7523</v>
      </c>
      <c r="F317" s="8" t="s">
        <v>7524</v>
      </c>
      <c r="G317" s="6" t="s">
        <v>73</v>
      </c>
      <c r="H317" s="6" t="s">
        <v>74</v>
      </c>
      <c r="I317" s="6"/>
      <c r="J317" s="6" t="s">
        <v>3083</v>
      </c>
      <c r="K317" s="9">
        <v>2800</v>
      </c>
      <c r="L317" s="8" t="s">
        <v>7525</v>
      </c>
      <c r="M317" s="9" t="s">
        <v>7526</v>
      </c>
      <c r="N317" s="6">
        <v>55.786051200000003</v>
      </c>
      <c r="O317" s="6">
        <v>12.523369799999999</v>
      </c>
      <c r="P317" s="6" t="s">
        <v>7527</v>
      </c>
      <c r="Q317" s="6">
        <v>4</v>
      </c>
      <c r="R317" s="6" t="s">
        <v>79</v>
      </c>
      <c r="S317" s="6">
        <v>1959</v>
      </c>
      <c r="T317" s="6">
        <v>133871816</v>
      </c>
      <c r="U317" s="6" t="s">
        <v>80</v>
      </c>
      <c r="V317" s="6">
        <v>170</v>
      </c>
      <c r="W317" s="6" t="s">
        <v>167</v>
      </c>
      <c r="X317" s="6" t="s">
        <v>7528</v>
      </c>
      <c r="Y317" s="6" t="s">
        <v>7529</v>
      </c>
      <c r="Z317" s="6" t="s">
        <v>7530</v>
      </c>
      <c r="AA317" s="6" t="s">
        <v>7531</v>
      </c>
      <c r="AB317" s="6" t="s">
        <v>7532</v>
      </c>
      <c r="AC317" s="6">
        <v>522220</v>
      </c>
      <c r="AD317" s="10" t="str">
        <f>_xlfn.XLOOKUP(AC317,[1]Mapping!B:B,[1]Mapping!C:C,"")</f>
        <v xml:space="preserve">Sales Financing </v>
      </c>
      <c r="AG317" s="6" t="s">
        <v>117</v>
      </c>
      <c r="AH317" s="6" t="s">
        <v>118</v>
      </c>
      <c r="AI317" s="6" t="s">
        <v>119</v>
      </c>
      <c r="AJ317" s="6" t="s">
        <v>7533</v>
      </c>
      <c r="AK317" s="6" t="s">
        <v>7534</v>
      </c>
      <c r="AL317" s="6" t="s">
        <v>3202</v>
      </c>
      <c r="AM317" s="6" t="s">
        <v>3203</v>
      </c>
      <c r="AN317" s="6" t="s">
        <v>764</v>
      </c>
      <c r="AO317" s="6" t="s">
        <v>765</v>
      </c>
      <c r="AQ317" s="6" t="s">
        <v>7535</v>
      </c>
      <c r="AR317" s="6" t="s">
        <v>7536</v>
      </c>
      <c r="AS317" s="6" t="s">
        <v>7537</v>
      </c>
      <c r="AT317" s="6" t="s">
        <v>7538</v>
      </c>
      <c r="AU317" s="6" t="s">
        <v>7539</v>
      </c>
      <c r="AV317" s="6" t="s">
        <v>7540</v>
      </c>
      <c r="AW317" s="6" t="s">
        <v>7539</v>
      </c>
      <c r="AX317" s="6" t="s">
        <v>7541</v>
      </c>
      <c r="AY317" s="6" t="s">
        <v>7542</v>
      </c>
      <c r="AZ317" s="6" t="s">
        <v>7543</v>
      </c>
      <c r="BA317" s="6" t="s">
        <v>7544</v>
      </c>
      <c r="BD317" s="6" t="s">
        <v>7545</v>
      </c>
      <c r="BE317" s="6" t="str">
        <f t="shared" si="8"/>
        <v>dtu.dk</v>
      </c>
      <c r="BF317" s="6" t="str">
        <f t="shared" si="9"/>
        <v>dk</v>
      </c>
      <c r="BG317" s="6" t="s">
        <v>123</v>
      </c>
      <c r="BK317" s="6" t="s">
        <v>7546</v>
      </c>
      <c r="BP317" s="6" t="s">
        <v>7547</v>
      </c>
      <c r="BQ317" s="6" t="s">
        <v>7548</v>
      </c>
      <c r="BR317" s="6" t="s">
        <v>105</v>
      </c>
    </row>
    <row r="318" spans="1:70" ht="45" customHeight="1" x14ac:dyDescent="0.25">
      <c r="A318" s="6">
        <v>318</v>
      </c>
      <c r="B318" s="7" t="s">
        <v>7549</v>
      </c>
      <c r="C318" s="8" t="s">
        <v>7550</v>
      </c>
      <c r="D318" s="6" t="s">
        <v>7551</v>
      </c>
      <c r="E318" s="8" t="s">
        <v>7549</v>
      </c>
      <c r="F318" s="8" t="s">
        <v>7552</v>
      </c>
      <c r="G318" s="6" t="s">
        <v>130</v>
      </c>
      <c r="H318" s="6" t="s">
        <v>131</v>
      </c>
      <c r="I318" s="8" t="s">
        <v>132</v>
      </c>
      <c r="J318" s="6" t="s">
        <v>132</v>
      </c>
      <c r="K318" s="9">
        <v>275</v>
      </c>
      <c r="L318" s="8" t="s">
        <v>7553</v>
      </c>
      <c r="M318" s="9">
        <v>5</v>
      </c>
      <c r="N318" s="6">
        <v>59.924671699999998</v>
      </c>
      <c r="O318" s="6">
        <v>10.6741805</v>
      </c>
      <c r="P318" s="6" t="s">
        <v>7554</v>
      </c>
      <c r="Q318" s="6">
        <v>1</v>
      </c>
      <c r="R318" s="6" t="s">
        <v>79</v>
      </c>
      <c r="S318" s="6">
        <v>1973</v>
      </c>
      <c r="T318" s="6">
        <v>834027</v>
      </c>
      <c r="U318" s="6" t="s">
        <v>80</v>
      </c>
      <c r="V318" s="6">
        <v>4</v>
      </c>
      <c r="W318" s="6" t="s">
        <v>167</v>
      </c>
      <c r="X318" s="6" t="s">
        <v>7555</v>
      </c>
      <c r="Y318" s="6" t="s">
        <v>7556</v>
      </c>
      <c r="Z318" s="6" t="s">
        <v>7557</v>
      </c>
      <c r="AA318" s="6" t="s">
        <v>7558</v>
      </c>
      <c r="AB318" s="6" t="s">
        <v>7559</v>
      </c>
      <c r="AC318" s="6">
        <v>238320</v>
      </c>
      <c r="AD318" s="10" t="str">
        <f>_xlfn.XLOOKUP(AC318,[1]Mapping!B:B,[1]Mapping!C:C,"")</f>
        <v>Painting and Wall Covering Contractors</v>
      </c>
      <c r="AG318" s="6" t="s">
        <v>5435</v>
      </c>
      <c r="AH318" s="6" t="s">
        <v>291</v>
      </c>
      <c r="AI318" s="6" t="s">
        <v>292</v>
      </c>
      <c r="AJ318" s="6" t="s">
        <v>653</v>
      </c>
      <c r="AK318" s="6" t="s">
        <v>654</v>
      </c>
      <c r="AL318" s="6" t="s">
        <v>655</v>
      </c>
      <c r="AM318" s="6" t="s">
        <v>656</v>
      </c>
      <c r="AN318" s="6" t="s">
        <v>655</v>
      </c>
      <c r="AO318" s="6" t="s">
        <v>657</v>
      </c>
      <c r="AQ318" s="6" t="s">
        <v>5436</v>
      </c>
      <c r="AR318" s="6" t="s">
        <v>5437</v>
      </c>
      <c r="AS318" s="6" t="s">
        <v>7560</v>
      </c>
      <c r="AT318" s="6">
        <v>4330</v>
      </c>
      <c r="AU318" s="6" t="s">
        <v>5438</v>
      </c>
      <c r="AV318" s="6" t="s">
        <v>5439</v>
      </c>
      <c r="AW318" s="6" t="s">
        <v>5440</v>
      </c>
      <c r="AX318" s="6" t="s">
        <v>7561</v>
      </c>
      <c r="AY318" s="6" t="s">
        <v>7562</v>
      </c>
      <c r="AZ318" s="6" t="s">
        <v>7563</v>
      </c>
      <c r="BA318" s="6" t="s">
        <v>7564</v>
      </c>
      <c r="BB318" s="6" t="s">
        <v>7565</v>
      </c>
      <c r="BC318" s="6" t="s">
        <v>7566</v>
      </c>
      <c r="BD318" s="6" t="s">
        <v>7567</v>
      </c>
      <c r="BE318" s="6" t="str">
        <f t="shared" si="8"/>
        <v>marsh.com</v>
      </c>
      <c r="BF318" s="6" t="str">
        <f t="shared" si="9"/>
        <v>com</v>
      </c>
      <c r="BG318" s="6" t="s">
        <v>150</v>
      </c>
      <c r="BH318" s="6" t="s">
        <v>7568</v>
      </c>
      <c r="BI318" s="6" t="s">
        <v>7569</v>
      </c>
      <c r="BK318" s="6" t="s">
        <v>7570</v>
      </c>
      <c r="BN318" s="6" t="s">
        <v>7571</v>
      </c>
      <c r="BP318" s="6" t="s">
        <v>7572</v>
      </c>
      <c r="BQ318" s="6" t="s">
        <v>7573</v>
      </c>
      <c r="BR318" s="6" t="s">
        <v>105</v>
      </c>
    </row>
    <row r="319" spans="1:70" ht="45" customHeight="1" x14ac:dyDescent="0.25">
      <c r="A319" s="6">
        <v>319</v>
      </c>
      <c r="B319" s="7" t="s">
        <v>7574</v>
      </c>
      <c r="C319" s="8" t="s">
        <v>7575</v>
      </c>
      <c r="D319" s="6" t="s">
        <v>7576</v>
      </c>
      <c r="E319" s="6" t="s">
        <v>7577</v>
      </c>
      <c r="F319" s="8" t="s">
        <v>7576</v>
      </c>
      <c r="G319" s="6" t="s">
        <v>160</v>
      </c>
      <c r="H319" s="6" t="s">
        <v>161</v>
      </c>
      <c r="I319" s="6" t="s">
        <v>281</v>
      </c>
      <c r="J319" s="6" t="s">
        <v>1543</v>
      </c>
      <c r="K319" s="9" t="s">
        <v>4279</v>
      </c>
      <c r="L319" s="8" t="s">
        <v>4280</v>
      </c>
      <c r="N319" s="6">
        <v>59.406812199999997</v>
      </c>
      <c r="O319" s="6">
        <v>17.952182100000002</v>
      </c>
      <c r="P319" s="6" t="s">
        <v>7578</v>
      </c>
      <c r="Q319" s="6">
        <v>4</v>
      </c>
      <c r="R319" s="6" t="s">
        <v>79</v>
      </c>
      <c r="S319" s="6">
        <v>2019</v>
      </c>
      <c r="T319" s="6">
        <v>1600000</v>
      </c>
      <c r="U319" s="6" t="s">
        <v>167</v>
      </c>
      <c r="V319" s="6">
        <v>51</v>
      </c>
      <c r="W319" s="6" t="s">
        <v>167</v>
      </c>
      <c r="X319" s="6" t="s">
        <v>7579</v>
      </c>
      <c r="Y319" s="6" t="s">
        <v>7580</v>
      </c>
      <c r="Z319" s="6" t="s">
        <v>7581</v>
      </c>
      <c r="AA319" s="6" t="s">
        <v>7582</v>
      </c>
      <c r="AB319" s="6" t="s">
        <v>7583</v>
      </c>
      <c r="AC319" s="6">
        <v>334220</v>
      </c>
      <c r="AD319" s="10" t="str">
        <f>_xlfn.XLOOKUP(AC319,[1]Mapping!B:B,[1]Mapping!C:C,"")</f>
        <v>Radio and Television Broadcasting and Wireless Communications Equipment Manufacturing</v>
      </c>
      <c r="AG319" s="6" t="s">
        <v>7584</v>
      </c>
      <c r="AH319" s="6" t="s">
        <v>7585</v>
      </c>
      <c r="AI319" s="6" t="s">
        <v>628</v>
      </c>
      <c r="AJ319" s="6" t="s">
        <v>86</v>
      </c>
      <c r="AK319" s="6" t="s">
        <v>88</v>
      </c>
      <c r="AL319" s="6" t="s">
        <v>89</v>
      </c>
      <c r="AM319" s="6" t="s">
        <v>90</v>
      </c>
      <c r="AN319" s="6" t="s">
        <v>91</v>
      </c>
      <c r="AO319" s="6" t="s">
        <v>92</v>
      </c>
      <c r="AQ319" s="6">
        <v>3663</v>
      </c>
      <c r="AR319" s="6" t="s">
        <v>2683</v>
      </c>
      <c r="AT319" s="6">
        <v>2630</v>
      </c>
      <c r="AU319" s="6" t="s">
        <v>2684</v>
      </c>
      <c r="AV319" s="6">
        <v>26.3</v>
      </c>
      <c r="AW319" s="6" t="s">
        <v>2684</v>
      </c>
      <c r="AY319" s="6" t="s">
        <v>7586</v>
      </c>
      <c r="AZ319" s="6" t="s">
        <v>7587</v>
      </c>
      <c r="BA319" s="6" t="s">
        <v>7588</v>
      </c>
      <c r="BB319" s="6" t="s">
        <v>7589</v>
      </c>
      <c r="BD319" s="6" t="s">
        <v>7590</v>
      </c>
      <c r="BE319" s="6" t="str">
        <f t="shared" si="8"/>
        <v>mavenwireless.com</v>
      </c>
      <c r="BF319" s="6" t="str">
        <f t="shared" si="9"/>
        <v>com</v>
      </c>
      <c r="BG319" s="6" t="s">
        <v>101</v>
      </c>
      <c r="BH319" s="6" t="s">
        <v>7591</v>
      </c>
      <c r="BI319" s="6" t="s">
        <v>7592</v>
      </c>
      <c r="BJ319" s="6" t="s">
        <v>7593</v>
      </c>
      <c r="BK319" s="6" t="s">
        <v>7594</v>
      </c>
      <c r="BN319" s="6" t="s">
        <v>7595</v>
      </c>
      <c r="BP319" s="6" t="s">
        <v>7596</v>
      </c>
      <c r="BQ319" s="6" t="s">
        <v>7597</v>
      </c>
      <c r="BR319" s="6" t="s">
        <v>105</v>
      </c>
    </row>
    <row r="320" spans="1:70" ht="45" customHeight="1" x14ac:dyDescent="0.25">
      <c r="A320" s="6">
        <v>320</v>
      </c>
      <c r="B320" s="7" t="s">
        <v>7598</v>
      </c>
      <c r="C320" s="8" t="s">
        <v>7599</v>
      </c>
      <c r="D320" s="6" t="s">
        <v>7600</v>
      </c>
      <c r="E320" s="8" t="s">
        <v>7601</v>
      </c>
      <c r="F320" s="8" t="s">
        <v>7601</v>
      </c>
      <c r="G320" s="6" t="s">
        <v>160</v>
      </c>
      <c r="H320" s="6" t="s">
        <v>161</v>
      </c>
      <c r="I320" s="6" t="s">
        <v>3930</v>
      </c>
      <c r="J320" s="6" t="s">
        <v>282</v>
      </c>
      <c r="K320" s="9" t="s">
        <v>7602</v>
      </c>
      <c r="L320" s="8" t="s">
        <v>7603</v>
      </c>
      <c r="N320" s="6">
        <v>59.328975900000003</v>
      </c>
      <c r="O320" s="6">
        <v>18.065114900000001</v>
      </c>
      <c r="P320" s="6" t="s">
        <v>7604</v>
      </c>
      <c r="Q320" s="6">
        <v>1</v>
      </c>
      <c r="R320" s="6" t="s">
        <v>79</v>
      </c>
      <c r="T320" s="6"/>
      <c r="X320" s="6" t="s">
        <v>7605</v>
      </c>
      <c r="Y320" s="6" t="s">
        <v>7606</v>
      </c>
      <c r="Z320" s="6" t="s">
        <v>7607</v>
      </c>
      <c r="AC320" s="6">
        <v>622110</v>
      </c>
      <c r="AD320" s="10" t="str">
        <f>_xlfn.XLOOKUP(AC320,[1]Mapping!B:B,[1]Mapping!C:C,"")</f>
        <v xml:space="preserve">General Medical and Surgical Hospitals </v>
      </c>
      <c r="AG320" s="6" t="s">
        <v>4363</v>
      </c>
      <c r="AH320" s="6" t="s">
        <v>3147</v>
      </c>
      <c r="AI320" s="6" t="s">
        <v>1164</v>
      </c>
      <c r="AQ320" s="6" t="s">
        <v>7608</v>
      </c>
      <c r="AR320" s="6" t="s">
        <v>7609</v>
      </c>
      <c r="AT320" s="6">
        <v>8610</v>
      </c>
      <c r="AU320" s="6" t="s">
        <v>7610</v>
      </c>
      <c r="AV320" s="6">
        <v>86.1</v>
      </c>
      <c r="AW320" s="6" t="s">
        <v>7610</v>
      </c>
      <c r="BE320" s="6" t="str">
        <f t="shared" si="8"/>
        <v/>
      </c>
      <c r="BF320" s="6" t="e">
        <f t="shared" si="9"/>
        <v>#VALUE!</v>
      </c>
      <c r="BQ320" s="6" t="s">
        <v>7611</v>
      </c>
      <c r="BR320" s="6" t="s">
        <v>105</v>
      </c>
    </row>
    <row r="321" spans="1:70" ht="45" customHeight="1" x14ac:dyDescent="0.25">
      <c r="A321" s="6">
        <v>321</v>
      </c>
      <c r="B321" s="7" t="s">
        <v>7612</v>
      </c>
      <c r="C321" s="8" t="s">
        <v>7613</v>
      </c>
      <c r="D321" s="6" t="s">
        <v>7614</v>
      </c>
      <c r="E321" s="8" t="s">
        <v>7615</v>
      </c>
      <c r="F321" s="8" t="s">
        <v>7615</v>
      </c>
      <c r="G321" s="6" t="s">
        <v>840</v>
      </c>
      <c r="H321" s="6" t="s">
        <v>841</v>
      </c>
      <c r="I321" s="6" t="s">
        <v>842</v>
      </c>
      <c r="J321" s="6" t="s">
        <v>7616</v>
      </c>
      <c r="K321" s="9" t="s">
        <v>7617</v>
      </c>
      <c r="L321" s="8" t="s">
        <v>7618</v>
      </c>
      <c r="N321" s="6">
        <v>51.4150232</v>
      </c>
      <c r="O321" s="6">
        <v>-0.97536809999999996</v>
      </c>
      <c r="P321" s="6" t="s">
        <v>7619</v>
      </c>
      <c r="Q321" s="6">
        <v>1</v>
      </c>
      <c r="R321" s="6" t="s">
        <v>79</v>
      </c>
      <c r="T321" s="6"/>
      <c r="X321" s="6" t="s">
        <v>7620</v>
      </c>
      <c r="Y321" s="6" t="s">
        <v>7621</v>
      </c>
      <c r="Z321" s="6" t="s">
        <v>7622</v>
      </c>
      <c r="AA321" s="6" t="s">
        <v>7623</v>
      </c>
      <c r="AB321" s="6" t="s">
        <v>7624</v>
      </c>
      <c r="AC321" s="6">
        <v>511210</v>
      </c>
      <c r="AD321" s="10" t="s">
        <v>2376</v>
      </c>
      <c r="AE321" s="6">
        <v>517919</v>
      </c>
      <c r="AF321" s="6" t="s">
        <v>2376</v>
      </c>
      <c r="AG321" s="6" t="s">
        <v>7625</v>
      </c>
      <c r="AH321" s="6" t="s">
        <v>7626</v>
      </c>
      <c r="AI321" s="6" t="s">
        <v>499</v>
      </c>
      <c r="AJ321" s="6" t="s">
        <v>293</v>
      </c>
      <c r="AK321" s="6" t="s">
        <v>294</v>
      </c>
      <c r="AL321" s="6" t="s">
        <v>295</v>
      </c>
      <c r="AM321" s="6" t="s">
        <v>296</v>
      </c>
      <c r="AN321" s="6" t="s">
        <v>297</v>
      </c>
      <c r="AO321" s="6" t="s">
        <v>298</v>
      </c>
      <c r="AQ321" s="6">
        <v>7372</v>
      </c>
      <c r="AR321" s="6" t="s">
        <v>2077</v>
      </c>
      <c r="AT321" s="6">
        <v>5820</v>
      </c>
      <c r="AU321" s="6" t="s">
        <v>2028</v>
      </c>
      <c r="AV321" s="6">
        <v>58.29</v>
      </c>
      <c r="AW321" s="6" t="s">
        <v>2078</v>
      </c>
      <c r="AY321" s="6" t="s">
        <v>7627</v>
      </c>
      <c r="AZ321" s="6" t="s">
        <v>7628</v>
      </c>
      <c r="BA321" s="6" t="s">
        <v>7629</v>
      </c>
      <c r="BD321" s="6" t="s">
        <v>7630</v>
      </c>
      <c r="BE321" s="6" t="str">
        <f t="shared" si="8"/>
        <v>mavenir.com</v>
      </c>
      <c r="BF321" s="6" t="str">
        <f t="shared" si="9"/>
        <v>com</v>
      </c>
      <c r="BG321" s="6" t="s">
        <v>101</v>
      </c>
      <c r="BH321" s="6" t="s">
        <v>7631</v>
      </c>
      <c r="BI321" s="6" t="s">
        <v>7632</v>
      </c>
      <c r="BK321" s="6" t="s">
        <v>7633</v>
      </c>
      <c r="BN321" s="6" t="s">
        <v>7634</v>
      </c>
      <c r="BQ321" s="6" t="s">
        <v>7635</v>
      </c>
      <c r="BR321" s="6" t="s">
        <v>105</v>
      </c>
    </row>
    <row r="322" spans="1:70" ht="45" customHeight="1" x14ac:dyDescent="0.25">
      <c r="A322" s="6">
        <v>322</v>
      </c>
      <c r="B322" s="7" t="s">
        <v>7636</v>
      </c>
      <c r="C322" s="8" t="s">
        <v>7613</v>
      </c>
      <c r="D322" s="6" t="s">
        <v>7614</v>
      </c>
      <c r="E322" s="8" t="s">
        <v>7615</v>
      </c>
      <c r="F322" s="8" t="s">
        <v>7615</v>
      </c>
      <c r="G322" s="6" t="s">
        <v>840</v>
      </c>
      <c r="H322" s="6" t="s">
        <v>841</v>
      </c>
      <c r="I322" s="6" t="s">
        <v>842</v>
      </c>
      <c r="J322" s="6" t="s">
        <v>7616</v>
      </c>
      <c r="K322" s="9" t="s">
        <v>7617</v>
      </c>
      <c r="L322" s="8" t="s">
        <v>7618</v>
      </c>
      <c r="N322" s="6">
        <v>51.4150232</v>
      </c>
      <c r="O322" s="6">
        <v>-0.97536809999999996</v>
      </c>
      <c r="P322" s="6" t="s">
        <v>7619</v>
      </c>
      <c r="Q322" s="6">
        <v>1</v>
      </c>
      <c r="R322" s="6" t="s">
        <v>79</v>
      </c>
      <c r="T322" s="6"/>
      <c r="X322" s="6" t="s">
        <v>7620</v>
      </c>
      <c r="Y322" s="6" t="s">
        <v>7637</v>
      </c>
      <c r="Z322" s="6" t="s">
        <v>7638</v>
      </c>
      <c r="AA322" s="6" t="s">
        <v>7639</v>
      </c>
      <c r="AB322" s="6" t="s">
        <v>7640</v>
      </c>
      <c r="AC322" s="6">
        <v>541613</v>
      </c>
      <c r="AD322" s="10" t="str">
        <f>_xlfn.XLOOKUP(AC322,[1]Mapping!B:B,[1]Mapping!C:C,"")</f>
        <v xml:space="preserve">Marketing Consulting Services </v>
      </c>
      <c r="AG322" s="6" t="s">
        <v>2612</v>
      </c>
      <c r="AH322" s="6" t="s">
        <v>1143</v>
      </c>
      <c r="AI322" s="6" t="s">
        <v>500</v>
      </c>
      <c r="AJ322" s="6" t="s">
        <v>293</v>
      </c>
      <c r="AK322" s="6" t="s">
        <v>294</v>
      </c>
      <c r="AL322" s="6" t="s">
        <v>295</v>
      </c>
      <c r="AM322" s="6" t="s">
        <v>296</v>
      </c>
      <c r="AN322" s="6" t="s">
        <v>297</v>
      </c>
      <c r="AO322" s="6" t="s">
        <v>298</v>
      </c>
      <c r="AQ322" s="6">
        <v>8742</v>
      </c>
      <c r="AR322" s="6" t="s">
        <v>2660</v>
      </c>
      <c r="AT322" s="6">
        <v>7020</v>
      </c>
      <c r="AU322" s="6" t="s">
        <v>378</v>
      </c>
      <c r="AV322" s="6" t="s">
        <v>379</v>
      </c>
      <c r="AW322" s="6" t="s">
        <v>380</v>
      </c>
      <c r="AY322" s="6" t="s">
        <v>7627</v>
      </c>
      <c r="AZ322" s="6" t="s">
        <v>7628</v>
      </c>
      <c r="BA322" s="6" t="s">
        <v>7629</v>
      </c>
      <c r="BD322" s="6" t="s">
        <v>7630</v>
      </c>
      <c r="BE322" s="6" t="str">
        <f t="shared" si="8"/>
        <v>mavenir.com</v>
      </c>
      <c r="BF322" s="6" t="str">
        <f t="shared" si="9"/>
        <v>com</v>
      </c>
      <c r="BG322" s="6" t="s">
        <v>101</v>
      </c>
      <c r="BH322" s="6" t="s">
        <v>7631</v>
      </c>
      <c r="BI322" s="6" t="s">
        <v>7632</v>
      </c>
      <c r="BK322" s="6" t="s">
        <v>7633</v>
      </c>
      <c r="BN322" s="6" t="s">
        <v>7634</v>
      </c>
      <c r="BQ322" s="6" t="s">
        <v>7635</v>
      </c>
      <c r="BR322" s="6" t="s">
        <v>105</v>
      </c>
    </row>
    <row r="323" spans="1:70" ht="45" customHeight="1" x14ac:dyDescent="0.25">
      <c r="A323" s="6">
        <v>323</v>
      </c>
      <c r="B323" s="7" t="s">
        <v>7641</v>
      </c>
      <c r="C323" s="8" t="s">
        <v>7642</v>
      </c>
      <c r="D323" s="6" t="s">
        <v>7643</v>
      </c>
      <c r="E323" s="6" t="s">
        <v>7644</v>
      </c>
      <c r="F323" s="8" t="s">
        <v>7645</v>
      </c>
      <c r="G323" s="6" t="s">
        <v>612</v>
      </c>
      <c r="H323" s="6" t="s">
        <v>613</v>
      </c>
      <c r="I323" s="6" t="s">
        <v>614</v>
      </c>
      <c r="J323" s="6" t="s">
        <v>4765</v>
      </c>
      <c r="K323" s="9">
        <v>63000</v>
      </c>
      <c r="L323" s="8" t="s">
        <v>7646</v>
      </c>
      <c r="M323" s="13"/>
      <c r="N323" s="6">
        <v>2.9355576000000001</v>
      </c>
      <c r="O323" s="6">
        <v>101.65836040000001</v>
      </c>
      <c r="P323" s="6" t="s">
        <v>7647</v>
      </c>
      <c r="Q323" s="6">
        <v>3</v>
      </c>
      <c r="R323" s="6" t="s">
        <v>79</v>
      </c>
      <c r="S323" s="6">
        <v>1992</v>
      </c>
      <c r="T323" s="6">
        <v>10000000</v>
      </c>
      <c r="U323" s="6" t="s">
        <v>167</v>
      </c>
      <c r="V323" s="6">
        <v>210</v>
      </c>
      <c r="W323" s="6" t="s">
        <v>167</v>
      </c>
      <c r="X323" s="6" t="s">
        <v>7648</v>
      </c>
      <c r="Y323" s="6" t="s">
        <v>7649</v>
      </c>
      <c r="Z323" s="6" t="s">
        <v>7650</v>
      </c>
      <c r="AA323" s="6" t="s">
        <v>7651</v>
      </c>
      <c r="AB323" s="6" t="s">
        <v>7652</v>
      </c>
      <c r="AC323" s="6">
        <v>517410</v>
      </c>
      <c r="AD323" s="10" t="str">
        <f>_xlfn.XLOOKUP(AC323,[1]Mapping!B:B,[1]Mapping!C:C,"")</f>
        <v>Satellite Telecommunications</v>
      </c>
      <c r="AE323" s="6">
        <v>516210</v>
      </c>
      <c r="AF323" s="6" t="s">
        <v>7653</v>
      </c>
      <c r="AG323" s="6" t="s">
        <v>89</v>
      </c>
      <c r="AH323" s="6" t="s">
        <v>86</v>
      </c>
      <c r="AI323" s="6" t="s">
        <v>87</v>
      </c>
      <c r="AJ323" s="6" t="s">
        <v>1413</v>
      </c>
      <c r="AK323" s="6" t="s">
        <v>1414</v>
      </c>
      <c r="AL323" s="6" t="s">
        <v>502</v>
      </c>
      <c r="AM323" s="6" t="s">
        <v>503</v>
      </c>
      <c r="AN323" s="6" t="s">
        <v>297</v>
      </c>
      <c r="AO323" s="6" t="s">
        <v>298</v>
      </c>
      <c r="AQ323" s="6">
        <v>4899</v>
      </c>
      <c r="AR323" s="6" t="s">
        <v>7654</v>
      </c>
      <c r="AS323" s="6" t="s">
        <v>7655</v>
      </c>
      <c r="AT323" s="6" t="s">
        <v>7656</v>
      </c>
      <c r="AU323" s="6" t="s">
        <v>7657</v>
      </c>
      <c r="AV323" s="6" t="s">
        <v>7658</v>
      </c>
      <c r="AW323" s="6" t="s">
        <v>7657</v>
      </c>
      <c r="AX323" s="6" t="s">
        <v>7659</v>
      </c>
      <c r="AY323" s="6" t="s">
        <v>7660</v>
      </c>
      <c r="AZ323" s="6" t="s">
        <v>7661</v>
      </c>
      <c r="BA323" s="6" t="s">
        <v>7662</v>
      </c>
      <c r="BB323" s="6" t="s">
        <v>7663</v>
      </c>
      <c r="BD323" s="6" t="s">
        <v>7664</v>
      </c>
      <c r="BE323" s="6" t="str">
        <f t="shared" ref="BE323:BE386" si="10">LEFT(
  SUBSTITUTE(SUBSTITUTE(SUBSTITUTE(BD323,"https://",""),"http://",""),"www.",""),
  IFERROR(
    FIND("/",SUBSTITUTE(SUBSTITUTE(SUBSTITUTE(BD323,"https://",""),"http://",""),"www.","")&amp;"/")-1,
    LEN(SUBSTITUTE(SUBSTITUTE(SUBSTITUTE(BD323,"https://",""),"http://",""),"www.",""))
  )
)</f>
        <v>measat.com</v>
      </c>
      <c r="BF323" s="6" t="str">
        <f t="shared" ref="BF323:BF386" si="11">_xlfn.TEXTAFTER(BE323,".",-1)</f>
        <v>com</v>
      </c>
      <c r="BG323" s="6" t="s">
        <v>101</v>
      </c>
      <c r="BH323" s="6" t="s">
        <v>7665</v>
      </c>
      <c r="BI323" s="6" t="s">
        <v>7666</v>
      </c>
      <c r="BJ323" s="6" t="s">
        <v>7667</v>
      </c>
      <c r="BK323" s="6" t="s">
        <v>7668</v>
      </c>
      <c r="BN323" s="6" t="s">
        <v>7669</v>
      </c>
      <c r="BP323" s="6" t="s">
        <v>7670</v>
      </c>
      <c r="BQ323" s="6" t="s">
        <v>7671</v>
      </c>
      <c r="BR323" s="6" t="s">
        <v>105</v>
      </c>
    </row>
    <row r="324" spans="1:70" ht="45" customHeight="1" x14ac:dyDescent="0.25">
      <c r="A324" s="6">
        <v>324</v>
      </c>
      <c r="B324" s="7" t="s">
        <v>7672</v>
      </c>
      <c r="C324" s="8" t="s">
        <v>7673</v>
      </c>
      <c r="D324" s="6" t="s">
        <v>7674</v>
      </c>
      <c r="E324" s="8" t="s">
        <v>7675</v>
      </c>
      <c r="F324" s="8" t="s">
        <v>7675</v>
      </c>
      <c r="G324" s="6" t="s">
        <v>1400</v>
      </c>
      <c r="H324" s="6" t="s">
        <v>1401</v>
      </c>
      <c r="I324" s="6" t="s">
        <v>7676</v>
      </c>
      <c r="J324" s="6" t="s">
        <v>2991</v>
      </c>
      <c r="L324" s="8" t="s">
        <v>4591</v>
      </c>
      <c r="M324" s="9">
        <v>5</v>
      </c>
      <c r="N324" s="6">
        <v>31.5193054</v>
      </c>
      <c r="O324" s="6">
        <v>74.359477099999992</v>
      </c>
      <c r="P324" s="6" t="s">
        <v>7677</v>
      </c>
      <c r="Q324" s="6">
        <v>1</v>
      </c>
      <c r="R324" s="6" t="s">
        <v>79</v>
      </c>
      <c r="T324" s="6"/>
      <c r="X324" s="6" t="s">
        <v>7678</v>
      </c>
      <c r="Y324" s="6" t="s">
        <v>989</v>
      </c>
      <c r="Z324" s="6" t="s">
        <v>7679</v>
      </c>
      <c r="AC324" s="6">
        <v>517810</v>
      </c>
      <c r="AD324" s="10" t="str">
        <f>_xlfn.XLOOKUP(AC324,[1]Mapping!B:B,[1]Mapping!C:C,"")</f>
        <v xml:space="preserve">All Other Telecommunications </v>
      </c>
      <c r="AG324" s="6" t="s">
        <v>89</v>
      </c>
      <c r="AH324" s="6" t="s">
        <v>86</v>
      </c>
      <c r="AI324" s="6" t="s">
        <v>87</v>
      </c>
      <c r="AQ324" s="6" t="s">
        <v>1384</v>
      </c>
      <c r="AR324" s="6" t="s">
        <v>1385</v>
      </c>
      <c r="AT324" s="6">
        <v>6190</v>
      </c>
      <c r="AU324" s="6" t="s">
        <v>96</v>
      </c>
      <c r="AV324" s="6">
        <v>61.9</v>
      </c>
      <c r="AW324" s="6" t="s">
        <v>96</v>
      </c>
      <c r="BE324" s="6" t="str">
        <f t="shared" si="10"/>
        <v/>
      </c>
      <c r="BF324" s="6" t="e">
        <f t="shared" si="11"/>
        <v>#VALUE!</v>
      </c>
      <c r="BQ324" s="6" t="s">
        <v>7680</v>
      </c>
      <c r="BR324" s="6" t="s">
        <v>105</v>
      </c>
    </row>
    <row r="325" spans="1:70" ht="45" customHeight="1" x14ac:dyDescent="0.25">
      <c r="A325" s="6">
        <v>325</v>
      </c>
      <c r="B325" s="7" t="s">
        <v>7681</v>
      </c>
      <c r="C325" s="8" t="s">
        <v>7682</v>
      </c>
      <c r="D325" s="6" t="s">
        <v>7683</v>
      </c>
      <c r="E325" s="8" t="s">
        <v>7681</v>
      </c>
      <c r="F325" s="8" t="s">
        <v>7684</v>
      </c>
      <c r="G325" s="6" t="s">
        <v>130</v>
      </c>
      <c r="H325" s="6" t="s">
        <v>131</v>
      </c>
      <c r="I325" s="8" t="s">
        <v>3441</v>
      </c>
      <c r="J325" s="6" t="s">
        <v>3442</v>
      </c>
      <c r="K325" s="9">
        <v>3031</v>
      </c>
      <c r="L325" s="8" t="s">
        <v>7685</v>
      </c>
      <c r="M325" s="9">
        <v>6</v>
      </c>
      <c r="N325" s="6">
        <v>59.720569400000002</v>
      </c>
      <c r="O325" s="6">
        <v>10.1443022</v>
      </c>
      <c r="P325" s="6" t="s">
        <v>7686</v>
      </c>
      <c r="Q325" s="6">
        <v>1</v>
      </c>
      <c r="R325" s="6" t="s">
        <v>79</v>
      </c>
      <c r="S325" s="6">
        <v>1976</v>
      </c>
      <c r="T325" s="6">
        <v>4918983</v>
      </c>
      <c r="U325" s="6" t="s">
        <v>80</v>
      </c>
      <c r="V325" s="6">
        <v>14</v>
      </c>
      <c r="W325" s="6" t="s">
        <v>167</v>
      </c>
      <c r="X325" s="6" t="s">
        <v>7687</v>
      </c>
      <c r="Y325" s="6" t="s">
        <v>7688</v>
      </c>
      <c r="Z325" s="6" t="s">
        <v>7689</v>
      </c>
      <c r="AA325" s="6" t="s">
        <v>7690</v>
      </c>
      <c r="AB325" s="6" t="s">
        <v>7691</v>
      </c>
      <c r="AC325" s="6">
        <v>238160</v>
      </c>
      <c r="AD325" s="10" t="str">
        <f>_xlfn.XLOOKUP(AC325,[1]Mapping!B:B,[1]Mapping!C:C,"")</f>
        <v xml:space="preserve">Roofing Contractors </v>
      </c>
      <c r="AG325" s="6" t="s">
        <v>7692</v>
      </c>
      <c r="AH325" s="6" t="s">
        <v>7693</v>
      </c>
      <c r="AI325" s="6" t="s">
        <v>292</v>
      </c>
      <c r="AJ325" s="6" t="s">
        <v>255</v>
      </c>
      <c r="AK325" s="6" t="s">
        <v>256</v>
      </c>
      <c r="AL325" s="6" t="s">
        <v>257</v>
      </c>
      <c r="AM325" s="6" t="s">
        <v>258</v>
      </c>
      <c r="AN325" s="6" t="s">
        <v>259</v>
      </c>
      <c r="AO325" s="6" t="s">
        <v>260</v>
      </c>
      <c r="AQ325" s="6">
        <v>1761</v>
      </c>
      <c r="AR325" s="6" t="s">
        <v>7694</v>
      </c>
      <c r="AS325" s="6" t="s">
        <v>7695</v>
      </c>
      <c r="AT325" s="6">
        <v>4390</v>
      </c>
      <c r="AU325" s="6" t="s">
        <v>7696</v>
      </c>
      <c r="AV325" s="6" t="s">
        <v>7697</v>
      </c>
      <c r="AW325" s="6" t="s">
        <v>7698</v>
      </c>
      <c r="AX325" s="6" t="s">
        <v>7699</v>
      </c>
      <c r="AY325" s="6" t="s">
        <v>7700</v>
      </c>
      <c r="AZ325" s="6" t="s">
        <v>7701</v>
      </c>
      <c r="BA325" s="6" t="s">
        <v>7702</v>
      </c>
      <c r="BB325" s="6" t="s">
        <v>7703</v>
      </c>
      <c r="BC325" s="6" t="s">
        <v>7704</v>
      </c>
      <c r="BD325" s="6" t="s">
        <v>7705</v>
      </c>
      <c r="BE325" s="6" t="str">
        <f t="shared" si="10"/>
        <v>meisel.no</v>
      </c>
      <c r="BF325" s="6" t="str">
        <f t="shared" si="11"/>
        <v>no</v>
      </c>
      <c r="BG325" s="6" t="s">
        <v>150</v>
      </c>
      <c r="BH325" s="6" t="s">
        <v>7706</v>
      </c>
      <c r="BJ325" s="6" t="s">
        <v>7707</v>
      </c>
      <c r="BK325" s="6" t="s">
        <v>7708</v>
      </c>
      <c r="BP325" s="6" t="s">
        <v>7709</v>
      </c>
      <c r="BQ325" s="6" t="s">
        <v>7710</v>
      </c>
      <c r="BR325" s="6" t="s">
        <v>105</v>
      </c>
    </row>
    <row r="326" spans="1:70" ht="45" customHeight="1" x14ac:dyDescent="0.25">
      <c r="A326" s="6">
        <v>326</v>
      </c>
      <c r="B326" s="7" t="s">
        <v>4662</v>
      </c>
      <c r="C326" s="8" t="s">
        <v>7711</v>
      </c>
      <c r="D326" s="6" t="s">
        <v>4661</v>
      </c>
      <c r="E326" s="8" t="s">
        <v>4662</v>
      </c>
      <c r="F326" s="8" t="s">
        <v>7712</v>
      </c>
      <c r="G326" s="6" t="s">
        <v>570</v>
      </c>
      <c r="H326" s="6" t="s">
        <v>571</v>
      </c>
      <c r="I326" s="8" t="s">
        <v>572</v>
      </c>
      <c r="J326" s="6" t="s">
        <v>3358</v>
      </c>
      <c r="K326" s="9" t="s">
        <v>4664</v>
      </c>
      <c r="L326" s="8" t="s">
        <v>4665</v>
      </c>
      <c r="M326" s="9">
        <v>6</v>
      </c>
      <c r="N326" s="6">
        <v>53.329328699999998</v>
      </c>
      <c r="O326" s="6">
        <v>-6.2269252000000002</v>
      </c>
      <c r="P326" s="6" t="s">
        <v>7713</v>
      </c>
      <c r="Q326" s="6">
        <v>1</v>
      </c>
      <c r="R326" s="6" t="s">
        <v>79</v>
      </c>
      <c r="S326" s="6">
        <v>2021</v>
      </c>
      <c r="T326" s="6">
        <v>306933</v>
      </c>
      <c r="U326" s="6" t="s">
        <v>80</v>
      </c>
      <c r="V326" s="6">
        <v>1</v>
      </c>
      <c r="W326" s="6" t="s">
        <v>167</v>
      </c>
      <c r="X326" s="6" t="s">
        <v>4670</v>
      </c>
      <c r="Y326" s="6" t="s">
        <v>7714</v>
      </c>
      <c r="Z326" s="6" t="s">
        <v>7715</v>
      </c>
      <c r="AA326" s="6" t="s">
        <v>7716</v>
      </c>
      <c r="AB326" s="6" t="s">
        <v>7717</v>
      </c>
      <c r="AC326" s="6">
        <v>541511</v>
      </c>
      <c r="AD326" s="10" t="str">
        <f>_xlfn.XLOOKUP(AC326,[1]Mapping!B:B,[1]Mapping!C:C,"")</f>
        <v xml:space="preserve">Custom Computer Programming Services </v>
      </c>
      <c r="AG326" s="6" t="s">
        <v>4598</v>
      </c>
      <c r="AH326" s="6" t="s">
        <v>1336</v>
      </c>
      <c r="AI326" s="6" t="s">
        <v>500</v>
      </c>
      <c r="AJ326" s="6" t="s">
        <v>500</v>
      </c>
      <c r="AK326" s="6" t="s">
        <v>501</v>
      </c>
      <c r="AL326" s="6" t="s">
        <v>502</v>
      </c>
      <c r="AM326" s="6" t="s">
        <v>503</v>
      </c>
      <c r="AN326" s="6" t="s">
        <v>297</v>
      </c>
      <c r="AO326" s="6" t="s">
        <v>298</v>
      </c>
      <c r="AQ326" s="6">
        <v>7371</v>
      </c>
      <c r="AR326" s="6" t="s">
        <v>504</v>
      </c>
      <c r="AT326" s="6">
        <v>6201</v>
      </c>
      <c r="AU326" s="6" t="s">
        <v>505</v>
      </c>
      <c r="AV326" s="6">
        <v>62.01</v>
      </c>
      <c r="AW326" s="6" t="s">
        <v>505</v>
      </c>
      <c r="BA326" s="6" t="s">
        <v>7718</v>
      </c>
      <c r="BD326" s="6" t="s">
        <v>4673</v>
      </c>
      <c r="BE326" s="6" t="str">
        <f t="shared" si="10"/>
        <v>meta.com</v>
      </c>
      <c r="BF326" s="6" t="str">
        <f t="shared" si="11"/>
        <v>com</v>
      </c>
      <c r="BG326" s="6" t="s">
        <v>101</v>
      </c>
      <c r="BK326" s="6" t="s">
        <v>7719</v>
      </c>
      <c r="BP326" s="6" t="s">
        <v>7720</v>
      </c>
      <c r="BQ326" s="6" t="s">
        <v>7721</v>
      </c>
      <c r="BR326" s="6" t="s">
        <v>105</v>
      </c>
    </row>
    <row r="327" spans="1:70" ht="45" customHeight="1" x14ac:dyDescent="0.25">
      <c r="A327" s="6">
        <v>327</v>
      </c>
      <c r="B327" s="7" t="s">
        <v>7722</v>
      </c>
      <c r="C327" s="8" t="s">
        <v>7723</v>
      </c>
      <c r="D327" s="6" t="s">
        <v>7724</v>
      </c>
      <c r="E327" s="8" t="s">
        <v>7722</v>
      </c>
      <c r="F327" s="8" t="s">
        <v>7725</v>
      </c>
      <c r="G327" s="6" t="s">
        <v>570</v>
      </c>
      <c r="H327" s="6" t="s">
        <v>571</v>
      </c>
      <c r="I327" s="8" t="s">
        <v>572</v>
      </c>
      <c r="J327" s="6" t="s">
        <v>3358</v>
      </c>
      <c r="K327" s="9" t="s">
        <v>7726</v>
      </c>
      <c r="L327" s="8" t="s">
        <v>7727</v>
      </c>
      <c r="N327" s="6">
        <v>53.268914299999999</v>
      </c>
      <c r="O327" s="6">
        <v>-6.1967338999999999</v>
      </c>
      <c r="P327" s="6" t="s">
        <v>7728</v>
      </c>
      <c r="Q327" s="6">
        <v>1</v>
      </c>
      <c r="R327" s="6" t="s">
        <v>79</v>
      </c>
      <c r="S327" s="6">
        <v>1996</v>
      </c>
      <c r="T327" s="6"/>
      <c r="X327" s="6" t="s">
        <v>7322</v>
      </c>
      <c r="Y327" s="6" t="s">
        <v>7729</v>
      </c>
      <c r="Z327" s="6" t="s">
        <v>7730</v>
      </c>
      <c r="AA327" s="6" t="s">
        <v>7731</v>
      </c>
      <c r="AB327" s="6" t="s">
        <v>7732</v>
      </c>
      <c r="AC327" s="6">
        <v>511210</v>
      </c>
      <c r="AD327" s="10" t="s">
        <v>1287</v>
      </c>
      <c r="AE327" s="6">
        <v>423430</v>
      </c>
      <c r="AF327" s="6" t="s">
        <v>1287</v>
      </c>
      <c r="AG327" s="6" t="s">
        <v>7733</v>
      </c>
      <c r="AH327" s="6" t="s">
        <v>7734</v>
      </c>
      <c r="AI327" s="6" t="s">
        <v>499</v>
      </c>
      <c r="AJ327" s="6" t="s">
        <v>1467</v>
      </c>
      <c r="AK327" s="6" t="s">
        <v>1468</v>
      </c>
      <c r="AL327" s="6" t="s">
        <v>1469</v>
      </c>
      <c r="AM327" s="6" t="s">
        <v>1470</v>
      </c>
      <c r="AN327" s="6" t="s">
        <v>259</v>
      </c>
      <c r="AO327" s="6" t="s">
        <v>260</v>
      </c>
      <c r="AQ327" s="6">
        <v>7372</v>
      </c>
      <c r="AR327" s="6" t="s">
        <v>2077</v>
      </c>
      <c r="AT327" s="6">
        <v>5820</v>
      </c>
      <c r="AU327" s="6" t="s">
        <v>2028</v>
      </c>
      <c r="AV327" s="6">
        <v>58.29</v>
      </c>
      <c r="AW327" s="6" t="s">
        <v>2078</v>
      </c>
      <c r="AY327" s="6" t="s">
        <v>7735</v>
      </c>
      <c r="BA327" s="6" t="s">
        <v>7736</v>
      </c>
      <c r="BD327" s="6" t="s">
        <v>7737</v>
      </c>
      <c r="BE327" s="6" t="str">
        <f t="shared" si="10"/>
        <v>microsoft.com</v>
      </c>
      <c r="BF327" s="6" t="str">
        <f t="shared" si="11"/>
        <v>com</v>
      </c>
      <c r="BG327" s="6" t="s">
        <v>101</v>
      </c>
      <c r="BI327" s="6" t="s">
        <v>7738</v>
      </c>
      <c r="BQ327" s="6" t="s">
        <v>7739</v>
      </c>
      <c r="BR327" s="6" t="s">
        <v>105</v>
      </c>
    </row>
    <row r="328" spans="1:70" ht="45" customHeight="1" x14ac:dyDescent="0.25">
      <c r="A328" s="6">
        <v>328</v>
      </c>
      <c r="B328" s="7" t="s">
        <v>7740</v>
      </c>
      <c r="C328" s="8" t="s">
        <v>7741</v>
      </c>
      <c r="D328" s="6" t="s">
        <v>7742</v>
      </c>
      <c r="E328" s="8" t="s">
        <v>7740</v>
      </c>
      <c r="F328" s="8" t="s">
        <v>7742</v>
      </c>
      <c r="G328" s="6" t="s">
        <v>130</v>
      </c>
      <c r="H328" s="6" t="s">
        <v>131</v>
      </c>
      <c r="I328" s="8" t="s">
        <v>132</v>
      </c>
      <c r="J328" s="6" t="s">
        <v>132</v>
      </c>
      <c r="K328" s="9">
        <v>194</v>
      </c>
      <c r="L328" s="8" t="s">
        <v>1041</v>
      </c>
      <c r="M328" s="9">
        <v>71</v>
      </c>
      <c r="N328" s="6">
        <v>59.906852799999989</v>
      </c>
      <c r="O328" s="6">
        <v>10.7609783</v>
      </c>
      <c r="P328" s="6" t="s">
        <v>7743</v>
      </c>
      <c r="Q328" s="6">
        <v>3</v>
      </c>
      <c r="R328" s="6" t="s">
        <v>79</v>
      </c>
      <c r="T328" s="6"/>
      <c r="X328" s="6" t="s">
        <v>7744</v>
      </c>
      <c r="Y328" s="6" t="s">
        <v>7745</v>
      </c>
      <c r="Z328" s="6" t="s">
        <v>7746</v>
      </c>
      <c r="AA328" s="6" t="s">
        <v>7747</v>
      </c>
      <c r="AB328" s="6" t="s">
        <v>7748</v>
      </c>
      <c r="AC328" s="6">
        <v>511210</v>
      </c>
      <c r="AD328" s="10" t="s">
        <v>2977</v>
      </c>
      <c r="AE328" s="6">
        <v>541512</v>
      </c>
      <c r="AF328" s="6" t="s">
        <v>2977</v>
      </c>
      <c r="AG328" s="6" t="s">
        <v>7749</v>
      </c>
      <c r="AH328" s="6" t="s">
        <v>7750</v>
      </c>
      <c r="AI328" s="6" t="s">
        <v>499</v>
      </c>
      <c r="AQ328" s="6">
        <v>7372</v>
      </c>
      <c r="AR328" s="6" t="s">
        <v>2077</v>
      </c>
      <c r="AT328" s="6">
        <v>5820</v>
      </c>
      <c r="AU328" s="6" t="s">
        <v>2028</v>
      </c>
      <c r="AV328" s="6">
        <v>58.29</v>
      </c>
      <c r="AW328" s="6" t="s">
        <v>2078</v>
      </c>
      <c r="AY328" s="6" t="s">
        <v>7751</v>
      </c>
      <c r="AZ328" s="6">
        <v>4723500500</v>
      </c>
      <c r="BD328" s="6" t="s">
        <v>7752</v>
      </c>
      <c r="BE328" s="6" t="str">
        <f t="shared" si="10"/>
        <v>microsoft.no</v>
      </c>
      <c r="BF328" s="6" t="str">
        <f t="shared" si="11"/>
        <v>no</v>
      </c>
      <c r="BG328" s="6" t="s">
        <v>150</v>
      </c>
      <c r="BH328" s="6" t="s">
        <v>7753</v>
      </c>
      <c r="BI328" s="6" t="s">
        <v>7738</v>
      </c>
      <c r="BQ328" s="6" t="s">
        <v>7754</v>
      </c>
      <c r="BR328" s="6" t="s">
        <v>105</v>
      </c>
    </row>
    <row r="329" spans="1:70" ht="45" customHeight="1" x14ac:dyDescent="0.25">
      <c r="A329" s="6">
        <v>329</v>
      </c>
      <c r="B329" s="7" t="s">
        <v>7755</v>
      </c>
      <c r="C329" s="8" t="s">
        <v>7756</v>
      </c>
      <c r="D329" s="6" t="s">
        <v>7757</v>
      </c>
      <c r="E329" s="8" t="s">
        <v>7755</v>
      </c>
      <c r="F329" s="8" t="s">
        <v>7758</v>
      </c>
      <c r="G329" s="6" t="s">
        <v>315</v>
      </c>
      <c r="H329" s="6" t="s">
        <v>316</v>
      </c>
      <c r="J329" s="6" t="s">
        <v>316</v>
      </c>
      <c r="K329" s="9">
        <v>119968</v>
      </c>
      <c r="L329" s="8" t="s">
        <v>7759</v>
      </c>
      <c r="M329" s="9" t="s">
        <v>7760</v>
      </c>
      <c r="N329" s="6">
        <v>1.2776575999999999</v>
      </c>
      <c r="O329" s="6">
        <v>103.79935450000001</v>
      </c>
      <c r="P329" s="6" t="s">
        <v>7761</v>
      </c>
      <c r="Q329" s="6">
        <v>2</v>
      </c>
      <c r="R329" s="6" t="s">
        <v>79</v>
      </c>
      <c r="S329" s="6">
        <v>1947</v>
      </c>
      <c r="T329" s="6">
        <v>6651646</v>
      </c>
      <c r="U329" s="6" t="s">
        <v>80</v>
      </c>
      <c r="V329" s="6">
        <v>36</v>
      </c>
      <c r="W329" s="6" t="s">
        <v>167</v>
      </c>
      <c r="X329" s="6" t="s">
        <v>7762</v>
      </c>
      <c r="Y329" s="6" t="s">
        <v>7763</v>
      </c>
      <c r="Z329" s="6" t="s">
        <v>7764</v>
      </c>
      <c r="AA329" s="6" t="s">
        <v>7765</v>
      </c>
      <c r="AB329" s="6" t="s">
        <v>7766</v>
      </c>
      <c r="AC329" s="6">
        <v>541110</v>
      </c>
      <c r="AD329" s="10" t="str">
        <f>_xlfn.XLOOKUP(AC329,[1]Mapping!B:B,[1]Mapping!C:C,"")</f>
        <v>Offices of Lawyers</v>
      </c>
      <c r="AG329" s="6" t="s">
        <v>7767</v>
      </c>
      <c r="AH329" s="6" t="s">
        <v>853</v>
      </c>
      <c r="AI329" s="6" t="s">
        <v>854</v>
      </c>
      <c r="AJ329" s="6" t="s">
        <v>293</v>
      </c>
      <c r="AK329" s="6" t="s">
        <v>294</v>
      </c>
      <c r="AL329" s="6" t="s">
        <v>295</v>
      </c>
      <c r="AM329" s="6" t="s">
        <v>296</v>
      </c>
      <c r="AN329" s="6" t="s">
        <v>297</v>
      </c>
      <c r="AO329" s="6" t="s">
        <v>298</v>
      </c>
      <c r="AQ329" s="6">
        <v>8111</v>
      </c>
      <c r="AR329" s="6" t="s">
        <v>852</v>
      </c>
      <c r="AS329" s="6" t="s">
        <v>7768</v>
      </c>
      <c r="AT329" s="6">
        <v>6910</v>
      </c>
      <c r="AU329" s="6" t="s">
        <v>855</v>
      </c>
      <c r="AV329" s="6">
        <v>69.099999999999994</v>
      </c>
      <c r="AW329" s="6" t="s">
        <v>855</v>
      </c>
      <c r="AX329" s="6" t="s">
        <v>7769</v>
      </c>
      <c r="AY329" s="6" t="s">
        <v>7770</v>
      </c>
      <c r="AZ329" s="6" t="s">
        <v>7771</v>
      </c>
      <c r="BA329" s="6" t="s">
        <v>7772</v>
      </c>
      <c r="BB329" s="6" t="s">
        <v>7773</v>
      </c>
      <c r="BC329" s="6" t="s">
        <v>7772</v>
      </c>
      <c r="BD329" s="6" t="s">
        <v>7774</v>
      </c>
      <c r="BE329" s="6" t="str">
        <f t="shared" si="10"/>
        <v>trc.com.sg</v>
      </c>
      <c r="BF329" s="6" t="str">
        <f t="shared" si="11"/>
        <v>sg</v>
      </c>
      <c r="BG329" s="6" t="s">
        <v>101</v>
      </c>
      <c r="BK329" s="6" t="s">
        <v>7775</v>
      </c>
      <c r="BP329" s="6" t="s">
        <v>7776</v>
      </c>
      <c r="BQ329" s="6" t="s">
        <v>7777</v>
      </c>
      <c r="BR329" s="6" t="s">
        <v>105</v>
      </c>
    </row>
    <row r="330" spans="1:70" ht="45" customHeight="1" x14ac:dyDescent="0.25">
      <c r="A330" s="6">
        <v>330</v>
      </c>
      <c r="B330" s="7" t="s">
        <v>7778</v>
      </c>
      <c r="C330" s="8" t="s">
        <v>7779</v>
      </c>
      <c r="D330" s="6" t="s">
        <v>7780</v>
      </c>
      <c r="E330" s="8" t="s">
        <v>7778</v>
      </c>
      <c r="F330" s="8" t="s">
        <v>7781</v>
      </c>
      <c r="G330" s="6" t="s">
        <v>73</v>
      </c>
      <c r="H330" s="6" t="s">
        <v>74</v>
      </c>
      <c r="J330" s="6" t="s">
        <v>1738</v>
      </c>
      <c r="K330" s="9">
        <v>2670</v>
      </c>
      <c r="L330" s="8" t="s">
        <v>7782</v>
      </c>
      <c r="M330" s="9">
        <v>18</v>
      </c>
      <c r="N330" s="6">
        <v>55.592339299999999</v>
      </c>
      <c r="O330" s="6">
        <v>12.2624548</v>
      </c>
      <c r="P330" s="6" t="s">
        <v>7783</v>
      </c>
      <c r="Q330" s="6">
        <v>1</v>
      </c>
      <c r="R330" s="6" t="s">
        <v>79</v>
      </c>
      <c r="T330" s="6"/>
      <c r="X330" s="6" t="s">
        <v>7784</v>
      </c>
      <c r="Y330" s="6" t="s">
        <v>7785</v>
      </c>
      <c r="Z330" s="6" t="s">
        <v>7786</v>
      </c>
      <c r="AA330" s="6" t="s">
        <v>7787</v>
      </c>
      <c r="AB330" s="6" t="s">
        <v>7788</v>
      </c>
      <c r="AC330" s="6">
        <v>713210</v>
      </c>
      <c r="AD330" s="10" t="str">
        <f>_xlfn.XLOOKUP(AC330,[1]Mapping!B:B,[1]Mapping!C:C,"")</f>
        <v>Casinos (except Casino Hotels)</v>
      </c>
      <c r="AE330" s="6">
        <v>713120</v>
      </c>
      <c r="AF330" s="6" t="s">
        <v>7789</v>
      </c>
      <c r="AG330" s="6" t="s">
        <v>7790</v>
      </c>
      <c r="AH330" s="6" t="s">
        <v>7790</v>
      </c>
      <c r="AI330" s="6" t="s">
        <v>3610</v>
      </c>
      <c r="AJ330" s="6" t="s">
        <v>7791</v>
      </c>
      <c r="AK330" s="6" t="s">
        <v>7792</v>
      </c>
      <c r="AL330" s="6" t="s">
        <v>328</v>
      </c>
      <c r="AM330" s="6" t="s">
        <v>329</v>
      </c>
      <c r="AN330" s="6" t="s">
        <v>297</v>
      </c>
      <c r="AO330" s="6" t="s">
        <v>298</v>
      </c>
      <c r="AQ330" s="6">
        <v>7999</v>
      </c>
      <c r="AR330" s="6" t="s">
        <v>7793</v>
      </c>
      <c r="AT330" s="6">
        <v>9200</v>
      </c>
      <c r="AU330" s="6" t="s">
        <v>7794</v>
      </c>
      <c r="AV330" s="6">
        <v>92</v>
      </c>
      <c r="AW330" s="6" t="s">
        <v>7794</v>
      </c>
      <c r="AY330" s="6" t="s">
        <v>7795</v>
      </c>
      <c r="AZ330" s="6">
        <v>4540206664</v>
      </c>
      <c r="BA330" s="6" t="s">
        <v>7796</v>
      </c>
      <c r="BD330" s="6" t="s">
        <v>7797</v>
      </c>
      <c r="BE330" s="6" t="str">
        <f t="shared" si="10"/>
        <v>abcatering.dk</v>
      </c>
      <c r="BF330" s="6" t="str">
        <f t="shared" si="11"/>
        <v>dk</v>
      </c>
      <c r="BG330" s="6" t="s">
        <v>123</v>
      </c>
      <c r="BJ330" s="6" t="s">
        <v>7798</v>
      </c>
      <c r="BK330" s="6" t="s">
        <v>7799</v>
      </c>
      <c r="BP330" s="6" t="s">
        <v>7800</v>
      </c>
      <c r="BQ330" s="6" t="s">
        <v>7801</v>
      </c>
      <c r="BR330" s="6" t="s">
        <v>105</v>
      </c>
    </row>
    <row r="331" spans="1:70" ht="45" customHeight="1" x14ac:dyDescent="0.25">
      <c r="A331" s="6">
        <v>331</v>
      </c>
      <c r="B331" s="7" t="s">
        <v>7802</v>
      </c>
      <c r="C331" s="8" t="s">
        <v>7803</v>
      </c>
      <c r="D331" s="6" t="s">
        <v>7804</v>
      </c>
      <c r="E331" s="6" t="s">
        <v>7805</v>
      </c>
      <c r="F331" s="8" t="s">
        <v>7806</v>
      </c>
      <c r="G331" s="6" t="s">
        <v>73</v>
      </c>
      <c r="H331" s="6" t="s">
        <v>74</v>
      </c>
      <c r="I331" s="6"/>
      <c r="J331" s="6" t="s">
        <v>7807</v>
      </c>
      <c r="K331" s="9">
        <v>8722</v>
      </c>
      <c r="L331" s="8" t="s">
        <v>7808</v>
      </c>
      <c r="M331" s="9">
        <v>5</v>
      </c>
      <c r="N331" s="6">
        <v>55.792529999999999</v>
      </c>
      <c r="O331" s="6">
        <v>9.6810999999999989</v>
      </c>
      <c r="P331" s="6" t="s">
        <v>7809</v>
      </c>
      <c r="Q331" s="6">
        <v>1</v>
      </c>
      <c r="R331" s="6" t="s">
        <v>79</v>
      </c>
      <c r="T331" s="6">
        <v>4619644</v>
      </c>
      <c r="U331" s="6" t="s">
        <v>80</v>
      </c>
      <c r="V331" s="6">
        <v>75</v>
      </c>
      <c r="W331" s="6" t="s">
        <v>80</v>
      </c>
      <c r="X331" s="6" t="s">
        <v>7810</v>
      </c>
      <c r="Y331" s="6" t="s">
        <v>7811</v>
      </c>
      <c r="Z331" s="6" t="s">
        <v>7812</v>
      </c>
      <c r="AA331" s="6" t="s">
        <v>7813</v>
      </c>
      <c r="AC331" s="6">
        <v>561422</v>
      </c>
      <c r="AD331" s="10" t="str">
        <f>_xlfn.XLOOKUP(AC331,[1]Mapping!B:B,[1]Mapping!C:C,"")</f>
        <v xml:space="preserve">Telemarketing Bureaus and Other Contact Centers </v>
      </c>
      <c r="AG331" s="6" t="s">
        <v>2612</v>
      </c>
      <c r="AH331" s="6" t="s">
        <v>1143</v>
      </c>
      <c r="AI331" s="6" t="s">
        <v>500</v>
      </c>
      <c r="AJ331" s="6" t="s">
        <v>293</v>
      </c>
      <c r="AK331" s="6" t="s">
        <v>294</v>
      </c>
      <c r="AL331" s="6" t="s">
        <v>295</v>
      </c>
      <c r="AM331" s="6" t="s">
        <v>296</v>
      </c>
      <c r="AN331" s="6" t="s">
        <v>297</v>
      </c>
      <c r="AO331" s="6" t="s">
        <v>298</v>
      </c>
      <c r="AQ331" s="6">
        <v>7389</v>
      </c>
      <c r="AR331" s="6" t="s">
        <v>2613</v>
      </c>
      <c r="AT331" s="6">
        <v>8220</v>
      </c>
      <c r="AU331" s="6" t="s">
        <v>2614</v>
      </c>
      <c r="AV331" s="6">
        <v>82.2</v>
      </c>
      <c r="AW331" s="6" t="s">
        <v>2614</v>
      </c>
      <c r="AY331" s="6" t="s">
        <v>7814</v>
      </c>
      <c r="AZ331" s="6" t="s">
        <v>7815</v>
      </c>
      <c r="BA331" s="6" t="s">
        <v>7816</v>
      </c>
      <c r="BB331" s="6" t="s">
        <v>7817</v>
      </c>
      <c r="BD331" s="6" t="s">
        <v>7818</v>
      </c>
      <c r="BE331" s="6" t="str">
        <f t="shared" si="10"/>
        <v>nw.dk</v>
      </c>
      <c r="BF331" s="6" t="str">
        <f t="shared" si="11"/>
        <v>dk</v>
      </c>
      <c r="BG331" s="6" t="s">
        <v>123</v>
      </c>
      <c r="BH331" s="6" t="s">
        <v>7819</v>
      </c>
      <c r="BI331" s="6" t="s">
        <v>7820</v>
      </c>
      <c r="BK331" s="6" t="s">
        <v>7821</v>
      </c>
      <c r="BP331" s="6" t="s">
        <v>7822</v>
      </c>
      <c r="BQ331" s="6" t="s">
        <v>7823</v>
      </c>
      <c r="BR331" s="6" t="s">
        <v>105</v>
      </c>
    </row>
    <row r="332" spans="1:70" ht="45" customHeight="1" x14ac:dyDescent="0.25">
      <c r="A332" s="6">
        <v>332</v>
      </c>
      <c r="B332" s="7" t="s">
        <v>7824</v>
      </c>
      <c r="C332" s="8" t="s">
        <v>7825</v>
      </c>
      <c r="D332" s="6" t="s">
        <v>7826</v>
      </c>
      <c r="E332" s="6" t="s">
        <v>7827</v>
      </c>
      <c r="F332" s="8" t="s">
        <v>7826</v>
      </c>
      <c r="G332" s="6" t="s">
        <v>201</v>
      </c>
      <c r="H332" s="6" t="s">
        <v>202</v>
      </c>
      <c r="I332" s="6" t="s">
        <v>203</v>
      </c>
      <c r="J332" s="6" t="s">
        <v>204</v>
      </c>
      <c r="K332" s="9">
        <v>94105</v>
      </c>
      <c r="L332" s="8" t="s">
        <v>7828</v>
      </c>
      <c r="N332" s="6">
        <v>37.797432000000001</v>
      </c>
      <c r="O332" s="6">
        <v>-122.39394009999999</v>
      </c>
      <c r="P332" s="6" t="s">
        <v>7829</v>
      </c>
      <c r="Q332" s="6">
        <v>3</v>
      </c>
      <c r="R332" s="6" t="s">
        <v>79</v>
      </c>
      <c r="S332" s="6">
        <v>2009</v>
      </c>
      <c r="T332" s="6">
        <v>127000000</v>
      </c>
      <c r="U332" s="6" t="s">
        <v>167</v>
      </c>
      <c r="V332" s="6">
        <v>450</v>
      </c>
      <c r="W332" s="6" t="s">
        <v>167</v>
      </c>
      <c r="X332" s="6" t="s">
        <v>7830</v>
      </c>
      <c r="Y332" s="6" t="s">
        <v>7831</v>
      </c>
      <c r="Z332" s="6" t="s">
        <v>7832</v>
      </c>
      <c r="AA332" s="6" t="s">
        <v>7833</v>
      </c>
      <c r="AB332" s="6" t="s">
        <v>7834</v>
      </c>
      <c r="AC332" s="6">
        <v>513210</v>
      </c>
      <c r="AD332" s="10" t="str">
        <f>_xlfn.XLOOKUP(AC332,[1]Mapping!B:B,[1]Mapping!C:C,"")</f>
        <v>Software Publishers</v>
      </c>
      <c r="AG332" s="6" t="s">
        <v>7835</v>
      </c>
      <c r="AH332" s="6" t="s">
        <v>7836</v>
      </c>
      <c r="AI332" s="6" t="s">
        <v>499</v>
      </c>
      <c r="AJ332" s="6" t="s">
        <v>174</v>
      </c>
      <c r="AK332" s="6" t="s">
        <v>175</v>
      </c>
      <c r="AL332" s="6" t="s">
        <v>176</v>
      </c>
      <c r="AM332" s="6" t="s">
        <v>177</v>
      </c>
      <c r="AN332" s="6" t="s">
        <v>91</v>
      </c>
      <c r="AO332" s="6" t="s">
        <v>92</v>
      </c>
      <c r="AQ332" s="6">
        <v>7372</v>
      </c>
      <c r="AR332" s="6" t="s">
        <v>2077</v>
      </c>
      <c r="AS332" s="6" t="s">
        <v>1973</v>
      </c>
      <c r="AT332" s="6">
        <v>5820</v>
      </c>
      <c r="AU332" s="6" t="s">
        <v>2028</v>
      </c>
      <c r="AV332" s="6">
        <v>58.29</v>
      </c>
      <c r="AW332" s="6" t="s">
        <v>2078</v>
      </c>
      <c r="AX332" s="6" t="s">
        <v>1974</v>
      </c>
      <c r="AY332" s="6" t="s">
        <v>7837</v>
      </c>
      <c r="AZ332" s="6">
        <v>18556678927</v>
      </c>
      <c r="BA332" s="6" t="s">
        <v>7838</v>
      </c>
      <c r="BB332" s="6" t="s">
        <v>7839</v>
      </c>
      <c r="BC332" s="6" t="s">
        <v>7840</v>
      </c>
      <c r="BD332" s="6" t="s">
        <v>7841</v>
      </c>
      <c r="BE332" s="6" t="str">
        <f t="shared" si="10"/>
        <v>mixpanel.com</v>
      </c>
      <c r="BF332" s="6" t="str">
        <f t="shared" si="11"/>
        <v>com</v>
      </c>
      <c r="BG332" s="6" t="s">
        <v>101</v>
      </c>
      <c r="BH332" s="6" t="s">
        <v>7842</v>
      </c>
      <c r="BI332" s="6" t="s">
        <v>7843</v>
      </c>
      <c r="BK332" s="6" t="s">
        <v>7844</v>
      </c>
      <c r="BP332" s="6" t="s">
        <v>7845</v>
      </c>
      <c r="BQ332" s="6" t="s">
        <v>7846</v>
      </c>
      <c r="BR332" s="6" t="s">
        <v>105</v>
      </c>
    </row>
    <row r="333" spans="1:70" ht="45" customHeight="1" x14ac:dyDescent="0.25">
      <c r="A333" s="6">
        <v>333</v>
      </c>
      <c r="B333" s="7" t="s">
        <v>7847</v>
      </c>
      <c r="C333" s="8" t="s">
        <v>7848</v>
      </c>
      <c r="D333" s="6" t="s">
        <v>7849</v>
      </c>
      <c r="E333" s="8" t="s">
        <v>7847</v>
      </c>
      <c r="F333" s="8" t="s">
        <v>7850</v>
      </c>
      <c r="G333" s="6" t="s">
        <v>130</v>
      </c>
      <c r="H333" s="6" t="s">
        <v>131</v>
      </c>
      <c r="I333" s="8" t="s">
        <v>132</v>
      </c>
      <c r="J333" s="6" t="s">
        <v>132</v>
      </c>
      <c r="K333" s="9">
        <v>255</v>
      </c>
      <c r="L333" s="8" t="s">
        <v>7851</v>
      </c>
      <c r="M333" s="9">
        <v>100</v>
      </c>
      <c r="N333" s="6">
        <v>59.9145033</v>
      </c>
      <c r="O333" s="6">
        <v>10.718506400000001</v>
      </c>
      <c r="P333" s="6" t="s">
        <v>7852</v>
      </c>
      <c r="Q333" s="6">
        <v>8</v>
      </c>
      <c r="R333" s="6" t="s">
        <v>79</v>
      </c>
      <c r="S333" s="6">
        <v>2000</v>
      </c>
      <c r="T333" s="6">
        <v>50000000</v>
      </c>
      <c r="U333" s="6" t="s">
        <v>167</v>
      </c>
      <c r="V333" s="6">
        <v>420</v>
      </c>
      <c r="W333" s="6" t="s">
        <v>167</v>
      </c>
      <c r="X333" s="6" t="s">
        <v>7853</v>
      </c>
      <c r="Y333" s="6" t="s">
        <v>7854</v>
      </c>
      <c r="Z333" s="6" t="s">
        <v>7855</v>
      </c>
      <c r="AA333" s="6" t="s">
        <v>7856</v>
      </c>
      <c r="AB333" s="6" t="s">
        <v>7857</v>
      </c>
      <c r="AC333" s="6">
        <v>541519</v>
      </c>
      <c r="AD333" s="10" t="str">
        <f>_xlfn.XLOOKUP(AC333,[1]Mapping!B:B,[1]Mapping!C:C,"")</f>
        <v>Other Computer Related Services</v>
      </c>
      <c r="AE333" s="6">
        <v>541512</v>
      </c>
      <c r="AF333" s="6" t="s">
        <v>2977</v>
      </c>
      <c r="AG333" s="6" t="s">
        <v>3730</v>
      </c>
      <c r="AH333" s="6" t="s">
        <v>7858</v>
      </c>
      <c r="AI333" s="6" t="s">
        <v>499</v>
      </c>
      <c r="AJ333" s="6" t="s">
        <v>174</v>
      </c>
      <c r="AK333" s="6" t="s">
        <v>175</v>
      </c>
      <c r="AL333" s="6" t="s">
        <v>176</v>
      </c>
      <c r="AM333" s="6" t="s">
        <v>177</v>
      </c>
      <c r="AN333" s="6" t="s">
        <v>91</v>
      </c>
      <c r="AO333" s="6" t="s">
        <v>92</v>
      </c>
      <c r="AQ333" s="6">
        <v>7379</v>
      </c>
      <c r="AR333" s="6" t="s">
        <v>7859</v>
      </c>
      <c r="AS333" s="6" t="s">
        <v>7860</v>
      </c>
      <c r="AT333" s="6">
        <v>6209</v>
      </c>
      <c r="AU333" s="6" t="s">
        <v>7861</v>
      </c>
      <c r="AV333" s="6">
        <v>62.09</v>
      </c>
      <c r="AW333" s="6" t="s">
        <v>7861</v>
      </c>
      <c r="AX333" s="6" t="s">
        <v>7862</v>
      </c>
      <c r="AY333" s="6" t="s">
        <v>7863</v>
      </c>
      <c r="AZ333" s="6" t="s">
        <v>7864</v>
      </c>
      <c r="BA333" s="6" t="s">
        <v>7865</v>
      </c>
      <c r="BB333" s="6" t="s">
        <v>7865</v>
      </c>
      <c r="BC333" s="6" t="s">
        <v>7866</v>
      </c>
      <c r="BD333" s="6" t="s">
        <v>7867</v>
      </c>
      <c r="BE333" s="6" t="str">
        <f t="shared" si="10"/>
        <v>mnemonic.io</v>
      </c>
      <c r="BF333" s="6" t="str">
        <f t="shared" si="11"/>
        <v>io</v>
      </c>
      <c r="BG333" s="6" t="s">
        <v>101</v>
      </c>
      <c r="BH333" s="6" t="s">
        <v>7868</v>
      </c>
      <c r="BI333" s="6" t="s">
        <v>7869</v>
      </c>
      <c r="BK333" s="6" t="s">
        <v>7870</v>
      </c>
      <c r="BN333" s="6" t="s">
        <v>7871</v>
      </c>
      <c r="BP333" s="6" t="s">
        <v>7872</v>
      </c>
      <c r="BQ333" s="6" t="s">
        <v>7873</v>
      </c>
      <c r="BR333" s="6" t="s">
        <v>105</v>
      </c>
    </row>
    <row r="334" spans="1:70" ht="45" customHeight="1" x14ac:dyDescent="0.25">
      <c r="A334" s="6">
        <v>334</v>
      </c>
      <c r="B334" s="7" t="s">
        <v>7874</v>
      </c>
      <c r="C334" s="8" t="s">
        <v>7875</v>
      </c>
      <c r="D334" s="6" t="s">
        <v>7876</v>
      </c>
      <c r="E334" s="6" t="s">
        <v>7877</v>
      </c>
      <c r="F334" s="8" t="s">
        <v>7878</v>
      </c>
      <c r="G334" s="6" t="s">
        <v>73</v>
      </c>
      <c r="H334" s="6" t="s">
        <v>74</v>
      </c>
      <c r="I334" s="6"/>
      <c r="J334" s="6" t="s">
        <v>3165</v>
      </c>
      <c r="K334" s="9">
        <v>2730</v>
      </c>
      <c r="L334" s="8" t="s">
        <v>7879</v>
      </c>
      <c r="M334" s="9" t="s">
        <v>7880</v>
      </c>
      <c r="N334" s="6">
        <v>55.7145601</v>
      </c>
      <c r="O334" s="6">
        <v>12.4334148</v>
      </c>
      <c r="P334" s="6" t="s">
        <v>7881</v>
      </c>
      <c r="Q334" s="6">
        <v>1</v>
      </c>
      <c r="R334" s="6" t="s">
        <v>79</v>
      </c>
      <c r="S334" s="6">
        <v>1989</v>
      </c>
      <c r="T334" s="6">
        <v>1200000</v>
      </c>
      <c r="U334" s="6" t="s">
        <v>167</v>
      </c>
      <c r="V334" s="6">
        <v>15</v>
      </c>
      <c r="W334" s="6" t="s">
        <v>167</v>
      </c>
      <c r="X334" s="6" t="s">
        <v>7882</v>
      </c>
      <c r="Y334" s="6" t="s">
        <v>7883</v>
      </c>
      <c r="Z334" s="6" t="s">
        <v>7884</v>
      </c>
      <c r="AA334" s="6" t="s">
        <v>7885</v>
      </c>
      <c r="AB334" s="6" t="s">
        <v>7886</v>
      </c>
      <c r="AC334" s="6">
        <v>541511</v>
      </c>
      <c r="AD334" s="10" t="str">
        <f>_xlfn.XLOOKUP(AC334,[1]Mapping!B:B,[1]Mapping!C:C,"")</f>
        <v xml:space="preserve">Custom Computer Programming Services </v>
      </c>
      <c r="AE334" s="6">
        <v>541512</v>
      </c>
      <c r="AF334" s="6" t="s">
        <v>2977</v>
      </c>
      <c r="AG334" s="6" t="s">
        <v>7887</v>
      </c>
      <c r="AH334" s="6" t="s">
        <v>7888</v>
      </c>
      <c r="AI334" s="6" t="s">
        <v>499</v>
      </c>
      <c r="AQ334" s="6">
        <v>7371</v>
      </c>
      <c r="AR334" s="6" t="s">
        <v>504</v>
      </c>
      <c r="AS334" s="6" t="s">
        <v>1973</v>
      </c>
      <c r="AT334" s="6">
        <v>6201</v>
      </c>
      <c r="AU334" s="6" t="s">
        <v>505</v>
      </c>
      <c r="AV334" s="6">
        <v>62.01</v>
      </c>
      <c r="AW334" s="6" t="s">
        <v>505</v>
      </c>
      <c r="AX334" s="6" t="s">
        <v>1974</v>
      </c>
      <c r="AY334" s="6" t="s">
        <v>7889</v>
      </c>
      <c r="AZ334" s="6" t="s">
        <v>7890</v>
      </c>
      <c r="BA334" s="6" t="s">
        <v>7891</v>
      </c>
      <c r="BD334" s="6" t="s">
        <v>7892</v>
      </c>
      <c r="BE334" s="6" t="str">
        <f t="shared" si="10"/>
        <v>mobilepeople.dk</v>
      </c>
      <c r="BF334" s="6" t="str">
        <f t="shared" si="11"/>
        <v>dk</v>
      </c>
      <c r="BG334" s="6" t="s">
        <v>123</v>
      </c>
      <c r="BH334" s="6" t="s">
        <v>7893</v>
      </c>
      <c r="BI334" s="6" t="s">
        <v>7894</v>
      </c>
      <c r="BK334" s="6" t="s">
        <v>7895</v>
      </c>
      <c r="BP334" s="6" t="s">
        <v>7896</v>
      </c>
      <c r="BQ334" s="6" t="s">
        <v>7897</v>
      </c>
      <c r="BR334" s="6" t="s">
        <v>105</v>
      </c>
    </row>
    <row r="335" spans="1:70" ht="45" customHeight="1" x14ac:dyDescent="0.25">
      <c r="A335" s="6">
        <v>335</v>
      </c>
      <c r="B335" s="7" t="s">
        <v>7898</v>
      </c>
      <c r="C335" s="8" t="s">
        <v>7899</v>
      </c>
      <c r="D335" s="6" t="s">
        <v>7900</v>
      </c>
      <c r="E335" s="6" t="s">
        <v>7901</v>
      </c>
      <c r="F335" s="8" t="s">
        <v>7902</v>
      </c>
      <c r="G335" s="6" t="s">
        <v>201</v>
      </c>
      <c r="H335" s="6" t="s">
        <v>202</v>
      </c>
      <c r="I335" s="6" t="s">
        <v>203</v>
      </c>
      <c r="J335" s="6" t="s">
        <v>7903</v>
      </c>
      <c r="K335" s="9">
        <v>95014</v>
      </c>
      <c r="L335" s="8" t="s">
        <v>7904</v>
      </c>
      <c r="M335" s="9">
        <v>20813</v>
      </c>
      <c r="N335" s="6">
        <v>37.323963499999998</v>
      </c>
      <c r="O335" s="6">
        <v>-122.0381477</v>
      </c>
      <c r="P335" s="6" t="s">
        <v>7905</v>
      </c>
      <c r="Q335" s="6">
        <v>23</v>
      </c>
      <c r="R335" s="6" t="s">
        <v>79</v>
      </c>
      <c r="T335" s="6"/>
      <c r="X335" s="6" t="s">
        <v>7906</v>
      </c>
      <c r="Y335" s="6" t="s">
        <v>7907</v>
      </c>
      <c r="Z335" s="6" t="s">
        <v>7908</v>
      </c>
      <c r="AA335" s="6" t="s">
        <v>7909</v>
      </c>
      <c r="AB335" s="6" t="s">
        <v>7910</v>
      </c>
      <c r="AC335" s="6">
        <v>511210</v>
      </c>
      <c r="AD335" s="10" t="s">
        <v>2977</v>
      </c>
      <c r="AE335" s="6">
        <v>541512</v>
      </c>
      <c r="AF335" s="6" t="s">
        <v>2977</v>
      </c>
      <c r="AG335" s="6" t="s">
        <v>7911</v>
      </c>
      <c r="AH335" s="6" t="s">
        <v>7912</v>
      </c>
      <c r="AI335" s="6" t="s">
        <v>499</v>
      </c>
      <c r="AJ335" s="6" t="s">
        <v>86</v>
      </c>
      <c r="AK335" s="6" t="s">
        <v>88</v>
      </c>
      <c r="AL335" s="6" t="s">
        <v>89</v>
      </c>
      <c r="AM335" s="6" t="s">
        <v>90</v>
      </c>
      <c r="AN335" s="6" t="s">
        <v>91</v>
      </c>
      <c r="AO335" s="6" t="s">
        <v>92</v>
      </c>
      <c r="AQ335" s="6">
        <v>7372</v>
      </c>
      <c r="AR335" s="6" t="s">
        <v>2077</v>
      </c>
      <c r="AT335" s="6">
        <v>5820</v>
      </c>
      <c r="AU335" s="6" t="s">
        <v>2028</v>
      </c>
      <c r="AV335" s="6">
        <v>58.29</v>
      </c>
      <c r="AW335" s="6" t="s">
        <v>2078</v>
      </c>
      <c r="AY335" s="6" t="s">
        <v>7913</v>
      </c>
      <c r="AZ335" s="6" t="s">
        <v>7914</v>
      </c>
      <c r="BA335" s="6" t="s">
        <v>7915</v>
      </c>
      <c r="BD335" s="6" t="s">
        <v>7916</v>
      </c>
      <c r="BE335" s="6" t="str">
        <f t="shared" si="10"/>
        <v>mobileum.com</v>
      </c>
      <c r="BF335" s="6" t="str">
        <f t="shared" si="11"/>
        <v>com</v>
      </c>
      <c r="BG335" s="6" t="s">
        <v>101</v>
      </c>
      <c r="BH335" s="6" t="s">
        <v>7917</v>
      </c>
      <c r="BI335" s="6" t="s">
        <v>7918</v>
      </c>
      <c r="BJ335" s="6" t="s">
        <v>7919</v>
      </c>
      <c r="BK335" s="6" t="s">
        <v>7920</v>
      </c>
      <c r="BN335" s="6" t="s">
        <v>7921</v>
      </c>
      <c r="BP335" s="6" t="s">
        <v>2473</v>
      </c>
      <c r="BQ335" s="6" t="s">
        <v>7922</v>
      </c>
      <c r="BR335" s="6" t="s">
        <v>105</v>
      </c>
    </row>
    <row r="336" spans="1:70" ht="45" customHeight="1" x14ac:dyDescent="0.25">
      <c r="A336" s="6">
        <v>336</v>
      </c>
      <c r="B336" s="7" t="s">
        <v>7923</v>
      </c>
      <c r="C336" s="8" t="s">
        <v>7924</v>
      </c>
      <c r="D336" s="6" t="s">
        <v>7925</v>
      </c>
      <c r="E336" s="6" t="s">
        <v>7926</v>
      </c>
      <c r="F336" s="8" t="s">
        <v>7927</v>
      </c>
      <c r="G336" s="6" t="s">
        <v>73</v>
      </c>
      <c r="H336" s="6" t="s">
        <v>74</v>
      </c>
      <c r="I336" s="6"/>
      <c r="J336" s="6" t="s">
        <v>7928</v>
      </c>
      <c r="K336" s="9">
        <v>7190</v>
      </c>
      <c r="L336" s="8" t="s">
        <v>7929</v>
      </c>
      <c r="M336" s="9" t="s">
        <v>7930</v>
      </c>
      <c r="N336" s="6">
        <v>55.718223599999988</v>
      </c>
      <c r="O336" s="6">
        <v>9.1272099999999998</v>
      </c>
      <c r="P336" s="6" t="s">
        <v>7931</v>
      </c>
      <c r="Q336" s="6">
        <v>14</v>
      </c>
      <c r="R336" s="6" t="s">
        <v>79</v>
      </c>
      <c r="S336" s="6">
        <v>1963</v>
      </c>
      <c r="T336" s="6">
        <v>5000000</v>
      </c>
      <c r="U336" s="6" t="s">
        <v>167</v>
      </c>
      <c r="V336" s="6">
        <v>280</v>
      </c>
      <c r="W336" s="6" t="s">
        <v>167</v>
      </c>
      <c r="X336" s="6" t="s">
        <v>7932</v>
      </c>
      <c r="Y336" s="6" t="s">
        <v>7933</v>
      </c>
      <c r="Z336" s="6" t="s">
        <v>7934</v>
      </c>
      <c r="AA336" s="6" t="s">
        <v>7935</v>
      </c>
      <c r="AB336" s="6" t="s">
        <v>7936</v>
      </c>
      <c r="AC336" s="6">
        <v>339950</v>
      </c>
      <c r="AD336" s="10" t="str">
        <f>_xlfn.XLOOKUP(AC336,[1]Mapping!B:B,[1]Mapping!C:C,"")</f>
        <v>Sign Manufacturing</v>
      </c>
      <c r="AG336" s="6" t="s">
        <v>7937</v>
      </c>
      <c r="AH336" s="6" t="s">
        <v>7938</v>
      </c>
      <c r="AI336" s="6" t="s">
        <v>7939</v>
      </c>
      <c r="AJ336" s="6" t="s">
        <v>500</v>
      </c>
      <c r="AK336" s="6" t="s">
        <v>501</v>
      </c>
      <c r="AL336" s="6" t="s">
        <v>502</v>
      </c>
      <c r="AM336" s="6" t="s">
        <v>503</v>
      </c>
      <c r="AN336" s="6" t="s">
        <v>297</v>
      </c>
      <c r="AO336" s="6" t="s">
        <v>298</v>
      </c>
      <c r="AQ336" s="6">
        <v>3993</v>
      </c>
      <c r="AR336" s="6" t="s">
        <v>7940</v>
      </c>
      <c r="AS336" s="6" t="s">
        <v>7941</v>
      </c>
      <c r="AT336" s="6">
        <v>3299</v>
      </c>
      <c r="AU336" s="6" t="s">
        <v>7942</v>
      </c>
      <c r="AV336" s="6">
        <v>32.99</v>
      </c>
      <c r="AW336" s="6" t="s">
        <v>7942</v>
      </c>
      <c r="AX336" s="6" t="s">
        <v>7943</v>
      </c>
      <c r="AY336" s="6" t="s">
        <v>7944</v>
      </c>
      <c r="AZ336" s="6" t="s">
        <v>7945</v>
      </c>
      <c r="BA336" s="6" t="s">
        <v>7946</v>
      </c>
      <c r="BB336" s="6" t="s">
        <v>7946</v>
      </c>
      <c r="BC336" s="6" t="s">
        <v>7947</v>
      </c>
      <c r="BD336" s="6" t="s">
        <v>7948</v>
      </c>
      <c r="BE336" s="6" t="str">
        <f t="shared" si="10"/>
        <v>modulex.com</v>
      </c>
      <c r="BF336" s="6" t="str">
        <f t="shared" si="11"/>
        <v>com</v>
      </c>
      <c r="BG336" s="6" t="s">
        <v>101</v>
      </c>
      <c r="BH336" s="6" t="s">
        <v>7949</v>
      </c>
      <c r="BI336" s="6" t="s">
        <v>7950</v>
      </c>
      <c r="BJ336" s="6" t="s">
        <v>7951</v>
      </c>
      <c r="BK336" s="6" t="s">
        <v>7952</v>
      </c>
      <c r="BP336" s="6" t="s">
        <v>7953</v>
      </c>
      <c r="BQ336" s="6" t="s">
        <v>7954</v>
      </c>
      <c r="BR336" s="6" t="s">
        <v>105</v>
      </c>
    </row>
    <row r="337" spans="1:70" ht="45" customHeight="1" x14ac:dyDescent="0.25">
      <c r="A337" s="6">
        <v>337</v>
      </c>
      <c r="B337" s="7" t="s">
        <v>7955</v>
      </c>
      <c r="C337" s="8" t="s">
        <v>7956</v>
      </c>
      <c r="D337" s="6" t="s">
        <v>7957</v>
      </c>
      <c r="E337" s="6" t="s">
        <v>7958</v>
      </c>
      <c r="F337" s="8" t="s">
        <v>7959</v>
      </c>
      <c r="G337" s="6" t="s">
        <v>7960</v>
      </c>
      <c r="H337" s="6" t="s">
        <v>7961</v>
      </c>
      <c r="I337" s="6" t="s">
        <v>7962</v>
      </c>
      <c r="J337" s="6" t="s">
        <v>7963</v>
      </c>
      <c r="L337" s="8" t="s">
        <v>7964</v>
      </c>
      <c r="M337" s="9">
        <v>6</v>
      </c>
      <c r="N337" s="6">
        <v>32.065398600000002</v>
      </c>
      <c r="O337" s="6">
        <v>34.784936899999998</v>
      </c>
      <c r="P337" s="6" t="s">
        <v>7965</v>
      </c>
      <c r="Q337" s="6">
        <v>10</v>
      </c>
      <c r="R337" s="6" t="s">
        <v>906</v>
      </c>
      <c r="S337" s="6">
        <v>2012</v>
      </c>
      <c r="T337" s="6">
        <v>730000000</v>
      </c>
      <c r="U337" s="6" t="s">
        <v>167</v>
      </c>
      <c r="V337" s="6">
        <v>1854</v>
      </c>
      <c r="W337" s="6" t="s">
        <v>167</v>
      </c>
      <c r="X337" s="6" t="s">
        <v>7966</v>
      </c>
      <c r="Y337" s="6" t="s">
        <v>7967</v>
      </c>
      <c r="Z337" s="6" t="s">
        <v>7968</v>
      </c>
      <c r="AA337" s="6" t="s">
        <v>7969</v>
      </c>
      <c r="AB337" s="6" t="s">
        <v>7970</v>
      </c>
      <c r="AC337" s="6">
        <v>541511</v>
      </c>
      <c r="AD337" s="10" t="str">
        <f>_xlfn.XLOOKUP(AC337,[1]Mapping!B:B,[1]Mapping!C:C,"")</f>
        <v xml:space="preserve">Custom Computer Programming Services </v>
      </c>
      <c r="AG337" s="6" t="s">
        <v>581</v>
      </c>
      <c r="AH337" s="6" t="s">
        <v>174</v>
      </c>
      <c r="AI337" s="6" t="s">
        <v>87</v>
      </c>
      <c r="AJ337" s="6" t="s">
        <v>174</v>
      </c>
      <c r="AK337" s="6" t="s">
        <v>175</v>
      </c>
      <c r="AL337" s="6" t="s">
        <v>176</v>
      </c>
      <c r="AM337" s="6" t="s">
        <v>177</v>
      </c>
      <c r="AN337" s="6" t="s">
        <v>91</v>
      </c>
      <c r="AO337" s="6" t="s">
        <v>92</v>
      </c>
      <c r="AQ337" s="6">
        <v>7371</v>
      </c>
      <c r="AR337" s="6" t="s">
        <v>504</v>
      </c>
      <c r="AS337" s="6" t="s">
        <v>7971</v>
      </c>
      <c r="AT337" s="6">
        <v>6201</v>
      </c>
      <c r="AU337" s="6" t="s">
        <v>505</v>
      </c>
      <c r="AV337" s="6">
        <v>62.01</v>
      </c>
      <c r="AW337" s="6" t="s">
        <v>505</v>
      </c>
      <c r="AX337" s="6" t="s">
        <v>7972</v>
      </c>
      <c r="AY337" s="6">
        <v>972559000000</v>
      </c>
      <c r="AZ337" s="6" t="s">
        <v>7973</v>
      </c>
      <c r="BA337" s="6" t="s">
        <v>7974</v>
      </c>
      <c r="BB337" s="6" t="s">
        <v>7975</v>
      </c>
      <c r="BC337" s="6" t="s">
        <v>7974</v>
      </c>
      <c r="BD337" s="6" t="s">
        <v>7976</v>
      </c>
      <c r="BE337" s="6" t="str">
        <f t="shared" si="10"/>
        <v>monday.com</v>
      </c>
      <c r="BF337" s="6" t="str">
        <f t="shared" si="11"/>
        <v>com</v>
      </c>
      <c r="BG337" s="6" t="s">
        <v>101</v>
      </c>
      <c r="BH337" s="6" t="s">
        <v>7977</v>
      </c>
      <c r="BI337" s="6" t="s">
        <v>7978</v>
      </c>
      <c r="BJ337" s="6" t="s">
        <v>7979</v>
      </c>
      <c r="BK337" s="6" t="s">
        <v>7980</v>
      </c>
      <c r="BL337" s="6" t="s">
        <v>7981</v>
      </c>
      <c r="BM337" s="6" t="s">
        <v>7982</v>
      </c>
      <c r="BN337" s="6" t="s">
        <v>7983</v>
      </c>
      <c r="BP337" s="6" t="s">
        <v>7984</v>
      </c>
      <c r="BQ337" s="6" t="s">
        <v>7985</v>
      </c>
      <c r="BR337" s="6" t="s">
        <v>105</v>
      </c>
    </row>
    <row r="338" spans="1:70" ht="45" customHeight="1" x14ac:dyDescent="0.25">
      <c r="A338" s="6">
        <v>338</v>
      </c>
      <c r="B338" s="7" t="s">
        <v>7986</v>
      </c>
      <c r="C338" s="8" t="s">
        <v>7987</v>
      </c>
      <c r="D338" s="6" t="s">
        <v>7986</v>
      </c>
      <c r="E338" s="8" t="s">
        <v>7986</v>
      </c>
      <c r="F338" s="8" t="s">
        <v>7986</v>
      </c>
      <c r="G338" s="6" t="s">
        <v>612</v>
      </c>
      <c r="H338" s="6" t="s">
        <v>613</v>
      </c>
      <c r="I338" s="6" t="s">
        <v>3803</v>
      </c>
      <c r="J338" s="6" t="s">
        <v>7988</v>
      </c>
      <c r="K338" s="9">
        <v>81100</v>
      </c>
      <c r="L338" s="8" t="s">
        <v>7989</v>
      </c>
      <c r="M338" s="9" t="s">
        <v>7990</v>
      </c>
      <c r="N338" s="6">
        <v>1.5195504</v>
      </c>
      <c r="O338" s="6">
        <v>103.79521560000001</v>
      </c>
      <c r="P338" s="6" t="s">
        <v>7991</v>
      </c>
      <c r="Q338" s="6">
        <v>1</v>
      </c>
      <c r="T338" s="6"/>
      <c r="X338" s="6" t="s">
        <v>7992</v>
      </c>
      <c r="Y338" s="6" t="s">
        <v>7993</v>
      </c>
      <c r="Z338" s="6" t="s">
        <v>7994</v>
      </c>
      <c r="AA338" s="6" t="s">
        <v>7995</v>
      </c>
      <c r="AB338" s="6" t="s">
        <v>7996</v>
      </c>
      <c r="AC338" s="6">
        <v>237130</v>
      </c>
      <c r="AD338" s="10" t="str">
        <f>_xlfn.XLOOKUP(AC338,[1]Mapping!B:B,[1]Mapping!C:C,"")</f>
        <v xml:space="preserve">Power and Communication Line and Related Structures Construction </v>
      </c>
      <c r="AG338" s="6" t="s">
        <v>7997</v>
      </c>
      <c r="AH338" s="6" t="s">
        <v>7998</v>
      </c>
      <c r="AI338" s="6" t="s">
        <v>292</v>
      </c>
      <c r="AQ338" s="6">
        <v>1623</v>
      </c>
      <c r="AR338" s="6" t="s">
        <v>2707</v>
      </c>
      <c r="AT338" s="6">
        <v>4220</v>
      </c>
      <c r="AU338" s="6" t="s">
        <v>2708</v>
      </c>
      <c r="AV338" s="6">
        <v>42.22</v>
      </c>
      <c r="AW338" s="6" t="s">
        <v>2709</v>
      </c>
      <c r="AY338" s="6" t="s">
        <v>7999</v>
      </c>
      <c r="AZ338" s="6">
        <v>6073576714</v>
      </c>
      <c r="BE338" s="6" t="str">
        <f t="shared" si="10"/>
        <v/>
      </c>
      <c r="BF338" s="6" t="e">
        <f t="shared" si="11"/>
        <v>#VALUE!</v>
      </c>
      <c r="BQ338" s="6" t="s">
        <v>8000</v>
      </c>
      <c r="BR338" s="6" t="s">
        <v>105</v>
      </c>
    </row>
    <row r="339" spans="1:70" ht="45" customHeight="1" x14ac:dyDescent="0.25">
      <c r="A339" s="6">
        <v>339</v>
      </c>
      <c r="B339" s="7" t="s">
        <v>8001</v>
      </c>
      <c r="C339" s="8" t="s">
        <v>8002</v>
      </c>
      <c r="D339" s="6" t="s">
        <v>8003</v>
      </c>
      <c r="E339" s="8" t="s">
        <v>8001</v>
      </c>
      <c r="F339" s="8" t="s">
        <v>8004</v>
      </c>
      <c r="G339" s="6" t="s">
        <v>130</v>
      </c>
      <c r="H339" s="6" t="s">
        <v>131</v>
      </c>
      <c r="I339" s="8" t="s">
        <v>132</v>
      </c>
      <c r="J339" s="6" t="s">
        <v>132</v>
      </c>
      <c r="K339" s="9">
        <v>153</v>
      </c>
      <c r="L339" s="8" t="s">
        <v>8005</v>
      </c>
      <c r="M339" s="9">
        <v>14</v>
      </c>
      <c r="N339" s="6">
        <v>59.910968599999997</v>
      </c>
      <c r="O339" s="6">
        <v>10.7429585</v>
      </c>
      <c r="P339" s="6" t="s">
        <v>8006</v>
      </c>
      <c r="Q339" s="6">
        <v>81</v>
      </c>
      <c r="R339" s="6" t="s">
        <v>79</v>
      </c>
      <c r="S339" s="6">
        <v>2020</v>
      </c>
      <c r="T339" s="6">
        <v>1072672512</v>
      </c>
      <c r="U339" s="6" t="s">
        <v>167</v>
      </c>
      <c r="V339" s="6">
        <v>18000</v>
      </c>
      <c r="W339" s="6" t="s">
        <v>167</v>
      </c>
      <c r="X339" s="6" t="s">
        <v>8007</v>
      </c>
      <c r="Y339" s="6" t="s">
        <v>8008</v>
      </c>
      <c r="Z339" s="6" t="s">
        <v>8009</v>
      </c>
      <c r="AA339" s="6" t="s">
        <v>8010</v>
      </c>
      <c r="AB339" s="6" t="s">
        <v>8011</v>
      </c>
      <c r="AC339" s="6">
        <v>541511</v>
      </c>
      <c r="AD339" s="10" t="str">
        <f>_xlfn.XLOOKUP(AC339,[1]Mapping!B:B,[1]Mapping!C:C,"")</f>
        <v xml:space="preserve">Custom Computer Programming Services </v>
      </c>
      <c r="AE339" s="6">
        <v>541512</v>
      </c>
      <c r="AF339" s="6" t="s">
        <v>2977</v>
      </c>
      <c r="AG339" s="6" t="s">
        <v>990</v>
      </c>
      <c r="AH339" s="6" t="s">
        <v>174</v>
      </c>
      <c r="AI339" s="6" t="s">
        <v>87</v>
      </c>
      <c r="AJ339" s="6" t="s">
        <v>653</v>
      </c>
      <c r="AK339" s="6" t="s">
        <v>654</v>
      </c>
      <c r="AL339" s="6" t="s">
        <v>655</v>
      </c>
      <c r="AM339" s="6" t="s">
        <v>656</v>
      </c>
      <c r="AN339" s="6" t="s">
        <v>655</v>
      </c>
      <c r="AO339" s="6" t="s">
        <v>657</v>
      </c>
      <c r="AQ339" s="6">
        <v>7371</v>
      </c>
      <c r="AR339" s="6" t="s">
        <v>504</v>
      </c>
      <c r="AS339" s="6" t="s">
        <v>8012</v>
      </c>
      <c r="AT339" s="6">
        <v>6201</v>
      </c>
      <c r="AU339" s="6" t="s">
        <v>505</v>
      </c>
      <c r="AV339" s="6">
        <v>62.01</v>
      </c>
      <c r="AW339" s="6" t="s">
        <v>505</v>
      </c>
      <c r="AX339" s="6" t="s">
        <v>8013</v>
      </c>
      <c r="AY339" s="6" t="s">
        <v>8014</v>
      </c>
      <c r="AZ339" s="6" t="s">
        <v>8015</v>
      </c>
      <c r="BA339" s="6" t="s">
        <v>8016</v>
      </c>
      <c r="BB339" s="6" t="s">
        <v>8017</v>
      </c>
      <c r="BD339" s="6" t="s">
        <v>8018</v>
      </c>
      <c r="BE339" s="6" t="str">
        <f t="shared" si="10"/>
        <v>nagarro.com</v>
      </c>
      <c r="BF339" s="6" t="str">
        <f t="shared" si="11"/>
        <v>com</v>
      </c>
      <c r="BG339" s="6" t="s">
        <v>101</v>
      </c>
      <c r="BH339" s="6" t="s">
        <v>8019</v>
      </c>
      <c r="BI339" s="6" t="s">
        <v>8020</v>
      </c>
      <c r="BJ339" s="6" t="s">
        <v>8021</v>
      </c>
      <c r="BK339" s="6" t="s">
        <v>8022</v>
      </c>
      <c r="BN339" s="6" t="s">
        <v>8023</v>
      </c>
      <c r="BP339" s="6" t="s">
        <v>8024</v>
      </c>
      <c r="BQ339" s="6" t="s">
        <v>8025</v>
      </c>
      <c r="BR339" s="6" t="s">
        <v>105</v>
      </c>
    </row>
    <row r="340" spans="1:70" ht="45" customHeight="1" x14ac:dyDescent="0.25">
      <c r="A340" s="6">
        <v>340</v>
      </c>
      <c r="B340" s="7" t="s">
        <v>8026</v>
      </c>
      <c r="C340" s="8" t="s">
        <v>8027</v>
      </c>
      <c r="D340" s="6" t="s">
        <v>8028</v>
      </c>
      <c r="E340" s="6" t="s">
        <v>700</v>
      </c>
      <c r="F340" s="8" t="s">
        <v>8029</v>
      </c>
      <c r="G340" s="6" t="s">
        <v>2781</v>
      </c>
      <c r="H340" s="6" t="s">
        <v>2782</v>
      </c>
      <c r="I340" s="6" t="s">
        <v>8030</v>
      </c>
      <c r="J340" s="6" t="s">
        <v>8031</v>
      </c>
      <c r="K340" s="9">
        <v>110026</v>
      </c>
      <c r="L340" s="8" t="s">
        <v>8032</v>
      </c>
      <c r="N340" s="6">
        <v>28.661525699999999</v>
      </c>
      <c r="O340" s="6">
        <v>77.127517999999995</v>
      </c>
      <c r="P340" s="6" t="s">
        <v>8033</v>
      </c>
      <c r="Q340" s="6">
        <v>1</v>
      </c>
      <c r="R340" s="6" t="s">
        <v>79</v>
      </c>
      <c r="S340" s="6">
        <v>2008</v>
      </c>
      <c r="T340" s="12">
        <v>1580000000</v>
      </c>
      <c r="V340" s="6">
        <v>6058</v>
      </c>
      <c r="X340" s="6" t="s">
        <v>8034</v>
      </c>
      <c r="Y340" s="6" t="s">
        <v>8035</v>
      </c>
      <c r="AC340" s="10">
        <f>_xlfn.XLOOKUP(AH340,[1]Mapping!C:C,[1]Mapping!B:B,"",1)</f>
        <v>513210</v>
      </c>
      <c r="AD340" s="10" t="s">
        <v>2977</v>
      </c>
      <c r="AE340" s="6">
        <v>541511</v>
      </c>
      <c r="AF340" s="6" t="s">
        <v>1971</v>
      </c>
      <c r="AG340" s="6" t="s">
        <v>176</v>
      </c>
      <c r="AH340" s="6" t="s">
        <v>8036</v>
      </c>
      <c r="AI340" s="6" t="s">
        <v>1290</v>
      </c>
      <c r="AJ340" s="6" t="s">
        <v>504</v>
      </c>
      <c r="AK340" s="6">
        <v>7371</v>
      </c>
      <c r="AL340" s="6" t="s">
        <v>1292</v>
      </c>
      <c r="AM340" s="6">
        <v>737100</v>
      </c>
      <c r="AN340" s="6" t="s">
        <v>176</v>
      </c>
      <c r="AO340" s="6">
        <v>4500</v>
      </c>
      <c r="AQ340" s="6">
        <v>7371</v>
      </c>
      <c r="AR340" s="6" t="s">
        <v>504</v>
      </c>
      <c r="AT340" s="6">
        <v>6201</v>
      </c>
      <c r="AU340" s="6" t="s">
        <v>505</v>
      </c>
      <c r="AV340" s="6">
        <v>62.01</v>
      </c>
      <c r="AW340" s="6" t="s">
        <v>505</v>
      </c>
      <c r="AX340" s="6">
        <v>6200</v>
      </c>
      <c r="BE340" s="6" t="str">
        <f t="shared" si="10"/>
        <v/>
      </c>
      <c r="BF340" s="6" t="e">
        <f t="shared" si="11"/>
        <v>#VALUE!</v>
      </c>
      <c r="BQ340" s="6" t="s">
        <v>8037</v>
      </c>
      <c r="BR340" s="6" t="s">
        <v>105</v>
      </c>
    </row>
    <row r="341" spans="1:70" ht="45" customHeight="1" x14ac:dyDescent="0.25">
      <c r="A341" s="6">
        <v>341</v>
      </c>
      <c r="B341" s="7" t="s">
        <v>8038</v>
      </c>
      <c r="C341" s="8" t="s">
        <v>8039</v>
      </c>
      <c r="D341" s="6" t="s">
        <v>8040</v>
      </c>
      <c r="E341" s="6" t="s">
        <v>8041</v>
      </c>
      <c r="F341" s="8" t="s">
        <v>8042</v>
      </c>
      <c r="G341" s="6" t="s">
        <v>1686</v>
      </c>
      <c r="H341" s="6" t="s">
        <v>1687</v>
      </c>
      <c r="I341" s="6" t="s">
        <v>1688</v>
      </c>
      <c r="J341" s="6" t="s">
        <v>8043</v>
      </c>
      <c r="K341" s="9" t="s">
        <v>8044</v>
      </c>
      <c r="L341" s="8" t="s">
        <v>8045</v>
      </c>
      <c r="M341" s="9">
        <v>571</v>
      </c>
      <c r="N341" s="6">
        <v>35.649458699999997</v>
      </c>
      <c r="O341" s="6">
        <v>139.74807150000001</v>
      </c>
      <c r="P341" s="6" t="s">
        <v>8046</v>
      </c>
      <c r="Q341" s="6">
        <v>124</v>
      </c>
      <c r="R341" s="6" t="s">
        <v>906</v>
      </c>
      <c r="S341" s="6">
        <v>1899</v>
      </c>
      <c r="T341" s="6">
        <v>26541574144</v>
      </c>
      <c r="U341" s="6" t="s">
        <v>167</v>
      </c>
      <c r="V341" s="6">
        <v>114714</v>
      </c>
      <c r="W341" s="6" t="s">
        <v>167</v>
      </c>
      <c r="X341" s="6" t="s">
        <v>8047</v>
      </c>
      <c r="Y341" s="6" t="s">
        <v>8048</v>
      </c>
      <c r="Z341" s="6" t="s">
        <v>8049</v>
      </c>
      <c r="AA341" s="6" t="s">
        <v>8050</v>
      </c>
      <c r="AB341" s="6" t="s">
        <v>8051</v>
      </c>
      <c r="AC341" s="6">
        <v>334220</v>
      </c>
      <c r="AD341" s="10" t="str">
        <f>_xlfn.XLOOKUP(AC341,[1]Mapping!B:B,[1]Mapping!C:C,"")</f>
        <v>Radio and Television Broadcasting and Wireless Communications Equipment Manufacturing</v>
      </c>
      <c r="AE341" s="6">
        <v>541512</v>
      </c>
      <c r="AF341" s="6" t="s">
        <v>2977</v>
      </c>
      <c r="AG341" s="6" t="s">
        <v>8052</v>
      </c>
      <c r="AH341" s="6" t="s">
        <v>8053</v>
      </c>
      <c r="AI341" s="6" t="s">
        <v>499</v>
      </c>
      <c r="AJ341" s="6" t="s">
        <v>86</v>
      </c>
      <c r="AK341" s="6" t="s">
        <v>88</v>
      </c>
      <c r="AL341" s="6" t="s">
        <v>89</v>
      </c>
      <c r="AM341" s="6" t="s">
        <v>90</v>
      </c>
      <c r="AN341" s="6" t="s">
        <v>91</v>
      </c>
      <c r="AO341" s="6" t="s">
        <v>92</v>
      </c>
      <c r="AQ341" s="6">
        <v>3663</v>
      </c>
      <c r="AR341" s="6" t="s">
        <v>2683</v>
      </c>
      <c r="AS341" s="6" t="s">
        <v>8054</v>
      </c>
      <c r="AT341" s="6">
        <v>2630</v>
      </c>
      <c r="AU341" s="6" t="s">
        <v>2684</v>
      </c>
      <c r="AV341" s="6">
        <v>26.3</v>
      </c>
      <c r="AW341" s="6" t="s">
        <v>2684</v>
      </c>
      <c r="AX341" s="6" t="s">
        <v>8055</v>
      </c>
      <c r="AY341" s="6" t="s">
        <v>8056</v>
      </c>
      <c r="AZ341" s="6" t="s">
        <v>8057</v>
      </c>
      <c r="BA341" s="6" t="s">
        <v>8058</v>
      </c>
      <c r="BB341" s="6" t="s">
        <v>8059</v>
      </c>
      <c r="BC341" s="6" t="s">
        <v>8060</v>
      </c>
      <c r="BD341" s="6" t="s">
        <v>8061</v>
      </c>
      <c r="BE341" s="6" t="str">
        <f t="shared" si="10"/>
        <v>jpn.nec.com</v>
      </c>
      <c r="BF341" s="6" t="str">
        <f t="shared" si="11"/>
        <v>com</v>
      </c>
      <c r="BG341" s="6" t="s">
        <v>101</v>
      </c>
      <c r="BH341" s="6" t="s">
        <v>8062</v>
      </c>
      <c r="BI341" s="6" t="s">
        <v>8063</v>
      </c>
      <c r="BJ341" s="6" t="s">
        <v>8064</v>
      </c>
      <c r="BK341" s="6" t="s">
        <v>8065</v>
      </c>
      <c r="BN341" s="6" t="s">
        <v>8066</v>
      </c>
      <c r="BP341" s="6" t="s">
        <v>8067</v>
      </c>
      <c r="BQ341" s="6" t="s">
        <v>8068</v>
      </c>
      <c r="BR341" s="6" t="s">
        <v>105</v>
      </c>
    </row>
    <row r="342" spans="1:70" ht="45" customHeight="1" x14ac:dyDescent="0.25">
      <c r="A342" s="6">
        <v>342</v>
      </c>
      <c r="B342" s="7" t="s">
        <v>8069</v>
      </c>
      <c r="C342" s="8" t="s">
        <v>8070</v>
      </c>
      <c r="D342" s="6" t="s">
        <v>8071</v>
      </c>
      <c r="E342" s="8" t="s">
        <v>8072</v>
      </c>
      <c r="F342" s="8" t="s">
        <v>8072</v>
      </c>
      <c r="G342" s="6" t="s">
        <v>612</v>
      </c>
      <c r="H342" s="6" t="s">
        <v>613</v>
      </c>
      <c r="I342" s="6" t="s">
        <v>1305</v>
      </c>
      <c r="J342" s="6" t="s">
        <v>752</v>
      </c>
      <c r="K342" s="9">
        <v>59200</v>
      </c>
      <c r="L342" s="8" t="s">
        <v>6502</v>
      </c>
      <c r="N342" s="6">
        <v>3.1173535999999999</v>
      </c>
      <c r="O342" s="6">
        <v>101.6752498</v>
      </c>
      <c r="P342" s="6" t="s">
        <v>8073</v>
      </c>
      <c r="Q342" s="6">
        <v>2</v>
      </c>
      <c r="R342" s="6" t="s">
        <v>79</v>
      </c>
      <c r="S342" s="6">
        <v>1988</v>
      </c>
      <c r="T342" s="6">
        <v>26825816</v>
      </c>
      <c r="U342" s="6" t="s">
        <v>80</v>
      </c>
      <c r="V342" s="6">
        <v>240</v>
      </c>
      <c r="W342" s="6" t="s">
        <v>167</v>
      </c>
      <c r="X342" s="6" t="s">
        <v>8074</v>
      </c>
      <c r="Y342" s="6" t="s">
        <v>8075</v>
      </c>
      <c r="Z342" s="6" t="s">
        <v>8076</v>
      </c>
      <c r="AA342" s="6" t="s">
        <v>8077</v>
      </c>
      <c r="AB342" s="6" t="s">
        <v>8078</v>
      </c>
      <c r="AC342" s="6">
        <v>517810</v>
      </c>
      <c r="AD342" s="10" t="str">
        <f>_xlfn.XLOOKUP(AC342,[1]Mapping!B:B,[1]Mapping!C:C,"")</f>
        <v xml:space="preserve">All Other Telecommunications </v>
      </c>
      <c r="AG342" s="6" t="s">
        <v>89</v>
      </c>
      <c r="AH342" s="6" t="s">
        <v>86</v>
      </c>
      <c r="AI342" s="6" t="s">
        <v>87</v>
      </c>
      <c r="AQ342" s="6" t="s">
        <v>1384</v>
      </c>
      <c r="AR342" s="6" t="s">
        <v>1385</v>
      </c>
      <c r="AS342" s="6" t="s">
        <v>8079</v>
      </c>
      <c r="AT342" s="6">
        <v>6190</v>
      </c>
      <c r="AU342" s="6" t="s">
        <v>96</v>
      </c>
      <c r="AV342" s="6">
        <v>61.9</v>
      </c>
      <c r="AW342" s="6" t="s">
        <v>96</v>
      </c>
      <c r="AX342" s="6" t="s">
        <v>8080</v>
      </c>
      <c r="AY342" s="6" t="s">
        <v>8081</v>
      </c>
      <c r="AZ342" s="6" t="s">
        <v>8082</v>
      </c>
      <c r="BD342" s="6" t="s">
        <v>8083</v>
      </c>
      <c r="BE342" s="6" t="str">
        <f t="shared" si="10"/>
        <v>my.nec.com</v>
      </c>
      <c r="BF342" s="6" t="str">
        <f t="shared" si="11"/>
        <v>com</v>
      </c>
      <c r="BG342" s="6" t="s">
        <v>101</v>
      </c>
      <c r="BK342" s="6" t="s">
        <v>8084</v>
      </c>
      <c r="BQ342" s="6" t="s">
        <v>8085</v>
      </c>
      <c r="BR342" s="6" t="s">
        <v>105</v>
      </c>
    </row>
    <row r="343" spans="1:70" ht="45" customHeight="1" x14ac:dyDescent="0.25">
      <c r="A343" s="6">
        <v>343</v>
      </c>
      <c r="B343" s="7" t="s">
        <v>8086</v>
      </c>
      <c r="C343" s="8" t="s">
        <v>8087</v>
      </c>
      <c r="D343" s="6" t="s">
        <v>8088</v>
      </c>
      <c r="E343" s="6" t="s">
        <v>8089</v>
      </c>
      <c r="F343" s="8" t="s">
        <v>8090</v>
      </c>
      <c r="G343" s="6" t="s">
        <v>160</v>
      </c>
      <c r="H343" s="6" t="s">
        <v>161</v>
      </c>
      <c r="I343" s="6" t="s">
        <v>281</v>
      </c>
      <c r="J343" s="6" t="s">
        <v>1543</v>
      </c>
      <c r="K343" s="9" t="s">
        <v>1544</v>
      </c>
      <c r="L343" s="8" t="s">
        <v>1545</v>
      </c>
      <c r="M343" s="9">
        <v>13</v>
      </c>
      <c r="N343" s="6">
        <v>59.396497799999992</v>
      </c>
      <c r="O343" s="6">
        <v>17.949524</v>
      </c>
      <c r="P343" s="6" t="s">
        <v>8091</v>
      </c>
      <c r="Q343" s="6">
        <v>35</v>
      </c>
      <c r="R343" s="6" t="s">
        <v>906</v>
      </c>
      <c r="S343" s="6">
        <v>1915</v>
      </c>
      <c r="T343" s="6">
        <v>1773133184</v>
      </c>
      <c r="U343" s="6" t="s">
        <v>167</v>
      </c>
      <c r="V343" s="6">
        <v>7523</v>
      </c>
      <c r="W343" s="6" t="s">
        <v>167</v>
      </c>
      <c r="X343" s="6" t="s">
        <v>8092</v>
      </c>
      <c r="Y343" s="6" t="s">
        <v>8093</v>
      </c>
      <c r="Z343" s="6" t="s">
        <v>8094</v>
      </c>
      <c r="AA343" s="6" t="s">
        <v>8095</v>
      </c>
      <c r="AB343" s="6" t="s">
        <v>8096</v>
      </c>
      <c r="AC343" s="6">
        <v>424940</v>
      </c>
      <c r="AD343" s="10" t="str">
        <f>_xlfn.XLOOKUP(AC343,[1]Mapping!B:B,[1]Mapping!C:C,"")</f>
        <v xml:space="preserve">Tobacco Product and Electronic Cigarette Merchant Wholesalers </v>
      </c>
      <c r="AE343" s="6">
        <v>111998</v>
      </c>
      <c r="AF343" s="6" t="s">
        <v>8097</v>
      </c>
      <c r="AG343" s="6" t="s">
        <v>8098</v>
      </c>
      <c r="AH343" s="6" t="s">
        <v>8099</v>
      </c>
      <c r="AI343" s="6" t="s">
        <v>1240</v>
      </c>
      <c r="AJ343" s="6" t="s">
        <v>8099</v>
      </c>
      <c r="AK343" s="6" t="s">
        <v>8100</v>
      </c>
      <c r="AL343" s="6" t="s">
        <v>8099</v>
      </c>
      <c r="AM343" s="6" t="s">
        <v>8101</v>
      </c>
      <c r="AN343" s="6" t="s">
        <v>1027</v>
      </c>
      <c r="AO343" s="6" t="s">
        <v>1028</v>
      </c>
      <c r="AQ343" s="6">
        <v>5194</v>
      </c>
      <c r="AR343" s="6" t="s">
        <v>8102</v>
      </c>
      <c r="AS343" s="6" t="s">
        <v>8103</v>
      </c>
      <c r="AT343" s="6">
        <v>4630</v>
      </c>
      <c r="AU343" s="6" t="s">
        <v>8104</v>
      </c>
      <c r="AV343" s="6" t="s">
        <v>8105</v>
      </c>
      <c r="AW343" s="6" t="s">
        <v>8106</v>
      </c>
      <c r="AX343" s="6" t="s">
        <v>8107</v>
      </c>
      <c r="AY343" s="6" t="s">
        <v>8108</v>
      </c>
      <c r="AZ343" s="6" t="s">
        <v>8109</v>
      </c>
      <c r="BA343" s="6" t="s">
        <v>8110</v>
      </c>
      <c r="BB343" s="6" t="s">
        <v>8111</v>
      </c>
      <c r="BC343" s="6" t="s">
        <v>8112</v>
      </c>
      <c r="BD343" s="6" t="s">
        <v>8113</v>
      </c>
      <c r="BE343" s="6" t="str">
        <f t="shared" si="10"/>
        <v>swedishmatch.com</v>
      </c>
      <c r="BF343" s="6" t="str">
        <f t="shared" si="11"/>
        <v>com</v>
      </c>
      <c r="BG343" s="6" t="s">
        <v>101</v>
      </c>
      <c r="BH343" s="6" t="s">
        <v>8114</v>
      </c>
      <c r="BI343" s="6" t="s">
        <v>8115</v>
      </c>
      <c r="BK343" s="6" t="s">
        <v>8116</v>
      </c>
      <c r="BP343" s="6" t="s">
        <v>8117</v>
      </c>
      <c r="BQ343" s="6" t="s">
        <v>8118</v>
      </c>
      <c r="BR343" s="6" t="s">
        <v>105</v>
      </c>
    </row>
    <row r="344" spans="1:70" ht="45" customHeight="1" x14ac:dyDescent="0.25">
      <c r="A344" s="6">
        <v>344</v>
      </c>
      <c r="B344" s="7" t="s">
        <v>8119</v>
      </c>
      <c r="C344" s="8" t="s">
        <v>8120</v>
      </c>
      <c r="D344" s="6" t="s">
        <v>8121</v>
      </c>
      <c r="E344" s="8" t="s">
        <v>8119</v>
      </c>
      <c r="F344" s="8" t="s">
        <v>8121</v>
      </c>
      <c r="G344" s="6" t="s">
        <v>73</v>
      </c>
      <c r="H344" s="6" t="s">
        <v>74</v>
      </c>
      <c r="J344" s="6" t="s">
        <v>1636</v>
      </c>
      <c r="K344" s="9">
        <v>9400</v>
      </c>
      <c r="L344" s="8" t="s">
        <v>7365</v>
      </c>
      <c r="M344" s="9">
        <v>6</v>
      </c>
      <c r="N344" s="6">
        <v>57.086216999999998</v>
      </c>
      <c r="O344" s="6">
        <v>9.958221</v>
      </c>
      <c r="P344" s="6" t="s">
        <v>8122</v>
      </c>
      <c r="Q344" s="6">
        <v>9</v>
      </c>
      <c r="R344" s="6" t="s">
        <v>79</v>
      </c>
      <c r="S344" s="6">
        <v>2012</v>
      </c>
      <c r="T344" s="6">
        <v>3026908</v>
      </c>
      <c r="U344" s="6" t="s">
        <v>80</v>
      </c>
      <c r="V344" s="6">
        <v>10</v>
      </c>
      <c r="W344" s="6" t="s">
        <v>167</v>
      </c>
      <c r="X344" s="6" t="s">
        <v>8123</v>
      </c>
      <c r="Y344" s="6" t="s">
        <v>8124</v>
      </c>
      <c r="Z344" s="6" t="s">
        <v>8125</v>
      </c>
      <c r="AA344" s="6" t="s">
        <v>8126</v>
      </c>
      <c r="AB344" s="6" t="s">
        <v>8127</v>
      </c>
      <c r="AC344" s="6">
        <v>518210</v>
      </c>
      <c r="AD344" s="10" t="str">
        <f>_xlfn.XLOOKUP(AC344,[1]Mapping!B:B,[1]Mapping!C:C,"")</f>
        <v>Computing Infrastructure Providers, Data Processing, Web Hosting, and Related Services</v>
      </c>
      <c r="AE344" s="6">
        <v>519130</v>
      </c>
      <c r="AF344" s="6" t="s">
        <v>912</v>
      </c>
      <c r="AG344" s="6" t="s">
        <v>8128</v>
      </c>
      <c r="AH344" s="6" t="s">
        <v>8129</v>
      </c>
      <c r="AI344" s="6" t="s">
        <v>499</v>
      </c>
      <c r="AJ344" s="6" t="s">
        <v>293</v>
      </c>
      <c r="AK344" s="6" t="s">
        <v>294</v>
      </c>
      <c r="AL344" s="6" t="s">
        <v>295</v>
      </c>
      <c r="AM344" s="6" t="s">
        <v>296</v>
      </c>
      <c r="AN344" s="6" t="s">
        <v>297</v>
      </c>
      <c r="AO344" s="6" t="s">
        <v>298</v>
      </c>
      <c r="AQ344" s="6">
        <v>7374</v>
      </c>
      <c r="AR344" s="6" t="s">
        <v>915</v>
      </c>
      <c r="AS344" s="6" t="s">
        <v>8130</v>
      </c>
      <c r="AT344" s="6">
        <v>6311</v>
      </c>
      <c r="AU344" s="6" t="s">
        <v>917</v>
      </c>
      <c r="AV344" s="6">
        <v>63.11</v>
      </c>
      <c r="AW344" s="6" t="s">
        <v>917</v>
      </c>
      <c r="AX344" s="6" t="s">
        <v>8131</v>
      </c>
      <c r="AY344" s="6" t="s">
        <v>8132</v>
      </c>
      <c r="AZ344" s="6" t="s">
        <v>8133</v>
      </c>
      <c r="BA344" s="6" t="s">
        <v>8134</v>
      </c>
      <c r="BB344" s="6" t="s">
        <v>8135</v>
      </c>
      <c r="BC344" s="6" t="s">
        <v>8136</v>
      </c>
      <c r="BD344" s="6" t="s">
        <v>8137</v>
      </c>
      <c r="BE344" s="6" t="str">
        <f t="shared" si="10"/>
        <v>nemtilmeld.dk</v>
      </c>
      <c r="BF344" s="6" t="str">
        <f t="shared" si="11"/>
        <v>dk</v>
      </c>
      <c r="BG344" s="6" t="s">
        <v>123</v>
      </c>
      <c r="BH344" s="6" t="s">
        <v>8138</v>
      </c>
      <c r="BK344" s="6" t="s">
        <v>8139</v>
      </c>
      <c r="BP344" s="6" t="s">
        <v>8140</v>
      </c>
      <c r="BQ344" s="6" t="s">
        <v>8141</v>
      </c>
      <c r="BR344" s="6" t="s">
        <v>105</v>
      </c>
    </row>
    <row r="345" spans="1:70" ht="45" customHeight="1" x14ac:dyDescent="0.25">
      <c r="A345" s="6">
        <v>345</v>
      </c>
      <c r="B345" s="7" t="s">
        <v>8142</v>
      </c>
      <c r="C345" s="8" t="s">
        <v>8143</v>
      </c>
      <c r="D345" s="6" t="s">
        <v>8144</v>
      </c>
      <c r="E345" s="8" t="s">
        <v>8145</v>
      </c>
      <c r="F345" s="8" t="s">
        <v>8145</v>
      </c>
      <c r="G345" s="6" t="s">
        <v>160</v>
      </c>
      <c r="H345" s="6" t="s">
        <v>161</v>
      </c>
      <c r="I345" s="6" t="s">
        <v>281</v>
      </c>
      <c r="J345" s="6" t="s">
        <v>282</v>
      </c>
      <c r="K345" s="9" t="s">
        <v>5369</v>
      </c>
      <c r="L345" s="8" t="s">
        <v>5370</v>
      </c>
      <c r="M345" s="9">
        <v>65</v>
      </c>
      <c r="N345" s="6">
        <v>59.313227999999988</v>
      </c>
      <c r="O345" s="6">
        <v>18.068676199999999</v>
      </c>
      <c r="P345" s="6" t="s">
        <v>8146</v>
      </c>
      <c r="Q345" s="6">
        <v>1</v>
      </c>
      <c r="R345" s="6" t="s">
        <v>79</v>
      </c>
      <c r="S345" s="6">
        <v>2006</v>
      </c>
      <c r="T345" s="6">
        <v>10200000</v>
      </c>
      <c r="U345" s="6" t="s">
        <v>167</v>
      </c>
      <c r="V345" s="6">
        <v>450</v>
      </c>
      <c r="W345" s="6" t="s">
        <v>167</v>
      </c>
      <c r="X345" s="6" t="s">
        <v>8147</v>
      </c>
      <c r="Y345" s="6" t="s">
        <v>8148</v>
      </c>
      <c r="Z345" s="6" t="s">
        <v>8149</v>
      </c>
      <c r="AA345" s="6" t="s">
        <v>8150</v>
      </c>
      <c r="AB345" s="6" t="s">
        <v>8151</v>
      </c>
      <c r="AC345" s="6">
        <v>541910</v>
      </c>
      <c r="AD345" s="10" t="str">
        <f>_xlfn.XLOOKUP(AC345,[1]Mapping!B:B,[1]Mapping!C:C,"")</f>
        <v>Marketing Research and Public Opinion Polling</v>
      </c>
      <c r="AG345" s="6" t="s">
        <v>8152</v>
      </c>
      <c r="AH345" s="6" t="s">
        <v>8153</v>
      </c>
      <c r="AI345" s="6" t="s">
        <v>652</v>
      </c>
      <c r="AJ345" s="6" t="s">
        <v>500</v>
      </c>
      <c r="AK345" s="6" t="s">
        <v>501</v>
      </c>
      <c r="AL345" s="6" t="s">
        <v>502</v>
      </c>
      <c r="AM345" s="6" t="s">
        <v>503</v>
      </c>
      <c r="AN345" s="6" t="s">
        <v>297</v>
      </c>
      <c r="AO345" s="6" t="s">
        <v>298</v>
      </c>
      <c r="AQ345" s="6">
        <v>8732</v>
      </c>
      <c r="AR345" s="6" t="s">
        <v>6405</v>
      </c>
      <c r="AT345" s="6">
        <v>7320</v>
      </c>
      <c r="AU345" s="6" t="s">
        <v>6407</v>
      </c>
      <c r="AV345" s="6">
        <v>73.2</v>
      </c>
      <c r="AW345" s="6" t="s">
        <v>6407</v>
      </c>
      <c r="AY345" s="6" t="s">
        <v>8154</v>
      </c>
      <c r="AZ345" s="6" t="s">
        <v>8155</v>
      </c>
      <c r="BA345" s="6" t="s">
        <v>8156</v>
      </c>
      <c r="BB345" s="6" t="s">
        <v>8157</v>
      </c>
      <c r="BD345" s="6" t="s">
        <v>8158</v>
      </c>
      <c r="BE345" s="6" t="str">
        <f t="shared" si="10"/>
        <v>nepa.com</v>
      </c>
      <c r="BF345" s="6" t="str">
        <f t="shared" si="11"/>
        <v>com</v>
      </c>
      <c r="BG345" s="6" t="s">
        <v>101</v>
      </c>
      <c r="BH345" s="6" t="s">
        <v>8159</v>
      </c>
      <c r="BK345" s="6" t="s">
        <v>8160</v>
      </c>
      <c r="BN345" s="6" t="s">
        <v>8161</v>
      </c>
      <c r="BP345" s="6" t="s">
        <v>8162</v>
      </c>
      <c r="BQ345" s="6" t="s">
        <v>8163</v>
      </c>
      <c r="BR345" s="6" t="s">
        <v>105</v>
      </c>
    </row>
    <row r="346" spans="1:70" ht="45" customHeight="1" x14ac:dyDescent="0.25">
      <c r="A346" s="6">
        <v>346</v>
      </c>
      <c r="B346" s="7" t="s">
        <v>8164</v>
      </c>
      <c r="C346" s="8" t="s">
        <v>8165</v>
      </c>
      <c r="D346" s="6" t="s">
        <v>8166</v>
      </c>
      <c r="E346" s="8" t="s">
        <v>8164</v>
      </c>
      <c r="F346" s="8" t="s">
        <v>8167</v>
      </c>
      <c r="G346" s="6" t="s">
        <v>130</v>
      </c>
      <c r="H346" s="6" t="s">
        <v>131</v>
      </c>
      <c r="I346" s="8" t="s">
        <v>3441</v>
      </c>
      <c r="J346" s="6" t="s">
        <v>3442</v>
      </c>
      <c r="K346" s="9">
        <v>3015</v>
      </c>
      <c r="L346" s="8" t="s">
        <v>8168</v>
      </c>
      <c r="M346" s="9">
        <v>10</v>
      </c>
      <c r="N346" s="6">
        <v>59.741609900000007</v>
      </c>
      <c r="O346" s="6">
        <v>10.211138800000001</v>
      </c>
      <c r="P346" s="6" t="s">
        <v>4990</v>
      </c>
      <c r="Q346" s="6">
        <v>1</v>
      </c>
      <c r="R346" s="6" t="s">
        <v>79</v>
      </c>
      <c r="S346" s="6">
        <v>1999</v>
      </c>
      <c r="T346" s="6">
        <v>19534916</v>
      </c>
      <c r="U346" s="6" t="s">
        <v>80</v>
      </c>
      <c r="V346" s="6">
        <v>200</v>
      </c>
      <c r="W346" s="6" t="s">
        <v>80</v>
      </c>
      <c r="X346" s="6" t="s">
        <v>8169</v>
      </c>
      <c r="Y346" s="6" t="s">
        <v>8170</v>
      </c>
      <c r="Z346" s="6" t="s">
        <v>8171</v>
      </c>
      <c r="AA346" s="6" t="s">
        <v>8172</v>
      </c>
      <c r="AB346" s="6" t="s">
        <v>8173</v>
      </c>
      <c r="AC346" s="6">
        <v>561422</v>
      </c>
      <c r="AD346" s="10" t="str">
        <f>_xlfn.XLOOKUP(AC346,[1]Mapping!B:B,[1]Mapping!C:C,"")</f>
        <v xml:space="preserve">Telemarketing Bureaus and Other Contact Centers </v>
      </c>
      <c r="AG346" s="6" t="s">
        <v>8174</v>
      </c>
      <c r="AH346" s="6" t="s">
        <v>8175</v>
      </c>
      <c r="AI346" s="6" t="s">
        <v>3041</v>
      </c>
      <c r="AJ346" s="6" t="s">
        <v>6933</v>
      </c>
      <c r="AK346" s="6" t="s">
        <v>6934</v>
      </c>
      <c r="AL346" s="6" t="s">
        <v>2136</v>
      </c>
      <c r="AM346" s="6" t="s">
        <v>2137</v>
      </c>
      <c r="AN346" s="6" t="s">
        <v>2138</v>
      </c>
      <c r="AO346" s="6" t="s">
        <v>2139</v>
      </c>
      <c r="AQ346" s="6">
        <v>7389</v>
      </c>
      <c r="AR346" s="6" t="s">
        <v>8176</v>
      </c>
      <c r="AT346" s="6">
        <v>8220</v>
      </c>
      <c r="AU346" s="6" t="s">
        <v>2614</v>
      </c>
      <c r="AV346" s="6">
        <v>82.2</v>
      </c>
      <c r="AW346" s="6" t="s">
        <v>2614</v>
      </c>
      <c r="AY346" s="6" t="s">
        <v>8177</v>
      </c>
      <c r="AZ346" s="6" t="s">
        <v>8178</v>
      </c>
      <c r="BA346" s="6" t="s">
        <v>8179</v>
      </c>
      <c r="BB346" s="6" t="s">
        <v>8179</v>
      </c>
      <c r="BD346" s="6" t="s">
        <v>8180</v>
      </c>
      <c r="BE346" s="6" t="str">
        <f t="shared" si="10"/>
        <v>nerasdirekte.no</v>
      </c>
      <c r="BF346" s="6" t="str">
        <f t="shared" si="11"/>
        <v>no</v>
      </c>
      <c r="BG346" s="6" t="s">
        <v>150</v>
      </c>
      <c r="BK346" s="6" t="s">
        <v>8181</v>
      </c>
      <c r="BP346" s="6" t="s">
        <v>8182</v>
      </c>
      <c r="BQ346" s="6" t="s">
        <v>8183</v>
      </c>
      <c r="BR346" s="6" t="s">
        <v>105</v>
      </c>
    </row>
    <row r="347" spans="1:70" ht="45" customHeight="1" x14ac:dyDescent="0.25">
      <c r="A347" s="6">
        <v>347</v>
      </c>
      <c r="B347" s="7" t="s">
        <v>8184</v>
      </c>
      <c r="C347" s="8" t="s">
        <v>8185</v>
      </c>
      <c r="D347" s="6" t="s">
        <v>8186</v>
      </c>
      <c r="E347" s="8" t="s">
        <v>8184</v>
      </c>
      <c r="F347" s="8" t="s">
        <v>8187</v>
      </c>
      <c r="G347" s="6" t="s">
        <v>243</v>
      </c>
      <c r="H347" s="6" t="s">
        <v>244</v>
      </c>
      <c r="I347" s="8" t="s">
        <v>4531</v>
      </c>
      <c r="J347" s="6" t="s">
        <v>4532</v>
      </c>
      <c r="K347" s="9">
        <v>90620</v>
      </c>
      <c r="L347" s="8" t="s">
        <v>8188</v>
      </c>
      <c r="M347" s="9">
        <v>5</v>
      </c>
      <c r="N347" s="6">
        <v>65.053864899999994</v>
      </c>
      <c r="O347" s="6">
        <v>25.595486999999999</v>
      </c>
      <c r="P347" s="6" t="s">
        <v>8189</v>
      </c>
      <c r="Q347" s="6">
        <v>2</v>
      </c>
      <c r="R347" s="6" t="s">
        <v>79</v>
      </c>
      <c r="T347" s="6">
        <v>39871916</v>
      </c>
      <c r="U347" s="6" t="s">
        <v>80</v>
      </c>
      <c r="V347" s="6">
        <v>125</v>
      </c>
      <c r="W347" s="6" t="s">
        <v>80</v>
      </c>
      <c r="X347" s="6" t="s">
        <v>8190</v>
      </c>
      <c r="Y347" s="6" t="s">
        <v>8191</v>
      </c>
      <c r="Z347" s="6" t="s">
        <v>8192</v>
      </c>
      <c r="AA347" s="6" t="s">
        <v>8193</v>
      </c>
      <c r="AC347" s="6">
        <v>335921</v>
      </c>
      <c r="AD347" s="10" t="str">
        <f>_xlfn.XLOOKUP(AC347,[1]Mapping!B:B,[1]Mapping!C:C,"")</f>
        <v xml:space="preserve">Fiber Optic Cable Manufacturing </v>
      </c>
      <c r="AG347" s="6" t="s">
        <v>8194</v>
      </c>
      <c r="AH347" s="6" t="s">
        <v>432</v>
      </c>
      <c r="AI347" s="6" t="s">
        <v>733</v>
      </c>
      <c r="AJ347" s="6" t="s">
        <v>432</v>
      </c>
      <c r="AK347" s="6" t="s">
        <v>433</v>
      </c>
      <c r="AL347" s="6" t="s">
        <v>434</v>
      </c>
      <c r="AM347" s="6" t="s">
        <v>435</v>
      </c>
      <c r="AN347" s="6" t="s">
        <v>436</v>
      </c>
      <c r="AO347" s="6" t="s">
        <v>437</v>
      </c>
      <c r="AQ347" s="6">
        <v>3357</v>
      </c>
      <c r="AR347" s="6" t="s">
        <v>8195</v>
      </c>
      <c r="AT347" s="6">
        <v>2731</v>
      </c>
      <c r="AU347" s="6" t="s">
        <v>5944</v>
      </c>
      <c r="AV347" s="6">
        <v>27.31</v>
      </c>
      <c r="AW347" s="6" t="s">
        <v>5944</v>
      </c>
      <c r="AY347" s="6" t="s">
        <v>8196</v>
      </c>
      <c r="AZ347" s="6">
        <v>358208000000</v>
      </c>
      <c r="BA347" s="6" t="s">
        <v>8197</v>
      </c>
      <c r="BB347" s="6" t="s">
        <v>8197</v>
      </c>
      <c r="BD347" s="6" t="s">
        <v>8198</v>
      </c>
      <c r="BE347" s="6" t="str">
        <f t="shared" si="10"/>
        <v>nestorcables.fi</v>
      </c>
      <c r="BF347" s="6" t="str">
        <f t="shared" si="11"/>
        <v>fi</v>
      </c>
      <c r="BG347" s="6" t="s">
        <v>101</v>
      </c>
      <c r="BH347" s="6" t="s">
        <v>8199</v>
      </c>
      <c r="BJ347" s="6" t="s">
        <v>8200</v>
      </c>
      <c r="BK347" s="6" t="s">
        <v>8201</v>
      </c>
      <c r="BN347" s="6" t="s">
        <v>8202</v>
      </c>
      <c r="BP347" s="6" t="s">
        <v>8203</v>
      </c>
      <c r="BQ347" s="6" t="s">
        <v>8204</v>
      </c>
      <c r="BR347" s="6" t="s">
        <v>105</v>
      </c>
    </row>
    <row r="348" spans="1:70" ht="45" customHeight="1" x14ac:dyDescent="0.25">
      <c r="A348" s="6">
        <v>348</v>
      </c>
      <c r="B348" s="7" t="s">
        <v>8205</v>
      </c>
      <c r="C348" s="8" t="s">
        <v>8206</v>
      </c>
      <c r="D348" s="6" t="s">
        <v>8207</v>
      </c>
      <c r="E348" s="6" t="s">
        <v>8208</v>
      </c>
      <c r="F348" s="8" t="s">
        <v>8209</v>
      </c>
      <c r="G348" s="6" t="s">
        <v>315</v>
      </c>
      <c r="H348" s="6" t="s">
        <v>316</v>
      </c>
      <c r="I348" s="6"/>
      <c r="J348" s="6" t="s">
        <v>316</v>
      </c>
      <c r="K348" s="9">
        <v>369546</v>
      </c>
      <c r="L348" s="8" t="s">
        <v>8210</v>
      </c>
      <c r="M348" s="9">
        <v>1</v>
      </c>
      <c r="N348" s="6">
        <v>1.3361923</v>
      </c>
      <c r="O348" s="6">
        <v>103.8862225</v>
      </c>
      <c r="P348" s="6" t="s">
        <v>8211</v>
      </c>
      <c r="Q348" s="6">
        <v>4</v>
      </c>
      <c r="R348" s="6" t="s">
        <v>79</v>
      </c>
      <c r="S348" s="6">
        <v>2008</v>
      </c>
      <c r="T348" s="6">
        <v>39571800</v>
      </c>
      <c r="U348" s="6" t="s">
        <v>80</v>
      </c>
      <c r="V348" s="6">
        <v>140</v>
      </c>
      <c r="W348" s="6" t="s">
        <v>167</v>
      </c>
      <c r="X348" s="6" t="s">
        <v>8212</v>
      </c>
      <c r="Y348" s="6" t="s">
        <v>8213</v>
      </c>
      <c r="Z348" s="6" t="s">
        <v>8214</v>
      </c>
      <c r="AA348" s="6" t="s">
        <v>8215</v>
      </c>
      <c r="AB348" s="6" t="s">
        <v>8216</v>
      </c>
      <c r="AC348" s="6">
        <v>541512</v>
      </c>
      <c r="AD348" s="10" t="str">
        <f>_xlfn.XLOOKUP(AC348,[1]Mapping!B:B,[1]Mapping!C:C,"")</f>
        <v xml:space="preserve">Computer Systems Design Services </v>
      </c>
      <c r="AG348" s="6" t="s">
        <v>8217</v>
      </c>
      <c r="AH348" s="6" t="s">
        <v>8218</v>
      </c>
      <c r="AI348" s="6" t="s">
        <v>499</v>
      </c>
      <c r="AJ348" s="6" t="s">
        <v>174</v>
      </c>
      <c r="AK348" s="6" t="s">
        <v>175</v>
      </c>
      <c r="AL348" s="6" t="s">
        <v>176</v>
      </c>
      <c r="AM348" s="6" t="s">
        <v>177</v>
      </c>
      <c r="AN348" s="6" t="s">
        <v>91</v>
      </c>
      <c r="AO348" s="6" t="s">
        <v>92</v>
      </c>
      <c r="AQ348" s="6">
        <v>7373</v>
      </c>
      <c r="AR348" s="6" t="s">
        <v>2820</v>
      </c>
      <c r="AS348" s="6" t="s">
        <v>8219</v>
      </c>
      <c r="AT348" s="6">
        <v>6202</v>
      </c>
      <c r="AU348" s="6" t="s">
        <v>2822</v>
      </c>
      <c r="AV348" s="6">
        <v>62.02</v>
      </c>
      <c r="AW348" s="6" t="s">
        <v>2822</v>
      </c>
      <c r="AX348" s="6" t="s">
        <v>8220</v>
      </c>
      <c r="AY348" s="6" t="s">
        <v>8221</v>
      </c>
      <c r="AZ348" s="6" t="s">
        <v>8222</v>
      </c>
      <c r="BA348" s="6" t="s">
        <v>8223</v>
      </c>
      <c r="BB348" s="6" t="s">
        <v>8224</v>
      </c>
      <c r="BC348" s="6" t="s">
        <v>8225</v>
      </c>
      <c r="BD348" s="6" t="s">
        <v>8226</v>
      </c>
      <c r="BE348" s="6" t="str">
        <f t="shared" si="10"/>
        <v>systexasia.com</v>
      </c>
      <c r="BF348" s="6" t="str">
        <f t="shared" si="11"/>
        <v>com</v>
      </c>
      <c r="BG348" s="6" t="s">
        <v>101</v>
      </c>
      <c r="BH348" s="6" t="s">
        <v>8227</v>
      </c>
      <c r="BI348" s="6" t="s">
        <v>8228</v>
      </c>
      <c r="BJ348" s="6" t="s">
        <v>8229</v>
      </c>
      <c r="BK348" s="6" t="s">
        <v>8230</v>
      </c>
      <c r="BN348" s="6" t="s">
        <v>8231</v>
      </c>
      <c r="BP348" s="6" t="s">
        <v>8232</v>
      </c>
      <c r="BQ348" s="6" t="s">
        <v>8233</v>
      </c>
      <c r="BR348" s="6" t="s">
        <v>105</v>
      </c>
    </row>
    <row r="349" spans="1:70" ht="45" customHeight="1" x14ac:dyDescent="0.25">
      <c r="A349" s="6">
        <v>349</v>
      </c>
      <c r="B349" s="7" t="s">
        <v>8234</v>
      </c>
      <c r="C349" s="8" t="s">
        <v>8235</v>
      </c>
      <c r="D349" s="6" t="s">
        <v>8236</v>
      </c>
      <c r="E349" s="6" t="s">
        <v>8237</v>
      </c>
      <c r="F349" s="8" t="s">
        <v>8238</v>
      </c>
      <c r="G349" s="6" t="s">
        <v>73</v>
      </c>
      <c r="H349" s="6" t="s">
        <v>74</v>
      </c>
      <c r="I349" s="6"/>
      <c r="J349" s="6" t="s">
        <v>76</v>
      </c>
      <c r="K349" s="9">
        <v>9220</v>
      </c>
      <c r="L349" s="8" t="s">
        <v>8239</v>
      </c>
      <c r="M349" s="9">
        <v>25</v>
      </c>
      <c r="N349" s="6">
        <v>57.010848199999998</v>
      </c>
      <c r="O349" s="6">
        <v>9.9915699999999994</v>
      </c>
      <c r="P349" s="6" t="s">
        <v>8240</v>
      </c>
      <c r="Q349" s="6">
        <v>4</v>
      </c>
      <c r="R349" s="6" t="s">
        <v>79</v>
      </c>
      <c r="S349" s="6">
        <v>2002</v>
      </c>
      <c r="T349" s="6">
        <v>6000000</v>
      </c>
      <c r="U349" s="6" t="s">
        <v>167</v>
      </c>
      <c r="V349" s="6">
        <v>160</v>
      </c>
      <c r="W349" s="6" t="s">
        <v>167</v>
      </c>
      <c r="X349" s="6" t="s">
        <v>8241</v>
      </c>
      <c r="Y349" s="6" t="s">
        <v>8242</v>
      </c>
      <c r="Z349" s="6" t="s">
        <v>8243</v>
      </c>
      <c r="AA349" s="6" t="s">
        <v>8244</v>
      </c>
      <c r="AB349" s="6" t="s">
        <v>8245</v>
      </c>
      <c r="AC349" s="6">
        <v>518210</v>
      </c>
      <c r="AD349" s="10" t="str">
        <f>_xlfn.XLOOKUP(AC349,[1]Mapping!B:B,[1]Mapping!C:C,"")</f>
        <v>Computing Infrastructure Providers, Data Processing, Web Hosting, and Related Services</v>
      </c>
      <c r="AG349" s="6" t="s">
        <v>8246</v>
      </c>
      <c r="AH349" s="6" t="s">
        <v>8247</v>
      </c>
      <c r="AI349" s="6" t="s">
        <v>499</v>
      </c>
      <c r="AJ349" s="6" t="s">
        <v>174</v>
      </c>
      <c r="AK349" s="6" t="s">
        <v>175</v>
      </c>
      <c r="AL349" s="6" t="s">
        <v>176</v>
      </c>
      <c r="AM349" s="6" t="s">
        <v>177</v>
      </c>
      <c r="AN349" s="6" t="s">
        <v>91</v>
      </c>
      <c r="AO349" s="6" t="s">
        <v>92</v>
      </c>
      <c r="AQ349" s="6">
        <v>7374</v>
      </c>
      <c r="AR349" s="6" t="s">
        <v>915</v>
      </c>
      <c r="AS349" s="6" t="s">
        <v>8248</v>
      </c>
      <c r="AT349" s="6">
        <v>6311</v>
      </c>
      <c r="AU349" s="6" t="s">
        <v>917</v>
      </c>
      <c r="AV349" s="6">
        <v>63.11</v>
      </c>
      <c r="AW349" s="6" t="s">
        <v>917</v>
      </c>
      <c r="AX349" s="6" t="s">
        <v>8249</v>
      </c>
      <c r="AY349" s="6" t="s">
        <v>8250</v>
      </c>
      <c r="AZ349" s="6" t="s">
        <v>8251</v>
      </c>
      <c r="BA349" s="6" t="s">
        <v>8252</v>
      </c>
      <c r="BB349" s="6" t="s">
        <v>8253</v>
      </c>
      <c r="BC349" s="6" t="s">
        <v>8254</v>
      </c>
      <c r="BD349" s="6" t="s">
        <v>8255</v>
      </c>
      <c r="BE349" s="6" t="str">
        <f t="shared" si="10"/>
        <v>netic.dk</v>
      </c>
      <c r="BF349" s="6" t="str">
        <f t="shared" si="11"/>
        <v>dk</v>
      </c>
      <c r="BG349" s="6" t="s">
        <v>123</v>
      </c>
      <c r="BH349" s="6" t="s">
        <v>8256</v>
      </c>
      <c r="BK349" s="6" t="s">
        <v>8257</v>
      </c>
      <c r="BP349" s="6" t="s">
        <v>8258</v>
      </c>
      <c r="BQ349" s="6" t="s">
        <v>8259</v>
      </c>
      <c r="BR349" s="6" t="s">
        <v>105</v>
      </c>
    </row>
    <row r="350" spans="1:70" ht="45" customHeight="1" x14ac:dyDescent="0.25">
      <c r="A350" s="6">
        <v>350</v>
      </c>
      <c r="B350" s="7" t="s">
        <v>8260</v>
      </c>
      <c r="C350" s="8" t="s">
        <v>3543</v>
      </c>
      <c r="D350" s="6" t="s">
        <v>3544</v>
      </c>
      <c r="E350" s="6" t="s">
        <v>3545</v>
      </c>
      <c r="F350" s="8" t="s">
        <v>3546</v>
      </c>
      <c r="G350" s="6" t="s">
        <v>73</v>
      </c>
      <c r="H350" s="6" t="s">
        <v>74</v>
      </c>
      <c r="I350" s="6"/>
      <c r="J350" s="6" t="s">
        <v>1494</v>
      </c>
      <c r="K350" s="9">
        <v>2750</v>
      </c>
      <c r="L350" s="8" t="s">
        <v>3547</v>
      </c>
      <c r="M350" s="9">
        <v>601</v>
      </c>
      <c r="N350" s="6">
        <v>55.738339799999999</v>
      </c>
      <c r="O350" s="6">
        <v>12.3984329</v>
      </c>
      <c r="P350" s="6" t="s">
        <v>3548</v>
      </c>
      <c r="Q350" s="6">
        <v>6</v>
      </c>
      <c r="R350" s="6" t="s">
        <v>79</v>
      </c>
      <c r="S350" s="6">
        <v>1968</v>
      </c>
      <c r="T350" s="6">
        <v>914499968</v>
      </c>
      <c r="U350" s="6" t="s">
        <v>167</v>
      </c>
      <c r="V350" s="6">
        <v>2700</v>
      </c>
      <c r="W350" s="6" t="s">
        <v>167</v>
      </c>
      <c r="X350" s="6" t="s">
        <v>8261</v>
      </c>
      <c r="Y350" s="6" t="s">
        <v>8262</v>
      </c>
      <c r="Z350" s="6" t="s">
        <v>8263</v>
      </c>
      <c r="AA350" s="6" t="s">
        <v>8264</v>
      </c>
      <c r="AB350" s="6" t="s">
        <v>8265</v>
      </c>
      <c r="AC350" s="6">
        <v>522320</v>
      </c>
      <c r="AD350" s="10" t="str">
        <f>_xlfn.XLOOKUP(AC350,[1]Mapping!B:B,[1]Mapping!C:C,"")</f>
        <v xml:space="preserve">Financial Transactions Processing, Reserve, and Clearinghouse Activities </v>
      </c>
      <c r="AG350" s="6" t="s">
        <v>8266</v>
      </c>
      <c r="AH350" s="6" t="s">
        <v>8267</v>
      </c>
      <c r="AI350" s="6" t="s">
        <v>1050</v>
      </c>
      <c r="AJ350" s="6" t="s">
        <v>174</v>
      </c>
      <c r="AK350" s="6" t="s">
        <v>175</v>
      </c>
      <c r="AL350" s="6" t="s">
        <v>176</v>
      </c>
      <c r="AM350" s="6" t="s">
        <v>177</v>
      </c>
      <c r="AN350" s="6" t="s">
        <v>91</v>
      </c>
      <c r="AO350" s="6" t="s">
        <v>92</v>
      </c>
      <c r="AQ350" s="6">
        <v>7389</v>
      </c>
      <c r="AR350" s="6" t="s">
        <v>8176</v>
      </c>
      <c r="AT350" s="6">
        <v>6619</v>
      </c>
      <c r="AU350" s="6" t="s">
        <v>3558</v>
      </c>
      <c r="AV350" s="6">
        <v>66.19</v>
      </c>
      <c r="AW350" s="6" t="s">
        <v>3559</v>
      </c>
      <c r="AY350" s="6" t="s">
        <v>3560</v>
      </c>
      <c r="AZ350" s="6" t="s">
        <v>8268</v>
      </c>
      <c r="BA350" s="6" t="s">
        <v>3562</v>
      </c>
      <c r="BB350" s="6" t="s">
        <v>3563</v>
      </c>
      <c r="BC350" s="6" t="s">
        <v>3564</v>
      </c>
      <c r="BD350" s="6" t="s">
        <v>3565</v>
      </c>
      <c r="BE350" s="6" t="str">
        <f t="shared" si="10"/>
        <v>nets.dk</v>
      </c>
      <c r="BF350" s="6" t="str">
        <f t="shared" si="11"/>
        <v>dk</v>
      </c>
      <c r="BG350" s="6" t="s">
        <v>123</v>
      </c>
      <c r="BH350" s="6" t="s">
        <v>3566</v>
      </c>
      <c r="BI350" s="6" t="s">
        <v>3567</v>
      </c>
      <c r="BK350" s="6" t="s">
        <v>3568</v>
      </c>
      <c r="BP350" s="6" t="s">
        <v>3569</v>
      </c>
      <c r="BQ350" s="6" t="s">
        <v>3570</v>
      </c>
      <c r="BR350" s="6" t="s">
        <v>105</v>
      </c>
    </row>
    <row r="351" spans="1:70" ht="45" customHeight="1" x14ac:dyDescent="0.25">
      <c r="A351" s="6">
        <v>351</v>
      </c>
      <c r="B351" s="7" t="s">
        <v>1541</v>
      </c>
      <c r="C351" s="8" t="s">
        <v>8269</v>
      </c>
      <c r="D351" s="6" t="s">
        <v>8270</v>
      </c>
      <c r="E351" s="8" t="s">
        <v>1541</v>
      </c>
      <c r="F351" s="8" t="s">
        <v>1541</v>
      </c>
      <c r="G351" s="6" t="s">
        <v>1881</v>
      </c>
      <c r="H351" s="6" t="s">
        <v>1882</v>
      </c>
      <c r="I351" s="6" t="s">
        <v>1990</v>
      </c>
      <c r="J351" s="6" t="s">
        <v>1991</v>
      </c>
      <c r="K351" s="9" t="s">
        <v>8271</v>
      </c>
      <c r="L351" s="8" t="s">
        <v>8272</v>
      </c>
      <c r="M351" s="9">
        <v>4</v>
      </c>
      <c r="N351" s="6">
        <v>52.095568700000001</v>
      </c>
      <c r="O351" s="6">
        <v>4.2849750000000002</v>
      </c>
      <c r="P351" s="6" t="s">
        <v>8273</v>
      </c>
      <c r="Q351" s="6">
        <v>2</v>
      </c>
      <c r="R351" s="6" t="s">
        <v>79</v>
      </c>
      <c r="S351" s="6">
        <v>1997</v>
      </c>
      <c r="T351" s="12">
        <v>952580000</v>
      </c>
      <c r="V351" s="6">
        <v>193</v>
      </c>
      <c r="AC351" s="10">
        <f>_xlfn.XLOOKUP(AH351,[1]Mapping!C:C,[1]Mapping!B:B,"",1)</f>
        <v>517410</v>
      </c>
      <c r="AD351" s="10" t="s">
        <v>4438</v>
      </c>
      <c r="AE351" s="6">
        <v>517911</v>
      </c>
      <c r="AF351" s="6" t="s">
        <v>3831</v>
      </c>
      <c r="AG351" s="6" t="s">
        <v>6156</v>
      </c>
      <c r="AH351" s="6" t="s">
        <v>8274</v>
      </c>
      <c r="AI351" s="6" t="s">
        <v>1290</v>
      </c>
      <c r="AJ351" s="6" t="s">
        <v>8275</v>
      </c>
      <c r="AK351" s="6">
        <v>4899</v>
      </c>
      <c r="AL351" s="6" t="s">
        <v>6159</v>
      </c>
      <c r="AM351" s="6">
        <v>4800</v>
      </c>
      <c r="AN351" s="6" t="s">
        <v>297</v>
      </c>
      <c r="AO351" s="6">
        <v>7000</v>
      </c>
      <c r="AQ351" s="6">
        <v>4899</v>
      </c>
      <c r="AR351" s="6" t="s">
        <v>8275</v>
      </c>
      <c r="AT351" s="6">
        <v>6130</v>
      </c>
      <c r="AU351" s="6" t="s">
        <v>4442</v>
      </c>
      <c r="AV351" s="6">
        <v>61.3</v>
      </c>
      <c r="AW351" s="6" t="s">
        <v>4442</v>
      </c>
      <c r="AX351" s="6">
        <v>6100</v>
      </c>
      <c r="AY351" s="6" t="s">
        <v>8276</v>
      </c>
      <c r="AZ351" s="6">
        <v>31703225974</v>
      </c>
      <c r="BE351" s="6" t="str">
        <f t="shared" si="10"/>
        <v/>
      </c>
      <c r="BF351" s="6" t="e">
        <f t="shared" si="11"/>
        <v>#VALUE!</v>
      </c>
      <c r="BK351" s="6" t="s">
        <v>8277</v>
      </c>
      <c r="BQ351" s="6" t="s">
        <v>8278</v>
      </c>
      <c r="BR351" s="6" t="s">
        <v>105</v>
      </c>
    </row>
    <row r="352" spans="1:70" ht="45" customHeight="1" x14ac:dyDescent="0.25">
      <c r="A352" s="6">
        <v>352</v>
      </c>
      <c r="B352" s="7" t="s">
        <v>8279</v>
      </c>
      <c r="C352" s="8" t="s">
        <v>8280</v>
      </c>
      <c r="D352" s="6" t="s">
        <v>8281</v>
      </c>
      <c r="E352" s="6" t="s">
        <v>8282</v>
      </c>
      <c r="F352" s="8" t="s">
        <v>8283</v>
      </c>
      <c r="G352" s="6" t="s">
        <v>1400</v>
      </c>
      <c r="H352" s="6" t="s">
        <v>1401</v>
      </c>
      <c r="I352" s="6" t="s">
        <v>1402</v>
      </c>
      <c r="J352" s="6" t="s">
        <v>8284</v>
      </c>
      <c r="K352" s="9">
        <v>75600</v>
      </c>
      <c r="L352" s="8" t="s">
        <v>8285</v>
      </c>
      <c r="N352" s="6">
        <v>24.8257321</v>
      </c>
      <c r="O352" s="6">
        <v>67.035870799999998</v>
      </c>
      <c r="P352" s="6" t="s">
        <v>8286</v>
      </c>
      <c r="Q352" s="6">
        <v>1</v>
      </c>
      <c r="R352" s="6" t="s">
        <v>79</v>
      </c>
      <c r="T352" s="6">
        <v>388480</v>
      </c>
      <c r="U352" s="6" t="s">
        <v>80</v>
      </c>
      <c r="V352" s="6">
        <v>75</v>
      </c>
      <c r="W352" s="6" t="s">
        <v>80</v>
      </c>
      <c r="X352" s="6" t="s">
        <v>8287</v>
      </c>
      <c r="Y352" s="6" t="s">
        <v>8288</v>
      </c>
      <c r="Z352" s="6" t="s">
        <v>8289</v>
      </c>
      <c r="AA352" s="6" t="s">
        <v>8290</v>
      </c>
      <c r="AB352" s="6" t="s">
        <v>8291</v>
      </c>
      <c r="AC352" s="6">
        <v>513120</v>
      </c>
      <c r="AD352" s="10" t="str">
        <f>_xlfn.XLOOKUP(AC352,[1]Mapping!B:B,[1]Mapping!C:C,"")</f>
        <v xml:space="preserve">Periodical Publishers </v>
      </c>
      <c r="AG352" s="6" t="s">
        <v>3106</v>
      </c>
      <c r="AH352" s="6" t="s">
        <v>3106</v>
      </c>
      <c r="AI352" s="6" t="s">
        <v>1412</v>
      </c>
      <c r="AJ352" s="6" t="s">
        <v>1413</v>
      </c>
      <c r="AK352" s="6" t="s">
        <v>1414</v>
      </c>
      <c r="AL352" s="6" t="s">
        <v>502</v>
      </c>
      <c r="AM352" s="6" t="s">
        <v>503</v>
      </c>
      <c r="AN352" s="6" t="s">
        <v>297</v>
      </c>
      <c r="AO352" s="6" t="s">
        <v>298</v>
      </c>
      <c r="AQ352" s="6" t="s">
        <v>3107</v>
      </c>
      <c r="AR352" s="6" t="s">
        <v>3108</v>
      </c>
      <c r="AT352" s="6">
        <v>5813</v>
      </c>
      <c r="AU352" s="6" t="s">
        <v>3109</v>
      </c>
      <c r="AV352" s="6" t="s">
        <v>3110</v>
      </c>
      <c r="AW352" s="6" t="s">
        <v>3111</v>
      </c>
      <c r="AY352" s="6" t="s">
        <v>8292</v>
      </c>
      <c r="AZ352" s="6" t="s">
        <v>8293</v>
      </c>
      <c r="BA352" s="6" t="s">
        <v>8294</v>
      </c>
      <c r="BD352" s="6" t="s">
        <v>8295</v>
      </c>
      <c r="BE352" s="6" t="str">
        <f t="shared" si="10"/>
        <v>medicalnewspk.com</v>
      </c>
      <c r="BF352" s="6" t="str">
        <f t="shared" si="11"/>
        <v>com</v>
      </c>
      <c r="BG352" s="6" t="s">
        <v>101</v>
      </c>
      <c r="BH352" s="6" t="s">
        <v>8296</v>
      </c>
      <c r="BI352" s="6" t="s">
        <v>8297</v>
      </c>
      <c r="BJ352" s="6" t="s">
        <v>8298</v>
      </c>
      <c r="BL352" s="6" t="s">
        <v>8299</v>
      </c>
      <c r="BN352" s="6" t="s">
        <v>8300</v>
      </c>
      <c r="BQ352" s="6" t="s">
        <v>8301</v>
      </c>
      <c r="BR352" s="6" t="s">
        <v>105</v>
      </c>
    </row>
    <row r="353" spans="1:70" ht="45" customHeight="1" x14ac:dyDescent="0.25">
      <c r="A353" s="6">
        <v>353</v>
      </c>
      <c r="B353" s="7" t="s">
        <v>8302</v>
      </c>
      <c r="C353" s="8" t="s">
        <v>8303</v>
      </c>
      <c r="D353" s="6" t="s">
        <v>8304</v>
      </c>
      <c r="E353" s="8" t="s">
        <v>8305</v>
      </c>
      <c r="F353" s="8" t="s">
        <v>8305</v>
      </c>
      <c r="G353" s="6" t="s">
        <v>73</v>
      </c>
      <c r="H353" s="6" t="s">
        <v>74</v>
      </c>
      <c r="I353" s="6"/>
      <c r="J353" s="6" t="s">
        <v>486</v>
      </c>
      <c r="K353" s="9">
        <v>1253</v>
      </c>
      <c r="L353" s="8" t="s">
        <v>8306</v>
      </c>
      <c r="M353" s="9" t="s">
        <v>8307</v>
      </c>
      <c r="N353" s="6">
        <v>55.685258999999988</v>
      </c>
      <c r="O353" s="6">
        <v>12.5957799</v>
      </c>
      <c r="P353" s="6" t="s">
        <v>8308</v>
      </c>
      <c r="Q353" s="6">
        <v>1</v>
      </c>
      <c r="R353" s="6" t="s">
        <v>79</v>
      </c>
      <c r="T353" s="6"/>
      <c r="X353" s="6" t="s">
        <v>8309</v>
      </c>
      <c r="Y353" s="6" t="s">
        <v>8310</v>
      </c>
      <c r="Z353" s="6" t="s">
        <v>8311</v>
      </c>
      <c r="AA353" s="6" t="s">
        <v>8312</v>
      </c>
      <c r="AB353" s="6" t="s">
        <v>8313</v>
      </c>
      <c r="AC353" s="6">
        <v>513210</v>
      </c>
      <c r="AD353" s="10" t="str">
        <f>_xlfn.XLOOKUP(AC353,[1]Mapping!B:B,[1]Mapping!C:C,"")</f>
        <v>Software Publishers</v>
      </c>
      <c r="AG353" s="6" t="s">
        <v>8314</v>
      </c>
      <c r="AH353" s="6" t="s">
        <v>8315</v>
      </c>
      <c r="AI353" s="6" t="s">
        <v>499</v>
      </c>
      <c r="AQ353" s="6">
        <v>7372</v>
      </c>
      <c r="AR353" s="6" t="s">
        <v>2077</v>
      </c>
      <c r="AT353" s="6">
        <v>5820</v>
      </c>
      <c r="AU353" s="6" t="s">
        <v>2028</v>
      </c>
      <c r="AV353" s="6">
        <v>58.29</v>
      </c>
      <c r="AW353" s="6" t="s">
        <v>2078</v>
      </c>
      <c r="AY353" s="6" t="s">
        <v>8316</v>
      </c>
      <c r="AZ353" s="6">
        <v>4545764820</v>
      </c>
      <c r="BD353" s="6" t="s">
        <v>8317</v>
      </c>
      <c r="BE353" s="6" t="str">
        <f t="shared" si="10"/>
        <v>nexcom.dk</v>
      </c>
      <c r="BF353" s="6" t="str">
        <f t="shared" si="11"/>
        <v>dk</v>
      </c>
      <c r="BG353" s="6" t="s">
        <v>101</v>
      </c>
      <c r="BK353" s="6" t="s">
        <v>8318</v>
      </c>
      <c r="BQ353" s="6" t="s">
        <v>8319</v>
      </c>
      <c r="BR353" s="6" t="s">
        <v>105</v>
      </c>
    </row>
    <row r="354" spans="1:70" ht="45" customHeight="1" x14ac:dyDescent="0.25">
      <c r="A354" s="6">
        <v>354</v>
      </c>
      <c r="B354" s="7" t="s">
        <v>8320</v>
      </c>
      <c r="C354" s="8" t="s">
        <v>8321</v>
      </c>
      <c r="D354" s="6" t="s">
        <v>8322</v>
      </c>
      <c r="E354" s="6" t="s">
        <v>8323</v>
      </c>
      <c r="F354" s="8" t="s">
        <v>8324</v>
      </c>
      <c r="G354" s="6" t="s">
        <v>73</v>
      </c>
      <c r="H354" s="6" t="s">
        <v>74</v>
      </c>
      <c r="I354" s="6"/>
      <c r="J354" s="6" t="s">
        <v>486</v>
      </c>
      <c r="K354" s="9">
        <v>2500</v>
      </c>
      <c r="L354" s="8" t="s">
        <v>8325</v>
      </c>
      <c r="M354" s="9">
        <v>4</v>
      </c>
      <c r="N354" s="6">
        <v>55.6594932</v>
      </c>
      <c r="O354" s="6">
        <v>12.518265100000001</v>
      </c>
      <c r="P354" s="6" t="s">
        <v>8326</v>
      </c>
      <c r="Q354" s="6">
        <v>1</v>
      </c>
      <c r="R354" s="6" t="s">
        <v>79</v>
      </c>
      <c r="S354" s="6">
        <v>1964</v>
      </c>
      <c r="T354" s="6">
        <v>55949352</v>
      </c>
      <c r="U354" s="6" t="s">
        <v>80</v>
      </c>
      <c r="V354" s="6">
        <v>37</v>
      </c>
      <c r="W354" s="6" t="s">
        <v>167</v>
      </c>
      <c r="X354" s="6" t="s">
        <v>8327</v>
      </c>
      <c r="Y354" s="6" t="s">
        <v>8328</v>
      </c>
      <c r="Z354" s="6" t="s">
        <v>8329</v>
      </c>
      <c r="AA354" s="6" t="s">
        <v>8330</v>
      </c>
      <c r="AB354" s="6" t="s">
        <v>8331</v>
      </c>
      <c r="AC354" s="6">
        <v>524113</v>
      </c>
      <c r="AD354" s="10" t="str">
        <f>_xlfn.XLOOKUP(AC354,[1]Mapping!B:B,[1]Mapping!C:C,"")</f>
        <v xml:space="preserve">Direct Life Insurance Carriers </v>
      </c>
      <c r="AG354" s="6" t="s">
        <v>760</v>
      </c>
      <c r="AH354" s="6" t="s">
        <v>761</v>
      </c>
      <c r="AI354" s="6" t="s">
        <v>119</v>
      </c>
      <c r="AJ354" s="6" t="s">
        <v>761</v>
      </c>
      <c r="AK354" s="6" t="s">
        <v>762</v>
      </c>
      <c r="AL354" s="6" t="s">
        <v>761</v>
      </c>
      <c r="AM354" s="6" t="s">
        <v>763</v>
      </c>
      <c r="AN354" s="6" t="s">
        <v>764</v>
      </c>
      <c r="AO354" s="6" t="s">
        <v>765</v>
      </c>
      <c r="AQ354" s="6" t="s">
        <v>766</v>
      </c>
      <c r="AR354" s="6" t="s">
        <v>767</v>
      </c>
      <c r="AT354" s="6">
        <v>6511</v>
      </c>
      <c r="AU354" s="6" t="s">
        <v>769</v>
      </c>
      <c r="AV354" s="6">
        <v>65.11</v>
      </c>
      <c r="AW354" s="6" t="s">
        <v>769</v>
      </c>
      <c r="AY354" s="6" t="s">
        <v>8332</v>
      </c>
      <c r="AZ354" s="6" t="s">
        <v>8333</v>
      </c>
      <c r="BA354" s="6" t="s">
        <v>8334</v>
      </c>
      <c r="BB354" s="6" t="s">
        <v>8335</v>
      </c>
      <c r="BC354" s="6" t="s">
        <v>8336</v>
      </c>
      <c r="BD354" s="6" t="s">
        <v>8337</v>
      </c>
      <c r="BE354" s="6" t="str">
        <f t="shared" si="10"/>
        <v>noitso.dk</v>
      </c>
      <c r="BF354" s="6" t="str">
        <f t="shared" si="11"/>
        <v>dk</v>
      </c>
      <c r="BG354" s="6" t="s">
        <v>123</v>
      </c>
      <c r="BK354" s="6" t="s">
        <v>8338</v>
      </c>
      <c r="BP354" s="6" t="s">
        <v>8339</v>
      </c>
      <c r="BQ354" s="6" t="s">
        <v>8340</v>
      </c>
      <c r="BR354" s="6" t="s">
        <v>105</v>
      </c>
    </row>
    <row r="355" spans="1:70" ht="45" customHeight="1" x14ac:dyDescent="0.25">
      <c r="A355" s="6">
        <v>355</v>
      </c>
      <c r="B355" s="7" t="s">
        <v>8341</v>
      </c>
      <c r="C355" s="8" t="s">
        <v>8342</v>
      </c>
      <c r="D355" s="6" t="s">
        <v>6219</v>
      </c>
      <c r="E355" s="8" t="s">
        <v>8341</v>
      </c>
      <c r="F355" s="8" t="s">
        <v>8343</v>
      </c>
      <c r="G355" s="6" t="s">
        <v>243</v>
      </c>
      <c r="H355" s="6" t="s">
        <v>244</v>
      </c>
      <c r="I355" s="8" t="s">
        <v>245</v>
      </c>
      <c r="J355" s="6" t="s">
        <v>8344</v>
      </c>
      <c r="K355" s="9">
        <v>2610</v>
      </c>
      <c r="L355" s="8" t="s">
        <v>8345</v>
      </c>
      <c r="M355" s="9">
        <v>7</v>
      </c>
      <c r="N355" s="6">
        <v>60.221740999999987</v>
      </c>
      <c r="O355" s="6">
        <v>24.756099299999999</v>
      </c>
      <c r="P355" s="6" t="s">
        <v>8346</v>
      </c>
      <c r="Q355" s="6">
        <v>1</v>
      </c>
      <c r="R355" s="6" t="s">
        <v>79</v>
      </c>
      <c r="S355" s="6">
        <v>1995</v>
      </c>
      <c r="T355" s="6">
        <v>30000000</v>
      </c>
      <c r="U355" s="6" t="s">
        <v>167</v>
      </c>
      <c r="V355" s="6">
        <v>75</v>
      </c>
      <c r="W355" s="6" t="s">
        <v>80</v>
      </c>
      <c r="X355" s="6" t="s">
        <v>8347</v>
      </c>
      <c r="Y355" s="6" t="s">
        <v>8348</v>
      </c>
      <c r="Z355" s="6" t="s">
        <v>8349</v>
      </c>
      <c r="AA355" s="6" t="s">
        <v>8350</v>
      </c>
      <c r="AB355" s="6" t="s">
        <v>8351</v>
      </c>
      <c r="AC355" s="6">
        <v>541512</v>
      </c>
      <c r="AD355" s="10" t="str">
        <f>_xlfn.XLOOKUP(AC355,[1]Mapping!B:B,[1]Mapping!C:C,"")</f>
        <v xml:space="preserve">Computer Systems Design Services </v>
      </c>
      <c r="AE355" s="6">
        <v>517919</v>
      </c>
      <c r="AF355" s="6" t="s">
        <v>2376</v>
      </c>
      <c r="AG355" s="6" t="s">
        <v>8352</v>
      </c>
      <c r="AH355" s="6" t="s">
        <v>8353</v>
      </c>
      <c r="AI355" s="6" t="s">
        <v>499</v>
      </c>
      <c r="AJ355" s="6" t="s">
        <v>86</v>
      </c>
      <c r="AK355" s="6" t="s">
        <v>88</v>
      </c>
      <c r="AL355" s="6" t="s">
        <v>89</v>
      </c>
      <c r="AM355" s="6" t="s">
        <v>90</v>
      </c>
      <c r="AN355" s="6" t="s">
        <v>91</v>
      </c>
      <c r="AO355" s="6" t="s">
        <v>92</v>
      </c>
      <c r="AQ355" s="6">
        <v>7373</v>
      </c>
      <c r="AR355" s="6" t="s">
        <v>2820</v>
      </c>
      <c r="AT355" s="6">
        <v>6202</v>
      </c>
      <c r="AU355" s="6" t="s">
        <v>2822</v>
      </c>
      <c r="AV355" s="6">
        <v>62.02</v>
      </c>
      <c r="AW355" s="6" t="s">
        <v>2822</v>
      </c>
      <c r="AY355" s="6" t="s">
        <v>8354</v>
      </c>
      <c r="AZ355" s="6">
        <v>3587500000000</v>
      </c>
      <c r="BA355" s="6" t="s">
        <v>8355</v>
      </c>
      <c r="BD355" s="6" t="s">
        <v>8356</v>
      </c>
      <c r="BE355" s="6" t="str">
        <f t="shared" si="10"/>
        <v>nokia.com</v>
      </c>
      <c r="BF355" s="6" t="str">
        <f t="shared" si="11"/>
        <v>com</v>
      </c>
      <c r="BG355" s="6" t="s">
        <v>101</v>
      </c>
      <c r="BH355" s="6" t="s">
        <v>8357</v>
      </c>
      <c r="BI355" s="6" t="s">
        <v>8358</v>
      </c>
      <c r="BK355" s="6" t="s">
        <v>8359</v>
      </c>
      <c r="BP355" s="6" t="s">
        <v>8360</v>
      </c>
      <c r="BQ355" s="6" t="s">
        <v>8361</v>
      </c>
      <c r="BR355" s="6" t="s">
        <v>105</v>
      </c>
    </row>
    <row r="356" spans="1:70" ht="45" customHeight="1" x14ac:dyDescent="0.25">
      <c r="A356" s="6">
        <v>356</v>
      </c>
      <c r="B356" s="7" t="s">
        <v>8362</v>
      </c>
      <c r="C356" s="8" t="s">
        <v>8363</v>
      </c>
      <c r="D356" s="6" t="s">
        <v>8364</v>
      </c>
      <c r="E356" s="8" t="s">
        <v>8362</v>
      </c>
      <c r="F356" s="8" t="s">
        <v>8365</v>
      </c>
      <c r="G356" s="6" t="s">
        <v>612</v>
      </c>
      <c r="H356" s="6" t="s">
        <v>613</v>
      </c>
      <c r="I356" s="8" t="s">
        <v>1305</v>
      </c>
      <c r="J356" s="6" t="s">
        <v>752</v>
      </c>
      <c r="K356" s="9">
        <v>59200</v>
      </c>
      <c r="L356" s="8" t="s">
        <v>5502</v>
      </c>
      <c r="M356" s="9">
        <v>8</v>
      </c>
      <c r="N356" s="6">
        <v>3.1173535999999999</v>
      </c>
      <c r="O356" s="6">
        <v>101.6752498</v>
      </c>
      <c r="P356" s="6" t="s">
        <v>8366</v>
      </c>
      <c r="Q356" s="6">
        <v>1</v>
      </c>
      <c r="R356" s="6" t="s">
        <v>79</v>
      </c>
      <c r="S356" s="6">
        <v>2016</v>
      </c>
      <c r="T356" s="6">
        <v>1982959</v>
      </c>
      <c r="U356" s="6" t="s">
        <v>80</v>
      </c>
      <c r="V356" s="6">
        <v>75</v>
      </c>
      <c r="W356" s="6" t="s">
        <v>80</v>
      </c>
      <c r="X356" s="6" t="s">
        <v>8367</v>
      </c>
      <c r="Y356" s="6" t="s">
        <v>8368</v>
      </c>
      <c r="Z356" s="6" t="s">
        <v>8369</v>
      </c>
      <c r="AA356" s="6" t="s">
        <v>8370</v>
      </c>
      <c r="AB356" s="6" t="s">
        <v>8371</v>
      </c>
      <c r="AC356" s="6">
        <v>611710</v>
      </c>
      <c r="AD356" s="10" t="str">
        <f>_xlfn.XLOOKUP(AC356,[1]Mapping!B:B,[1]Mapping!C:C,"")</f>
        <v>Educational Support Services</v>
      </c>
      <c r="AG356" s="6" t="s">
        <v>8372</v>
      </c>
      <c r="AH356" s="6" t="s">
        <v>1669</v>
      </c>
      <c r="AI356" s="6" t="s">
        <v>942</v>
      </c>
      <c r="AJ356" s="6" t="s">
        <v>942</v>
      </c>
      <c r="AK356" s="6" t="s">
        <v>2921</v>
      </c>
      <c r="AL356" s="6" t="s">
        <v>295</v>
      </c>
      <c r="AM356" s="6" t="s">
        <v>296</v>
      </c>
      <c r="AN356" s="6" t="s">
        <v>297</v>
      </c>
      <c r="AO356" s="6" t="s">
        <v>298</v>
      </c>
      <c r="AQ356" s="6" t="s">
        <v>8373</v>
      </c>
      <c r="AR356" s="6" t="s">
        <v>8374</v>
      </c>
      <c r="AT356" s="6">
        <v>8550</v>
      </c>
      <c r="AU356" s="6" t="s">
        <v>8375</v>
      </c>
      <c r="AV356" s="6">
        <v>85.6</v>
      </c>
      <c r="AW356" s="6" t="s">
        <v>8376</v>
      </c>
      <c r="AY356" s="6" t="s">
        <v>8377</v>
      </c>
      <c r="AZ356" s="6" t="s">
        <v>8378</v>
      </c>
      <c r="BA356" s="6" t="s">
        <v>8379</v>
      </c>
      <c r="BB356" s="6" t="s">
        <v>8379</v>
      </c>
      <c r="BD356" s="6" t="s">
        <v>8380</v>
      </c>
      <c r="BE356" s="6" t="str">
        <f t="shared" si="10"/>
        <v>networks.nokia.com</v>
      </c>
      <c r="BF356" s="6" t="str">
        <f t="shared" si="11"/>
        <v>com</v>
      </c>
      <c r="BG356" s="6" t="s">
        <v>8381</v>
      </c>
      <c r="BH356" s="6" t="s">
        <v>8382</v>
      </c>
      <c r="BJ356" s="6" t="s">
        <v>8383</v>
      </c>
      <c r="BN356" s="6" t="s">
        <v>8384</v>
      </c>
      <c r="BP356" s="6" t="s">
        <v>8385</v>
      </c>
      <c r="BQ356" s="6" t="s">
        <v>8386</v>
      </c>
      <c r="BR356" s="6" t="s">
        <v>105</v>
      </c>
    </row>
    <row r="357" spans="1:70" ht="45" customHeight="1" x14ac:dyDescent="0.25">
      <c r="A357" s="6">
        <v>357</v>
      </c>
      <c r="B357" s="7" t="s">
        <v>8387</v>
      </c>
      <c r="C357" s="8" t="s">
        <v>8388</v>
      </c>
      <c r="D357" s="6" t="s">
        <v>8389</v>
      </c>
      <c r="E357" s="8" t="s">
        <v>8387</v>
      </c>
      <c r="F357" s="8" t="s">
        <v>8390</v>
      </c>
      <c r="G357" s="6" t="s">
        <v>130</v>
      </c>
      <c r="H357" s="6" t="s">
        <v>131</v>
      </c>
      <c r="I357" s="8" t="s">
        <v>2572</v>
      </c>
      <c r="J357" s="6" t="s">
        <v>4300</v>
      </c>
      <c r="K357" s="9">
        <v>1364</v>
      </c>
      <c r="L357" s="8" t="s">
        <v>8391</v>
      </c>
      <c r="M357" s="9">
        <v>25</v>
      </c>
      <c r="N357" s="6">
        <v>59.895234199999997</v>
      </c>
      <c r="O357" s="6">
        <v>10.627777999999999</v>
      </c>
      <c r="P357" s="6" t="s">
        <v>8392</v>
      </c>
      <c r="Q357" s="6">
        <v>2</v>
      </c>
      <c r="R357" s="6" t="s">
        <v>79</v>
      </c>
      <c r="S357" s="6">
        <v>1999</v>
      </c>
      <c r="T357" s="6">
        <v>24046186</v>
      </c>
      <c r="U357" s="6" t="s">
        <v>80</v>
      </c>
      <c r="V357" s="6">
        <v>13</v>
      </c>
      <c r="W357" s="6" t="s">
        <v>167</v>
      </c>
      <c r="X357" s="6" t="s">
        <v>8393</v>
      </c>
      <c r="Y357" s="6" t="s">
        <v>8394</v>
      </c>
      <c r="Z357" s="6" t="s">
        <v>8395</v>
      </c>
      <c r="AA357" s="6" t="s">
        <v>8396</v>
      </c>
      <c r="AB357" s="6" t="s">
        <v>8397</v>
      </c>
      <c r="AC357" s="6">
        <v>325199</v>
      </c>
      <c r="AD357" s="10" t="str">
        <f>_xlfn.XLOOKUP(AC357,[1]Mapping!B:B,[1]Mapping!C:C,"")</f>
        <v xml:space="preserve">All Other Basic Organic Chemical Manufacturing </v>
      </c>
      <c r="AG357" s="6" t="s">
        <v>4319</v>
      </c>
      <c r="AH357" s="6" t="s">
        <v>8398</v>
      </c>
      <c r="AI357" s="6" t="s">
        <v>8399</v>
      </c>
      <c r="AJ357" s="6" t="s">
        <v>4319</v>
      </c>
      <c r="AK357" s="6" t="s">
        <v>4320</v>
      </c>
      <c r="AL357" s="6" t="s">
        <v>4319</v>
      </c>
      <c r="AM357" s="6" t="s">
        <v>4321</v>
      </c>
      <c r="AN357" s="6" t="s">
        <v>436</v>
      </c>
      <c r="AO357" s="6" t="s">
        <v>437</v>
      </c>
      <c r="AQ357" s="6" t="s">
        <v>8400</v>
      </c>
      <c r="AR357" s="6" t="s">
        <v>8401</v>
      </c>
      <c r="AS357" s="6" t="s">
        <v>8402</v>
      </c>
      <c r="AT357" s="6" t="s">
        <v>8403</v>
      </c>
      <c r="AU357" s="6" t="s">
        <v>8404</v>
      </c>
      <c r="AV357" s="6" t="s">
        <v>8405</v>
      </c>
      <c r="AW357" s="6" t="s">
        <v>8406</v>
      </c>
      <c r="AX357" s="6" t="s">
        <v>8407</v>
      </c>
      <c r="AY357" s="6" t="s">
        <v>8408</v>
      </c>
      <c r="AZ357" s="6">
        <v>4721080740</v>
      </c>
      <c r="BA357" s="6" t="s">
        <v>8409</v>
      </c>
      <c r="BD357" s="6" t="s">
        <v>8410</v>
      </c>
      <c r="BE357" s="6" t="str">
        <f t="shared" si="10"/>
        <v>nokia.com</v>
      </c>
      <c r="BF357" s="6" t="str">
        <f t="shared" si="11"/>
        <v>com</v>
      </c>
      <c r="BG357" s="6" t="s">
        <v>101</v>
      </c>
      <c r="BH357" s="6" t="s">
        <v>8411</v>
      </c>
      <c r="BK357" s="6" t="s">
        <v>8412</v>
      </c>
      <c r="BP357" s="6" t="s">
        <v>8413</v>
      </c>
      <c r="BQ357" s="6" t="s">
        <v>8414</v>
      </c>
      <c r="BR357" s="6" t="s">
        <v>105</v>
      </c>
    </row>
    <row r="358" spans="1:70" ht="45" customHeight="1" x14ac:dyDescent="0.25">
      <c r="A358" s="6">
        <v>358</v>
      </c>
      <c r="B358" s="7" t="s">
        <v>8415</v>
      </c>
      <c r="C358" s="8" t="s">
        <v>8416</v>
      </c>
      <c r="D358" s="6" t="s">
        <v>6219</v>
      </c>
      <c r="E358" s="6" t="s">
        <v>639</v>
      </c>
      <c r="F358" s="8" t="s">
        <v>8417</v>
      </c>
      <c r="G358" s="6" t="s">
        <v>243</v>
      </c>
      <c r="H358" s="6" t="s">
        <v>244</v>
      </c>
      <c r="I358" s="6" t="s">
        <v>245</v>
      </c>
      <c r="J358" s="6" t="s">
        <v>8344</v>
      </c>
      <c r="K358" s="9">
        <v>2610</v>
      </c>
      <c r="L358" s="8" t="s">
        <v>8345</v>
      </c>
      <c r="M358" s="9">
        <v>7</v>
      </c>
      <c r="N358" s="6">
        <v>60.221740999999987</v>
      </c>
      <c r="O358" s="6">
        <v>24.756099299999999</v>
      </c>
      <c r="P358" s="6" t="s">
        <v>8418</v>
      </c>
      <c r="Q358" s="6">
        <v>1</v>
      </c>
      <c r="R358" s="6" t="s">
        <v>79</v>
      </c>
      <c r="S358" s="6">
        <v>2006</v>
      </c>
      <c r="X358" s="6" t="s">
        <v>8419</v>
      </c>
      <c r="Z358" s="6" t="s">
        <v>8420</v>
      </c>
      <c r="AA358" s="6" t="s">
        <v>8420</v>
      </c>
      <c r="AC358" s="10">
        <f>_xlfn.XLOOKUP(AH358,[1]Mapping!C:C,[1]Mapping!B:B,"",1)</f>
        <v>44111</v>
      </c>
      <c r="AD358" s="10" t="s">
        <v>2510</v>
      </c>
      <c r="AE358" s="6">
        <v>334210</v>
      </c>
      <c r="AF358" s="6" t="s">
        <v>6227</v>
      </c>
      <c r="AG358" s="6" t="s">
        <v>6156</v>
      </c>
      <c r="AH358" s="6" t="s">
        <v>8421</v>
      </c>
      <c r="AI358" s="6" t="s">
        <v>1290</v>
      </c>
      <c r="AJ358" s="6" t="s">
        <v>6229</v>
      </c>
      <c r="AK358" s="6">
        <v>3669</v>
      </c>
      <c r="AL358" s="6" t="s">
        <v>8422</v>
      </c>
      <c r="AM358" s="6">
        <v>3600</v>
      </c>
      <c r="AN358" s="6" t="s">
        <v>176</v>
      </c>
      <c r="AO358" s="6">
        <v>4500</v>
      </c>
      <c r="AQ358" s="6">
        <v>3669</v>
      </c>
      <c r="AR358" s="6" t="s">
        <v>6229</v>
      </c>
      <c r="AT358" s="6">
        <v>2630</v>
      </c>
      <c r="AU358" s="6" t="s">
        <v>2684</v>
      </c>
      <c r="AV358" s="6">
        <v>26.3</v>
      </c>
      <c r="AW358" s="6" t="s">
        <v>2684</v>
      </c>
      <c r="AX358" s="6">
        <v>2600</v>
      </c>
      <c r="AY358" s="6" t="s">
        <v>8354</v>
      </c>
      <c r="AZ358" s="6">
        <v>358714000000</v>
      </c>
      <c r="BD358" s="6" t="s">
        <v>8356</v>
      </c>
      <c r="BE358" s="6" t="str">
        <f t="shared" si="10"/>
        <v>nokia.com</v>
      </c>
      <c r="BF358" s="6" t="str">
        <f t="shared" si="11"/>
        <v>com</v>
      </c>
      <c r="BG358" s="6" t="s">
        <v>101</v>
      </c>
      <c r="BH358" s="6" t="s">
        <v>8423</v>
      </c>
      <c r="BQ358" s="6" t="s">
        <v>8424</v>
      </c>
      <c r="BR358" s="6" t="s">
        <v>105</v>
      </c>
    </row>
    <row r="359" spans="1:70" ht="45" customHeight="1" x14ac:dyDescent="0.25">
      <c r="A359" s="6">
        <v>359</v>
      </c>
      <c r="B359" s="7" t="s">
        <v>8425</v>
      </c>
      <c r="C359" s="8" t="s">
        <v>8426</v>
      </c>
      <c r="D359" s="6" t="s">
        <v>8427</v>
      </c>
      <c r="E359" s="6" t="s">
        <v>8428</v>
      </c>
      <c r="F359" s="8" t="s">
        <v>8429</v>
      </c>
      <c r="G359" s="6" t="s">
        <v>130</v>
      </c>
      <c r="H359" s="6" t="s">
        <v>131</v>
      </c>
      <c r="I359" s="6" t="s">
        <v>132</v>
      </c>
      <c r="J359" s="6" t="s">
        <v>132</v>
      </c>
      <c r="K359" s="9">
        <v>368</v>
      </c>
      <c r="L359" s="8" t="s">
        <v>5390</v>
      </c>
      <c r="M359" s="9">
        <v>7</v>
      </c>
      <c r="N359" s="6">
        <v>59.929227900000001</v>
      </c>
      <c r="O359" s="6">
        <v>10.7108943</v>
      </c>
      <c r="P359" s="6" t="s">
        <v>8430</v>
      </c>
      <c r="Q359" s="6">
        <v>1</v>
      </c>
      <c r="R359" s="6" t="s">
        <v>79</v>
      </c>
      <c r="S359" s="6">
        <v>2000</v>
      </c>
      <c r="T359" s="6">
        <v>19219092</v>
      </c>
      <c r="U359" s="6" t="s">
        <v>80</v>
      </c>
      <c r="V359" s="6">
        <v>41</v>
      </c>
      <c r="W359" s="6" t="s">
        <v>167</v>
      </c>
      <c r="X359" s="6" t="s">
        <v>8431</v>
      </c>
      <c r="Y359" s="6" t="s">
        <v>8432</v>
      </c>
      <c r="Z359" s="6" t="s">
        <v>8433</v>
      </c>
      <c r="AA359" s="6" t="s">
        <v>8434</v>
      </c>
      <c r="AB359" s="6" t="s">
        <v>8435</v>
      </c>
      <c r="AC359" s="6">
        <v>522110</v>
      </c>
      <c r="AD359" s="10" t="str">
        <f>_xlfn.XLOOKUP(AC359,[1]Mapping!B:B,[1]Mapping!C:C,"")</f>
        <v xml:space="preserve">Commercial Banking </v>
      </c>
      <c r="AG359" s="6" t="s">
        <v>8436</v>
      </c>
      <c r="AH359" s="6" t="s">
        <v>8437</v>
      </c>
      <c r="AI359" s="6" t="s">
        <v>1050</v>
      </c>
      <c r="AJ359" s="6" t="s">
        <v>3200</v>
      </c>
      <c r="AK359" s="6" t="s">
        <v>3201</v>
      </c>
      <c r="AL359" s="6" t="s">
        <v>3202</v>
      </c>
      <c r="AM359" s="6" t="s">
        <v>3203</v>
      </c>
      <c r="AN359" s="6" t="s">
        <v>764</v>
      </c>
      <c r="AO359" s="6" t="s">
        <v>765</v>
      </c>
      <c r="AQ359" s="6">
        <v>6029</v>
      </c>
      <c r="AR359" s="6" t="s">
        <v>8438</v>
      </c>
      <c r="AT359" s="6">
        <v>6419</v>
      </c>
      <c r="AU359" s="6" t="s">
        <v>1053</v>
      </c>
      <c r="AV359" s="6">
        <v>64.19</v>
      </c>
      <c r="AW359" s="6" t="s">
        <v>1053</v>
      </c>
      <c r="AY359" s="6" t="s">
        <v>8439</v>
      </c>
      <c r="AZ359" s="6" t="s">
        <v>8440</v>
      </c>
      <c r="BA359" s="6" t="s">
        <v>8441</v>
      </c>
      <c r="BD359" s="6" t="s">
        <v>8442</v>
      </c>
      <c r="BE359" s="6" t="str">
        <f t="shared" si="10"/>
        <v>nordea.no</v>
      </c>
      <c r="BF359" s="6" t="str">
        <f t="shared" si="11"/>
        <v>no</v>
      </c>
      <c r="BG359" s="6" t="s">
        <v>150</v>
      </c>
      <c r="BH359" s="6" t="s">
        <v>8443</v>
      </c>
      <c r="BI359" s="6" t="s">
        <v>8444</v>
      </c>
      <c r="BK359" s="6" t="s">
        <v>8445</v>
      </c>
      <c r="BQ359" s="6" t="s">
        <v>8446</v>
      </c>
      <c r="BR359" s="6" t="s">
        <v>105</v>
      </c>
    </row>
    <row r="360" spans="1:70" ht="45" customHeight="1" x14ac:dyDescent="0.25">
      <c r="A360" s="6">
        <v>360</v>
      </c>
      <c r="B360" s="7" t="s">
        <v>8447</v>
      </c>
      <c r="C360" s="8" t="s">
        <v>8448</v>
      </c>
      <c r="D360" s="6" t="s">
        <v>8449</v>
      </c>
      <c r="E360" s="6" t="s">
        <v>8450</v>
      </c>
      <c r="F360" s="8" t="s">
        <v>8451</v>
      </c>
      <c r="G360" s="6" t="s">
        <v>73</v>
      </c>
      <c r="H360" s="6" t="s">
        <v>74</v>
      </c>
      <c r="I360" s="6"/>
      <c r="J360" s="6" t="s">
        <v>1636</v>
      </c>
      <c r="K360" s="9">
        <v>9400</v>
      </c>
      <c r="L360" s="8" t="s">
        <v>7365</v>
      </c>
      <c r="M360" s="9">
        <v>2</v>
      </c>
      <c r="N360" s="6">
        <v>57.084789299999997</v>
      </c>
      <c r="O360" s="6">
        <v>9.9609899999999989</v>
      </c>
      <c r="P360" s="6" t="s">
        <v>8452</v>
      </c>
      <c r="Q360" s="6">
        <v>5</v>
      </c>
      <c r="R360" s="6" t="s">
        <v>79</v>
      </c>
      <c r="S360" s="6">
        <v>1979</v>
      </c>
      <c r="T360" s="6"/>
      <c r="X360" s="6" t="s">
        <v>8453</v>
      </c>
      <c r="Y360" s="6" t="s">
        <v>8454</v>
      </c>
      <c r="Z360" s="6" t="s">
        <v>8455</v>
      </c>
      <c r="AA360" s="6" t="s">
        <v>8456</v>
      </c>
      <c r="AB360" s="6" t="s">
        <v>8457</v>
      </c>
      <c r="AC360" s="6">
        <v>423430</v>
      </c>
      <c r="AD360" s="10" t="str">
        <f>_xlfn.XLOOKUP(AC360,[1]Mapping!B:B,[1]Mapping!C:C,"")</f>
        <v xml:space="preserve">Computer and Computer Peripheral Equipment and Software Merchant Wholesalers </v>
      </c>
      <c r="AE360" s="6">
        <v>811212</v>
      </c>
      <c r="AF360" s="6" t="s">
        <v>8458</v>
      </c>
      <c r="AG360" s="6" t="s">
        <v>8459</v>
      </c>
      <c r="AH360" s="6" t="s">
        <v>8460</v>
      </c>
      <c r="AI360" s="6" t="s">
        <v>499</v>
      </c>
      <c r="AJ360" s="6" t="s">
        <v>1502</v>
      </c>
      <c r="AK360" s="6" t="s">
        <v>1503</v>
      </c>
      <c r="AL360" s="6" t="s">
        <v>176</v>
      </c>
      <c r="AM360" s="6" t="s">
        <v>177</v>
      </c>
      <c r="AN360" s="6" t="s">
        <v>91</v>
      </c>
      <c r="AO360" s="6" t="s">
        <v>92</v>
      </c>
      <c r="AQ360" s="6">
        <v>5045</v>
      </c>
      <c r="AR360" s="6" t="s">
        <v>1294</v>
      </c>
      <c r="AT360" s="6">
        <v>4651</v>
      </c>
      <c r="AU360" s="6" t="s">
        <v>1296</v>
      </c>
      <c r="AV360" s="6">
        <v>46.51</v>
      </c>
      <c r="AW360" s="6" t="s">
        <v>1296</v>
      </c>
      <c r="AY360" s="6" t="s">
        <v>8461</v>
      </c>
      <c r="AZ360" s="6" t="s">
        <v>8462</v>
      </c>
      <c r="BA360" s="6" t="s">
        <v>8463</v>
      </c>
      <c r="BB360" s="6" t="s">
        <v>8463</v>
      </c>
      <c r="BC360" s="6" t="s">
        <v>8464</v>
      </c>
      <c r="BD360" s="6" t="s">
        <v>8465</v>
      </c>
      <c r="BE360" s="6" t="str">
        <f t="shared" si="10"/>
        <v>nordiccomputer.com</v>
      </c>
      <c r="BF360" s="6" t="str">
        <f t="shared" si="11"/>
        <v>com</v>
      </c>
      <c r="BG360" s="6" t="s">
        <v>123</v>
      </c>
      <c r="BH360" s="6" t="s">
        <v>8466</v>
      </c>
      <c r="BJ360" s="6" t="s">
        <v>8467</v>
      </c>
      <c r="BK360" s="6" t="s">
        <v>8468</v>
      </c>
      <c r="BN360" s="6" t="s">
        <v>8469</v>
      </c>
      <c r="BP360" s="6" t="s">
        <v>8470</v>
      </c>
      <c r="BQ360" s="6" t="s">
        <v>8471</v>
      </c>
      <c r="BR360" s="6" t="s">
        <v>105</v>
      </c>
    </row>
    <row r="361" spans="1:70" ht="45" customHeight="1" x14ac:dyDescent="0.25">
      <c r="A361" s="6">
        <v>361</v>
      </c>
      <c r="B361" s="7" t="s">
        <v>8472</v>
      </c>
      <c r="C361" s="8" t="s">
        <v>8473</v>
      </c>
      <c r="D361" s="6" t="s">
        <v>8474</v>
      </c>
      <c r="E361" s="8" t="s">
        <v>8472</v>
      </c>
      <c r="F361" s="8" t="s">
        <v>8475</v>
      </c>
      <c r="G361" s="6" t="s">
        <v>130</v>
      </c>
      <c r="H361" s="6" t="s">
        <v>131</v>
      </c>
      <c r="I361" s="8" t="s">
        <v>8476</v>
      </c>
      <c r="J361" s="6" t="s">
        <v>8477</v>
      </c>
      <c r="K361" s="9">
        <v>9019</v>
      </c>
      <c r="L361" s="8" t="s">
        <v>8478</v>
      </c>
      <c r="M361" s="9">
        <v>23</v>
      </c>
      <c r="N361" s="6">
        <v>69.681482700000004</v>
      </c>
      <c r="O361" s="6">
        <v>18.987591800000001</v>
      </c>
      <c r="P361" s="6" t="s">
        <v>8479</v>
      </c>
      <c r="Q361" s="6">
        <v>1</v>
      </c>
      <c r="R361" s="6" t="s">
        <v>79</v>
      </c>
      <c r="T361" s="6">
        <v>16446053</v>
      </c>
      <c r="U361" s="6" t="s">
        <v>80</v>
      </c>
      <c r="V361" s="6">
        <v>24</v>
      </c>
      <c r="W361" s="6" t="s">
        <v>167</v>
      </c>
      <c r="X361" s="6" t="s">
        <v>8480</v>
      </c>
      <c r="Y361" s="6" t="s">
        <v>8481</v>
      </c>
      <c r="Z361" s="6" t="s">
        <v>8482</v>
      </c>
      <c r="AA361" s="6" t="s">
        <v>8483</v>
      </c>
      <c r="AB361" s="6" t="s">
        <v>8484</v>
      </c>
      <c r="AC361" s="6">
        <v>517111</v>
      </c>
      <c r="AD361" s="10" t="str">
        <f>_xlfn.XLOOKUP(AC361,[1]Mapping!B:B,[1]Mapping!C:C,"")</f>
        <v xml:space="preserve">Wired Telecommunications Carriers </v>
      </c>
      <c r="AG361" s="6" t="s">
        <v>8485</v>
      </c>
      <c r="AH361" s="6" t="s">
        <v>8486</v>
      </c>
      <c r="AI361" s="6" t="s">
        <v>89</v>
      </c>
      <c r="AJ361" s="6" t="s">
        <v>86</v>
      </c>
      <c r="AK361" s="6" t="s">
        <v>88</v>
      </c>
      <c r="AL361" s="6" t="s">
        <v>89</v>
      </c>
      <c r="AM361" s="6" t="s">
        <v>90</v>
      </c>
      <c r="AN361" s="6" t="s">
        <v>91</v>
      </c>
      <c r="AO361" s="6" t="s">
        <v>92</v>
      </c>
      <c r="AQ361" s="6">
        <v>4813</v>
      </c>
      <c r="AR361" s="6" t="s">
        <v>2296</v>
      </c>
      <c r="AT361" s="6">
        <v>6110</v>
      </c>
      <c r="AU361" s="6" t="s">
        <v>2297</v>
      </c>
      <c r="AV361" s="6">
        <v>61.1</v>
      </c>
      <c r="AW361" s="6" t="s">
        <v>2297</v>
      </c>
      <c r="AY361" s="6" t="s">
        <v>8487</v>
      </c>
      <c r="AZ361" s="6">
        <v>4777662600</v>
      </c>
      <c r="BA361" s="6" t="s">
        <v>8488</v>
      </c>
      <c r="BD361" s="6" t="s">
        <v>8489</v>
      </c>
      <c r="BE361" s="6" t="str">
        <f t="shared" si="10"/>
        <v>nordix.no</v>
      </c>
      <c r="BF361" s="6" t="str">
        <f t="shared" si="11"/>
        <v>no</v>
      </c>
      <c r="BG361" s="6" t="s">
        <v>150</v>
      </c>
      <c r="BH361" s="6" t="s">
        <v>8490</v>
      </c>
      <c r="BP361" s="6" t="s">
        <v>8491</v>
      </c>
      <c r="BQ361" s="6" t="s">
        <v>8492</v>
      </c>
      <c r="BR361" s="6" t="s">
        <v>105</v>
      </c>
    </row>
    <row r="362" spans="1:70" ht="45" customHeight="1" x14ac:dyDescent="0.25">
      <c r="A362" s="6">
        <v>362</v>
      </c>
      <c r="B362" s="7" t="s">
        <v>8493</v>
      </c>
      <c r="C362" s="8" t="s">
        <v>8494</v>
      </c>
      <c r="D362" s="6" t="s">
        <v>8495</v>
      </c>
      <c r="E362" s="8" t="s">
        <v>8493</v>
      </c>
      <c r="F362" s="8" t="s">
        <v>8496</v>
      </c>
      <c r="G362" s="6" t="s">
        <v>73</v>
      </c>
      <c r="H362" s="6" t="s">
        <v>74</v>
      </c>
      <c r="J362" s="6" t="s">
        <v>8497</v>
      </c>
      <c r="K362" s="9">
        <v>2950</v>
      </c>
      <c r="L362" s="8" t="s">
        <v>8498</v>
      </c>
      <c r="M362" s="9">
        <v>5</v>
      </c>
      <c r="N362" s="6">
        <v>55.837380000000003</v>
      </c>
      <c r="O362" s="6">
        <v>12.532804</v>
      </c>
      <c r="P362" s="6" t="s">
        <v>8499</v>
      </c>
      <c r="Q362" s="6">
        <v>1</v>
      </c>
      <c r="R362" s="6" t="s">
        <v>79</v>
      </c>
      <c r="T362" s="6">
        <v>8990997</v>
      </c>
      <c r="U362" s="6" t="s">
        <v>80</v>
      </c>
      <c r="V362" s="6">
        <v>30</v>
      </c>
      <c r="W362" s="6" t="s">
        <v>80</v>
      </c>
      <c r="X362" s="6" t="s">
        <v>8500</v>
      </c>
      <c r="Y362" s="6" t="s">
        <v>8501</v>
      </c>
      <c r="Z362" s="6" t="s">
        <v>8502</v>
      </c>
      <c r="AA362" s="6" t="s">
        <v>8503</v>
      </c>
      <c r="AC362" s="6">
        <v>513210</v>
      </c>
      <c r="AD362" s="10" t="str">
        <f>_xlfn.XLOOKUP(AC362,[1]Mapping!B:B,[1]Mapping!C:C,"")</f>
        <v>Software Publishers</v>
      </c>
      <c r="AG362" s="6" t="s">
        <v>990</v>
      </c>
      <c r="AH362" s="6" t="s">
        <v>174</v>
      </c>
      <c r="AI362" s="6" t="s">
        <v>87</v>
      </c>
      <c r="AJ362" s="6" t="s">
        <v>174</v>
      </c>
      <c r="AK362" s="6" t="s">
        <v>175</v>
      </c>
      <c r="AL362" s="6" t="s">
        <v>176</v>
      </c>
      <c r="AM362" s="6" t="s">
        <v>177</v>
      </c>
      <c r="AN362" s="6" t="s">
        <v>91</v>
      </c>
      <c r="AO362" s="6" t="s">
        <v>92</v>
      </c>
      <c r="AQ362" s="6">
        <v>7372</v>
      </c>
      <c r="AR362" s="6" t="s">
        <v>2026</v>
      </c>
      <c r="AS362" s="6" t="s">
        <v>8504</v>
      </c>
      <c r="AT362" s="6">
        <v>5820</v>
      </c>
      <c r="AU362" s="6" t="s">
        <v>2028</v>
      </c>
      <c r="AV362" s="6" t="s">
        <v>2029</v>
      </c>
      <c r="AW362" s="6" t="s">
        <v>2030</v>
      </c>
      <c r="AX362" s="6" t="s">
        <v>8505</v>
      </c>
      <c r="AY362" s="6" t="s">
        <v>8506</v>
      </c>
      <c r="AZ362" s="6">
        <v>4527772737</v>
      </c>
      <c r="BA362" s="6" t="s">
        <v>8507</v>
      </c>
      <c r="BD362" s="6" t="s">
        <v>8508</v>
      </c>
      <c r="BE362" s="6" t="str">
        <f t="shared" si="10"/>
        <v>dma.nu</v>
      </c>
      <c r="BF362" s="6" t="str">
        <f t="shared" si="11"/>
        <v>nu</v>
      </c>
      <c r="BG362" s="6" t="s">
        <v>101</v>
      </c>
      <c r="BH362" s="6" t="s">
        <v>8509</v>
      </c>
      <c r="BJ362" s="6" t="s">
        <v>8510</v>
      </c>
      <c r="BL362" s="6" t="s">
        <v>8511</v>
      </c>
      <c r="BM362" s="6" t="s">
        <v>8512</v>
      </c>
      <c r="BP362" s="6" t="s">
        <v>8513</v>
      </c>
      <c r="BQ362" s="6" t="s">
        <v>8514</v>
      </c>
      <c r="BR362" s="6" t="s">
        <v>105</v>
      </c>
    </row>
    <row r="363" spans="1:70" ht="45" customHeight="1" x14ac:dyDescent="0.25">
      <c r="A363" s="6">
        <v>363</v>
      </c>
      <c r="B363" s="7" t="s">
        <v>8515</v>
      </c>
      <c r="C363" s="8" t="s">
        <v>8516</v>
      </c>
      <c r="D363" s="6" t="s">
        <v>8517</v>
      </c>
      <c r="E363" s="8" t="s">
        <v>8517</v>
      </c>
      <c r="F363" s="8" t="s">
        <v>8518</v>
      </c>
      <c r="G363" s="6" t="s">
        <v>130</v>
      </c>
      <c r="H363" s="6" t="s">
        <v>131</v>
      </c>
      <c r="I363" s="8" t="s">
        <v>2572</v>
      </c>
      <c r="J363" s="6" t="s">
        <v>2573</v>
      </c>
      <c r="K363" s="9">
        <v>1366</v>
      </c>
      <c r="L363" s="8" t="s">
        <v>8519</v>
      </c>
      <c r="M363" s="9">
        <v>3</v>
      </c>
      <c r="N363" s="6">
        <v>59.9061059</v>
      </c>
      <c r="O363" s="6">
        <v>10.628318800000001</v>
      </c>
      <c r="P363" s="6" t="s">
        <v>8520</v>
      </c>
      <c r="Q363" s="6">
        <v>1</v>
      </c>
      <c r="R363" s="6" t="s">
        <v>79</v>
      </c>
      <c r="T363" s="6"/>
      <c r="X363" s="6" t="s">
        <v>8521</v>
      </c>
      <c r="Y363" s="6" t="s">
        <v>8522</v>
      </c>
      <c r="Z363" s="6" t="s">
        <v>8523</v>
      </c>
      <c r="AA363" s="6" t="s">
        <v>8524</v>
      </c>
      <c r="AB363" s="6" t="s">
        <v>8525</v>
      </c>
      <c r="AC363" s="6">
        <v>481111</v>
      </c>
      <c r="AD363" s="10" t="str">
        <f>_xlfn.XLOOKUP(AC363,[1]Mapping!B:B,[1]Mapping!C:C,"")</f>
        <v xml:space="preserve">Scheduled Passenger Air Transportation </v>
      </c>
      <c r="AG363" s="6" t="s">
        <v>7016</v>
      </c>
      <c r="AH363" s="6" t="s">
        <v>7017</v>
      </c>
      <c r="AI363" s="6" t="s">
        <v>4567</v>
      </c>
      <c r="AJ363" s="6" t="s">
        <v>2134</v>
      </c>
      <c r="AK363" s="6" t="s">
        <v>2135</v>
      </c>
      <c r="AL363" s="6" t="s">
        <v>2136</v>
      </c>
      <c r="AM363" s="6" t="s">
        <v>2137</v>
      </c>
      <c r="AN363" s="6" t="s">
        <v>2138</v>
      </c>
      <c r="AO363" s="6" t="s">
        <v>2139</v>
      </c>
      <c r="AQ363" s="6">
        <v>4512</v>
      </c>
      <c r="AR363" s="6" t="s">
        <v>7018</v>
      </c>
      <c r="AS363" s="6" t="s">
        <v>8526</v>
      </c>
      <c r="AT363" s="6">
        <v>5110</v>
      </c>
      <c r="AU363" s="6" t="s">
        <v>2142</v>
      </c>
      <c r="AV363" s="6">
        <v>51.1</v>
      </c>
      <c r="AW363" s="6" t="s">
        <v>2142</v>
      </c>
      <c r="AX363" s="6" t="s">
        <v>8527</v>
      </c>
      <c r="AY363" s="6" t="s">
        <v>8528</v>
      </c>
      <c r="AZ363" s="6">
        <v>4721490015</v>
      </c>
      <c r="BA363" s="6" t="s">
        <v>8529</v>
      </c>
      <c r="BD363" s="6" t="s">
        <v>8530</v>
      </c>
      <c r="BE363" s="6" t="str">
        <f t="shared" si="10"/>
        <v>norwegian.no</v>
      </c>
      <c r="BF363" s="6" t="str">
        <f t="shared" si="11"/>
        <v>no</v>
      </c>
      <c r="BG363" s="6" t="s">
        <v>8531</v>
      </c>
      <c r="BH363" s="6" t="s">
        <v>8532</v>
      </c>
      <c r="BJ363" s="6" t="s">
        <v>8533</v>
      </c>
      <c r="BN363" s="6" t="s">
        <v>8534</v>
      </c>
      <c r="BP363" s="6" t="s">
        <v>8535</v>
      </c>
      <c r="BQ363" s="6" t="s">
        <v>8536</v>
      </c>
      <c r="BR363" s="6" t="s">
        <v>105</v>
      </c>
    </row>
    <row r="364" spans="1:70" ht="45" customHeight="1" x14ac:dyDescent="0.25">
      <c r="A364" s="6">
        <v>364</v>
      </c>
      <c r="B364" s="7" t="s">
        <v>8537</v>
      </c>
      <c r="C364" s="8" t="s">
        <v>8538</v>
      </c>
      <c r="D364" s="6" t="s">
        <v>8539</v>
      </c>
      <c r="E364" s="6" t="s">
        <v>8540</v>
      </c>
      <c r="F364" s="8" t="s">
        <v>8541</v>
      </c>
      <c r="G364" s="6" t="s">
        <v>73</v>
      </c>
      <c r="H364" s="6" t="s">
        <v>74</v>
      </c>
      <c r="I364" s="6"/>
      <c r="J364" s="6" t="s">
        <v>486</v>
      </c>
      <c r="K364" s="9">
        <v>2300</v>
      </c>
      <c r="L364" s="8" t="s">
        <v>6454</v>
      </c>
      <c r="M364" s="9">
        <v>10</v>
      </c>
      <c r="N364" s="6">
        <v>55.629434699999997</v>
      </c>
      <c r="O364" s="6">
        <v>12.5806848</v>
      </c>
      <c r="P364" s="6" t="s">
        <v>8542</v>
      </c>
      <c r="Q364" s="6">
        <v>1</v>
      </c>
      <c r="R364" s="6" t="s">
        <v>79</v>
      </c>
      <c r="S364" s="6">
        <v>2014</v>
      </c>
      <c r="T364" s="6">
        <v>10361011</v>
      </c>
      <c r="U364" s="6" t="s">
        <v>80</v>
      </c>
      <c r="V364" s="6">
        <v>53</v>
      </c>
      <c r="W364" s="6" t="s">
        <v>80</v>
      </c>
      <c r="X364" s="6" t="s">
        <v>8543</v>
      </c>
      <c r="Y364" s="6" t="s">
        <v>8544</v>
      </c>
      <c r="Z364" s="6" t="s">
        <v>8545</v>
      </c>
      <c r="AA364" s="6" t="s">
        <v>8546</v>
      </c>
      <c r="AB364" s="6" t="s">
        <v>8547</v>
      </c>
      <c r="AC364" s="6">
        <v>541512</v>
      </c>
      <c r="AD364" s="10" t="str">
        <f>_xlfn.XLOOKUP(AC364,[1]Mapping!B:B,[1]Mapping!C:C,"")</f>
        <v xml:space="preserve">Computer Systems Design Services </v>
      </c>
      <c r="AG364" s="6" t="s">
        <v>8548</v>
      </c>
      <c r="AH364" s="6" t="s">
        <v>8549</v>
      </c>
      <c r="AI364" s="6" t="s">
        <v>499</v>
      </c>
      <c r="AJ364" s="6" t="s">
        <v>174</v>
      </c>
      <c r="AK364" s="6" t="s">
        <v>175</v>
      </c>
      <c r="AL364" s="6" t="s">
        <v>176</v>
      </c>
      <c r="AM364" s="6" t="s">
        <v>177</v>
      </c>
      <c r="AN364" s="6" t="s">
        <v>91</v>
      </c>
      <c r="AO364" s="6" t="s">
        <v>92</v>
      </c>
      <c r="AQ364" s="6">
        <v>7373</v>
      </c>
      <c r="AR364" s="6" t="s">
        <v>2820</v>
      </c>
      <c r="AT364" s="6">
        <v>6202</v>
      </c>
      <c r="AU364" s="6" t="s">
        <v>2822</v>
      </c>
      <c r="AV364" s="6">
        <v>62.02</v>
      </c>
      <c r="AW364" s="6" t="s">
        <v>2822</v>
      </c>
      <c r="AY364" s="6" t="s">
        <v>8550</v>
      </c>
      <c r="AZ364" s="6" t="s">
        <v>8551</v>
      </c>
      <c r="BA364" s="6" t="s">
        <v>8552</v>
      </c>
      <c r="BB364" s="6" t="s">
        <v>8553</v>
      </c>
      <c r="BC364" s="6" t="s">
        <v>8554</v>
      </c>
      <c r="BD364" s="6" t="s">
        <v>8555</v>
      </c>
      <c r="BE364" s="6" t="str">
        <f t="shared" si="10"/>
        <v>novartis.dk</v>
      </c>
      <c r="BF364" s="6" t="str">
        <f t="shared" si="11"/>
        <v>dk</v>
      </c>
      <c r="BG364" s="6" t="s">
        <v>101</v>
      </c>
      <c r="BH364" s="6" t="s">
        <v>8556</v>
      </c>
      <c r="BK364" s="6" t="s">
        <v>8557</v>
      </c>
      <c r="BP364" s="6" t="s">
        <v>8558</v>
      </c>
      <c r="BQ364" s="6" t="s">
        <v>8559</v>
      </c>
      <c r="BR364" s="6" t="s">
        <v>105</v>
      </c>
    </row>
    <row r="365" spans="1:70" ht="45" customHeight="1" x14ac:dyDescent="0.25">
      <c r="A365" s="6">
        <v>365</v>
      </c>
      <c r="B365" s="7" t="s">
        <v>8560</v>
      </c>
      <c r="C365" s="8" t="s">
        <v>8561</v>
      </c>
      <c r="D365" s="6" t="s">
        <v>786</v>
      </c>
      <c r="E365" s="6" t="s">
        <v>786</v>
      </c>
      <c r="F365" s="8" t="s">
        <v>8562</v>
      </c>
      <c r="G365" s="6" t="s">
        <v>1324</v>
      </c>
      <c r="H365" s="6" t="s">
        <v>1325</v>
      </c>
      <c r="I365" s="6" t="s">
        <v>1326</v>
      </c>
      <c r="J365" s="6" t="s">
        <v>1327</v>
      </c>
      <c r="K365" s="9">
        <v>10110</v>
      </c>
      <c r="L365" s="8" t="s">
        <v>8563</v>
      </c>
      <c r="M365" s="9">
        <v>199</v>
      </c>
      <c r="N365" s="6">
        <v>13.725833400000001</v>
      </c>
      <c r="O365" s="6">
        <v>100.5475127</v>
      </c>
      <c r="P365" s="6" t="s">
        <v>8564</v>
      </c>
      <c r="Q365" s="6">
        <v>1</v>
      </c>
      <c r="R365" s="6" t="s">
        <v>79</v>
      </c>
      <c r="S365" s="6">
        <v>1993</v>
      </c>
      <c r="T365" s="12">
        <v>2990000000</v>
      </c>
      <c r="V365" s="6">
        <v>280</v>
      </c>
      <c r="W365" s="6" t="s">
        <v>167</v>
      </c>
      <c r="X365" s="6" t="s">
        <v>8565</v>
      </c>
      <c r="Y365" s="6" t="s">
        <v>8566</v>
      </c>
      <c r="Z365" s="6" t="s">
        <v>8567</v>
      </c>
      <c r="AA365" s="6" t="s">
        <v>8568</v>
      </c>
      <c r="AB365" s="6" t="s">
        <v>8569</v>
      </c>
      <c r="AC365" s="10">
        <f>_xlfn.XLOOKUP(AH365,[1]Mapping!C:C,[1]Mapping!B:B,"",1)</f>
        <v>561720</v>
      </c>
      <c r="AD365" s="10" t="s">
        <v>2977</v>
      </c>
      <c r="AE365" s="6">
        <v>517311</v>
      </c>
      <c r="AF365" s="6" t="s">
        <v>2510</v>
      </c>
      <c r="AG365" s="6" t="s">
        <v>176</v>
      </c>
      <c r="AH365" s="6" t="s">
        <v>3788</v>
      </c>
      <c r="AI365" s="6" t="s">
        <v>1290</v>
      </c>
      <c r="AJ365" s="6" t="s">
        <v>504</v>
      </c>
      <c r="AK365" s="6">
        <v>7371</v>
      </c>
      <c r="AL365" s="6" t="s">
        <v>1292</v>
      </c>
      <c r="AM365" s="6">
        <v>737100</v>
      </c>
      <c r="AN365" s="6" t="s">
        <v>176</v>
      </c>
      <c r="AO365" s="6">
        <v>4500</v>
      </c>
      <c r="AQ365" s="6">
        <v>7371</v>
      </c>
      <c r="AR365" s="6" t="s">
        <v>504</v>
      </c>
      <c r="AT365" s="6">
        <v>6201</v>
      </c>
      <c r="AU365" s="6" t="s">
        <v>505</v>
      </c>
      <c r="AV365" s="6">
        <v>62.01</v>
      </c>
      <c r="AW365" s="6" t="s">
        <v>8570</v>
      </c>
      <c r="AX365" s="6">
        <v>6200</v>
      </c>
      <c r="AY365" s="6" t="s">
        <v>8571</v>
      </c>
      <c r="AZ365" s="6" t="s">
        <v>8572</v>
      </c>
      <c r="BD365" s="11" t="s">
        <v>8573</v>
      </c>
      <c r="BE365" s="6" t="str">
        <f t="shared" si="10"/>
        <v>hello.global.ntt</v>
      </c>
      <c r="BF365" s="6" t="str">
        <f t="shared" si="11"/>
        <v>ntt</v>
      </c>
      <c r="BG365" s="6" t="s">
        <v>101</v>
      </c>
      <c r="BH365" s="6" t="s">
        <v>8574</v>
      </c>
      <c r="BI365" s="6" t="s">
        <v>8575</v>
      </c>
      <c r="BJ365" s="6" t="s">
        <v>8576</v>
      </c>
      <c r="BK365" s="6" t="s">
        <v>8577</v>
      </c>
      <c r="BN365" s="6" t="s">
        <v>8578</v>
      </c>
      <c r="BQ365" s="6" t="s">
        <v>8579</v>
      </c>
      <c r="BR365" s="6" t="s">
        <v>105</v>
      </c>
    </row>
    <row r="366" spans="1:70" ht="45" customHeight="1" x14ac:dyDescent="0.25">
      <c r="A366" s="6">
        <v>366</v>
      </c>
      <c r="B366" s="7" t="s">
        <v>8580</v>
      </c>
      <c r="C366" s="8" t="s">
        <v>8581</v>
      </c>
      <c r="D366" s="6" t="s">
        <v>811</v>
      </c>
      <c r="E366" s="6" t="s">
        <v>811</v>
      </c>
      <c r="F366" s="8" t="s">
        <v>8582</v>
      </c>
      <c r="G366" s="6" t="s">
        <v>315</v>
      </c>
      <c r="H366" s="6" t="s">
        <v>316</v>
      </c>
      <c r="I366" s="6"/>
      <c r="J366" s="6" t="s">
        <v>316</v>
      </c>
      <c r="K366" s="9">
        <v>339509</v>
      </c>
      <c r="L366" s="8" t="s">
        <v>8583</v>
      </c>
      <c r="M366" s="9">
        <v>8</v>
      </c>
      <c r="N366" s="6">
        <v>1.31074</v>
      </c>
      <c r="O366" s="6">
        <v>103.8638553</v>
      </c>
      <c r="P366" s="6" t="s">
        <v>8584</v>
      </c>
      <c r="Q366" s="6">
        <v>1</v>
      </c>
      <c r="R366" s="6" t="s">
        <v>79</v>
      </c>
      <c r="S366" s="6">
        <v>1993</v>
      </c>
      <c r="V366" s="6">
        <v>1</v>
      </c>
      <c r="W366" s="6" t="s">
        <v>167</v>
      </c>
      <c r="X366" s="6" t="s">
        <v>8565</v>
      </c>
      <c r="Y366" s="6" t="s">
        <v>8585</v>
      </c>
      <c r="Z366" s="6" t="s">
        <v>8586</v>
      </c>
      <c r="AA366" s="6" t="s">
        <v>8586</v>
      </c>
      <c r="AB366" s="6" t="s">
        <v>8587</v>
      </c>
      <c r="AC366" s="10">
        <f>_xlfn.XLOOKUP(AH366,[1]Mapping!C:C,[1]Mapping!B:B,"",1)</f>
        <v>92613</v>
      </c>
      <c r="AD366" s="10" t="s">
        <v>8588</v>
      </c>
      <c r="AE366" s="6">
        <v>518210</v>
      </c>
      <c r="AF366" s="6" t="s">
        <v>3787</v>
      </c>
      <c r="AG366" s="6" t="s">
        <v>176</v>
      </c>
      <c r="AH366" s="6" t="s">
        <v>8589</v>
      </c>
      <c r="AI366" s="6" t="s">
        <v>1290</v>
      </c>
      <c r="AJ366" s="6" t="s">
        <v>658</v>
      </c>
      <c r="AK366" s="6">
        <v>8741</v>
      </c>
      <c r="AL366" s="6" t="s">
        <v>8590</v>
      </c>
      <c r="AM366" s="6">
        <v>8700</v>
      </c>
      <c r="AN366" s="6" t="s">
        <v>297</v>
      </c>
      <c r="AO366" s="6">
        <v>7000</v>
      </c>
      <c r="AQ366" s="6">
        <v>8741</v>
      </c>
      <c r="AR366" s="6" t="s">
        <v>658</v>
      </c>
      <c r="AT366" s="6">
        <v>7010</v>
      </c>
      <c r="AU366" s="6" t="s">
        <v>8591</v>
      </c>
      <c r="AV366" s="6">
        <v>70.099999999999994</v>
      </c>
      <c r="AW366" s="6" t="s">
        <v>8592</v>
      </c>
      <c r="AX366" s="6">
        <v>7000</v>
      </c>
      <c r="AY366" s="6" t="s">
        <v>8593</v>
      </c>
      <c r="BD366" s="11" t="s">
        <v>8594</v>
      </c>
      <c r="BE366" s="6" t="str">
        <f t="shared" si="10"/>
        <v>services.global.ntt</v>
      </c>
      <c r="BF366" s="6" t="str">
        <f t="shared" si="11"/>
        <v>ntt</v>
      </c>
      <c r="BG366" s="6" t="s">
        <v>101</v>
      </c>
      <c r="BH366" s="6" t="s">
        <v>8574</v>
      </c>
      <c r="BI366" s="6" t="s">
        <v>8575</v>
      </c>
      <c r="BJ366" s="6" t="s">
        <v>8576</v>
      </c>
      <c r="BK366" s="6" t="s">
        <v>8595</v>
      </c>
      <c r="BN366" s="6" t="s">
        <v>8578</v>
      </c>
      <c r="BQ366" s="6" t="s">
        <v>8596</v>
      </c>
      <c r="BR366" s="6" t="s">
        <v>105</v>
      </c>
    </row>
    <row r="367" spans="1:70" ht="45" customHeight="1" x14ac:dyDescent="0.25">
      <c r="A367" s="6">
        <v>367</v>
      </c>
      <c r="B367" s="7" t="s">
        <v>8597</v>
      </c>
      <c r="C367" s="8" t="s">
        <v>8598</v>
      </c>
      <c r="D367" s="6" t="s">
        <v>8599</v>
      </c>
      <c r="E367" s="8" t="s">
        <v>8600</v>
      </c>
      <c r="F367" s="8" t="s">
        <v>8601</v>
      </c>
      <c r="G367" s="6" t="s">
        <v>2414</v>
      </c>
      <c r="H367" s="6" t="s">
        <v>2415</v>
      </c>
      <c r="J367" s="6" t="s">
        <v>8602</v>
      </c>
      <c r="K367" s="9">
        <v>1117</v>
      </c>
      <c r="L367" s="8" t="s">
        <v>8603</v>
      </c>
      <c r="M367" s="9">
        <v>1</v>
      </c>
      <c r="N367" s="6">
        <v>47.469833600000001</v>
      </c>
      <c r="O367" s="6">
        <v>19.0588528</v>
      </c>
      <c r="P367" s="6" t="s">
        <v>8604</v>
      </c>
      <c r="Q367" s="6">
        <v>1</v>
      </c>
      <c r="R367" s="6" t="s">
        <v>79</v>
      </c>
      <c r="T367" s="6"/>
      <c r="X367" s="6" t="s">
        <v>8605</v>
      </c>
      <c r="Y367" s="6" t="s">
        <v>8606</v>
      </c>
      <c r="Z367" s="6" t="s">
        <v>8607</v>
      </c>
      <c r="AA367" s="6" t="s">
        <v>8608</v>
      </c>
      <c r="AB367" s="6" t="s">
        <v>8609</v>
      </c>
      <c r="AC367" s="6">
        <v>457120</v>
      </c>
      <c r="AD367" s="10" t="str">
        <f>_xlfn.XLOOKUP(AC367,[1]Mapping!B:B,[1]Mapping!C:C,"")</f>
        <v xml:space="preserve">Other Gasoline Stations </v>
      </c>
      <c r="AG367" s="6" t="s">
        <v>8610</v>
      </c>
      <c r="AH367" s="6" t="s">
        <v>8610</v>
      </c>
      <c r="AI367" s="6" t="s">
        <v>3762</v>
      </c>
      <c r="AJ367" s="6" t="s">
        <v>8611</v>
      </c>
      <c r="AK367" s="6" t="s">
        <v>8612</v>
      </c>
      <c r="AL367" s="6" t="s">
        <v>4570</v>
      </c>
      <c r="AM367" s="6" t="s">
        <v>4571</v>
      </c>
      <c r="AN367" s="6" t="s">
        <v>2138</v>
      </c>
      <c r="AO367" s="6" t="s">
        <v>2139</v>
      </c>
      <c r="AQ367" s="6">
        <v>5541</v>
      </c>
      <c r="AR367" s="6" t="s">
        <v>8613</v>
      </c>
      <c r="AT367" s="6">
        <v>4730</v>
      </c>
      <c r="AU367" s="6" t="s">
        <v>8614</v>
      </c>
      <c r="AV367" s="6">
        <v>47.3</v>
      </c>
      <c r="AW367" s="6" t="s">
        <v>8615</v>
      </c>
      <c r="AY367" s="6" t="s">
        <v>8616</v>
      </c>
      <c r="AZ367" s="6">
        <v>3618865000</v>
      </c>
      <c r="BA367" s="6" t="s">
        <v>8617</v>
      </c>
      <c r="BB367" s="6" t="s">
        <v>8617</v>
      </c>
      <c r="BD367" s="6" t="s">
        <v>8618</v>
      </c>
      <c r="BE367" s="6" t="str">
        <f t="shared" si="10"/>
        <v>nttdata-solutions.com</v>
      </c>
      <c r="BF367" s="6" t="str">
        <f t="shared" si="11"/>
        <v>com</v>
      </c>
      <c r="BG367" s="6" t="s">
        <v>8619</v>
      </c>
      <c r="BH367" s="6" t="s">
        <v>8620</v>
      </c>
      <c r="BJ367" s="6" t="s">
        <v>8621</v>
      </c>
      <c r="BK367" s="6" t="s">
        <v>8622</v>
      </c>
      <c r="BL367" s="6" t="s">
        <v>8623</v>
      </c>
      <c r="BM367" s="6" t="s">
        <v>8624</v>
      </c>
      <c r="BN367" s="6" t="s">
        <v>8625</v>
      </c>
      <c r="BQ367" s="6" t="s">
        <v>8626</v>
      </c>
      <c r="BR367" s="6" t="s">
        <v>105</v>
      </c>
    </row>
    <row r="368" spans="1:70" ht="45" customHeight="1" x14ac:dyDescent="0.25">
      <c r="A368" s="6">
        <v>368</v>
      </c>
      <c r="B368" s="7" t="s">
        <v>8627</v>
      </c>
      <c r="C368" s="8" t="s">
        <v>8628</v>
      </c>
      <c r="D368" s="6" t="s">
        <v>8629</v>
      </c>
      <c r="E368" s="8" t="s">
        <v>8627</v>
      </c>
      <c r="F368" s="8" t="s">
        <v>8630</v>
      </c>
      <c r="G368" s="6" t="s">
        <v>73</v>
      </c>
      <c r="H368" s="6" t="s">
        <v>74</v>
      </c>
      <c r="J368" s="6" t="s">
        <v>8631</v>
      </c>
      <c r="K368" s="9">
        <v>8700</v>
      </c>
      <c r="L368" s="8" t="s">
        <v>8632</v>
      </c>
      <c r="M368" s="9">
        <v>11</v>
      </c>
      <c r="N368" s="6">
        <v>55.830263899999999</v>
      </c>
      <c r="O368" s="6">
        <v>9.8047077999999992</v>
      </c>
      <c r="R368" s="6" t="s">
        <v>79</v>
      </c>
      <c r="S368" s="6">
        <v>2003</v>
      </c>
      <c r="T368" s="6"/>
      <c r="X368" s="6" t="s">
        <v>8605</v>
      </c>
      <c r="Y368" s="6" t="s">
        <v>8633</v>
      </c>
      <c r="Z368" s="6" t="s">
        <v>8634</v>
      </c>
      <c r="AA368" s="6" t="s">
        <v>8635</v>
      </c>
      <c r="AB368" s="6" t="s">
        <v>8636</v>
      </c>
      <c r="AC368" s="6">
        <v>541512</v>
      </c>
      <c r="AD368" s="10" t="str">
        <f>_xlfn.XLOOKUP(AC368,[1]Mapping!B:B,[1]Mapping!C:C,"")</f>
        <v xml:space="preserve">Computer Systems Design Services </v>
      </c>
      <c r="AE368" s="6">
        <v>518210</v>
      </c>
      <c r="AF368" s="6" t="s">
        <v>3787</v>
      </c>
      <c r="AG368" s="6" t="s">
        <v>8637</v>
      </c>
      <c r="AH368" s="6" t="s">
        <v>8638</v>
      </c>
      <c r="AI368" s="6" t="s">
        <v>499</v>
      </c>
      <c r="AJ368" s="6" t="s">
        <v>1413</v>
      </c>
      <c r="AK368" s="6" t="s">
        <v>1414</v>
      </c>
      <c r="AL368" s="6" t="s">
        <v>502</v>
      </c>
      <c r="AM368" s="6" t="s">
        <v>503</v>
      </c>
      <c r="AN368" s="6" t="s">
        <v>297</v>
      </c>
      <c r="AO368" s="6" t="s">
        <v>298</v>
      </c>
      <c r="AQ368" s="6">
        <v>7373</v>
      </c>
      <c r="AR368" s="6" t="s">
        <v>2820</v>
      </c>
      <c r="AT368" s="6">
        <v>6202</v>
      </c>
      <c r="AU368" s="6" t="s">
        <v>2822</v>
      </c>
      <c r="AV368" s="6">
        <v>62.02</v>
      </c>
      <c r="AW368" s="6" t="s">
        <v>2822</v>
      </c>
      <c r="AY368" s="6" t="s">
        <v>8639</v>
      </c>
      <c r="BA368" s="6" t="s">
        <v>8640</v>
      </c>
      <c r="BD368" s="6" t="s">
        <v>8618</v>
      </c>
      <c r="BE368" s="6" t="str">
        <f t="shared" si="10"/>
        <v>nttdata-solutions.com</v>
      </c>
      <c r="BF368" s="6" t="str">
        <f t="shared" si="11"/>
        <v>com</v>
      </c>
      <c r="BG368" s="6" t="s">
        <v>337</v>
      </c>
      <c r="BH368" s="6" t="s">
        <v>8641</v>
      </c>
      <c r="BI368" s="6" t="s">
        <v>8642</v>
      </c>
      <c r="BJ368" s="6" t="s">
        <v>8621</v>
      </c>
      <c r="BK368" s="6" t="s">
        <v>8622</v>
      </c>
      <c r="BN368" s="6" t="s">
        <v>8625</v>
      </c>
      <c r="BQ368" s="6" t="s">
        <v>8643</v>
      </c>
      <c r="BR368" s="6" t="s">
        <v>105</v>
      </c>
    </row>
    <row r="369" spans="1:70" ht="45" customHeight="1" x14ac:dyDescent="0.25">
      <c r="A369" s="6">
        <v>369</v>
      </c>
      <c r="B369" s="7" t="s">
        <v>8644</v>
      </c>
      <c r="C369" s="8" t="s">
        <v>8645</v>
      </c>
      <c r="D369" s="6" t="s">
        <v>8646</v>
      </c>
      <c r="E369" s="6" t="s">
        <v>8647</v>
      </c>
      <c r="F369" s="8" t="s">
        <v>8648</v>
      </c>
      <c r="G369" s="6" t="s">
        <v>612</v>
      </c>
      <c r="H369" s="6" t="s">
        <v>613</v>
      </c>
      <c r="I369" s="6" t="s">
        <v>614</v>
      </c>
      <c r="J369" s="6" t="s">
        <v>1763</v>
      </c>
      <c r="K369" s="9">
        <v>47800</v>
      </c>
      <c r="L369" s="8" t="s">
        <v>8649</v>
      </c>
      <c r="N369" s="6">
        <v>3.1467455000000002</v>
      </c>
      <c r="O369" s="6">
        <v>101.61591900000001</v>
      </c>
      <c r="P369" s="6" t="s">
        <v>8650</v>
      </c>
      <c r="Q369" s="6">
        <v>2</v>
      </c>
      <c r="R369" s="6" t="s">
        <v>79</v>
      </c>
      <c r="S369" s="6">
        <v>2000</v>
      </c>
      <c r="T369" s="6">
        <v>6510184</v>
      </c>
      <c r="U369" s="6" t="s">
        <v>80</v>
      </c>
      <c r="V369" s="6">
        <v>75</v>
      </c>
      <c r="W369" s="6" t="s">
        <v>80</v>
      </c>
      <c r="X369" s="6" t="s">
        <v>8651</v>
      </c>
      <c r="Y369" s="6" t="s">
        <v>8652</v>
      </c>
      <c r="Z369" s="6" t="s">
        <v>8653</v>
      </c>
      <c r="AA369" s="6" t="s">
        <v>8654</v>
      </c>
      <c r="AB369" s="6" t="s">
        <v>8655</v>
      </c>
      <c r="AC369" s="6">
        <v>334413</v>
      </c>
      <c r="AD369" s="10" t="str">
        <f>_xlfn.XLOOKUP(AC369,[1]Mapping!B:B,[1]Mapping!C:C,"")</f>
        <v xml:space="preserve">Semiconductor and Related Device Manufacturing </v>
      </c>
      <c r="AG369" s="6" t="s">
        <v>1184</v>
      </c>
      <c r="AH369" s="6" t="s">
        <v>432</v>
      </c>
      <c r="AI369" s="6" t="s">
        <v>733</v>
      </c>
      <c r="AJ369" s="6" t="s">
        <v>293</v>
      </c>
      <c r="AK369" s="6" t="s">
        <v>294</v>
      </c>
      <c r="AL369" s="6" t="s">
        <v>295</v>
      </c>
      <c r="AM369" s="6" t="s">
        <v>296</v>
      </c>
      <c r="AN369" s="6" t="s">
        <v>297</v>
      </c>
      <c r="AO369" s="6" t="s">
        <v>298</v>
      </c>
      <c r="AQ369" s="6">
        <v>3674</v>
      </c>
      <c r="AR369" s="6" t="s">
        <v>8656</v>
      </c>
      <c r="AT369" s="6">
        <v>2610</v>
      </c>
      <c r="AU369" s="6" t="s">
        <v>5967</v>
      </c>
      <c r="AV369" s="6" t="s">
        <v>5968</v>
      </c>
      <c r="AW369" s="6" t="s">
        <v>5969</v>
      </c>
      <c r="AY369" s="6" t="s">
        <v>8657</v>
      </c>
      <c r="AZ369" s="6" t="s">
        <v>8658</v>
      </c>
      <c r="BA369" s="6" t="s">
        <v>8659</v>
      </c>
      <c r="BB369" s="6" t="s">
        <v>8660</v>
      </c>
      <c r="BD369" s="6" t="s">
        <v>8661</v>
      </c>
      <c r="BE369" s="6" t="str">
        <f t="shared" si="10"/>
        <v>global.ntt</v>
      </c>
      <c r="BF369" s="6" t="str">
        <f t="shared" si="11"/>
        <v>ntt</v>
      </c>
      <c r="BG369" s="6" t="s">
        <v>101</v>
      </c>
      <c r="BH369" s="6" t="s">
        <v>8662</v>
      </c>
      <c r="BI369" s="6" t="s">
        <v>8663</v>
      </c>
      <c r="BK369" s="6" t="s">
        <v>8664</v>
      </c>
      <c r="BN369" s="6" t="s">
        <v>8665</v>
      </c>
      <c r="BP369" s="6" t="s">
        <v>8666</v>
      </c>
      <c r="BQ369" s="6" t="s">
        <v>8667</v>
      </c>
      <c r="BR369" s="6" t="s">
        <v>105</v>
      </c>
    </row>
    <row r="370" spans="1:70" ht="45" customHeight="1" x14ac:dyDescent="0.25">
      <c r="A370" s="6">
        <v>370</v>
      </c>
      <c r="B370" s="7" t="s">
        <v>8668</v>
      </c>
      <c r="C370" s="8" t="s">
        <v>8669</v>
      </c>
      <c r="D370" s="6" t="s">
        <v>8646</v>
      </c>
      <c r="E370" s="6" t="s">
        <v>8670</v>
      </c>
      <c r="F370" s="8" t="s">
        <v>8671</v>
      </c>
      <c r="G370" s="6" t="s">
        <v>612</v>
      </c>
      <c r="H370" s="6" t="s">
        <v>613</v>
      </c>
      <c r="I370" s="6" t="s">
        <v>614</v>
      </c>
      <c r="J370" s="6" t="s">
        <v>1763</v>
      </c>
      <c r="K370" s="9">
        <v>47800</v>
      </c>
      <c r="L370" s="8" t="s">
        <v>8649</v>
      </c>
      <c r="N370" s="6">
        <v>3.1467455000000002</v>
      </c>
      <c r="O370" s="6">
        <v>101.61591900000001</v>
      </c>
      <c r="P370" s="6" t="s">
        <v>8672</v>
      </c>
      <c r="Q370" s="6">
        <v>1</v>
      </c>
      <c r="R370" s="6" t="s">
        <v>79</v>
      </c>
      <c r="T370" s="6">
        <v>4148404</v>
      </c>
      <c r="U370" s="6" t="s">
        <v>80</v>
      </c>
      <c r="V370" s="6">
        <v>75</v>
      </c>
      <c r="W370" s="6" t="s">
        <v>80</v>
      </c>
      <c r="X370" s="6" t="s">
        <v>8651</v>
      </c>
      <c r="Y370" s="6" t="s">
        <v>8673</v>
      </c>
      <c r="Z370" s="6" t="s">
        <v>8674</v>
      </c>
      <c r="AA370" s="6" t="s">
        <v>8675</v>
      </c>
      <c r="AC370" s="6">
        <v>333414</v>
      </c>
      <c r="AD370" s="10" t="str">
        <f>_xlfn.XLOOKUP(AC370,[1]Mapping!B:B,[1]Mapping!C:C,"")</f>
        <v xml:space="preserve">Heating Equipment (except Warm Air Furnaces) Manufacturing </v>
      </c>
      <c r="AG370" s="6" t="s">
        <v>8676</v>
      </c>
      <c r="AH370" s="6" t="s">
        <v>8677</v>
      </c>
      <c r="AI370" s="6" t="s">
        <v>466</v>
      </c>
      <c r="AJ370" s="6" t="s">
        <v>432</v>
      </c>
      <c r="AK370" s="6" t="s">
        <v>433</v>
      </c>
      <c r="AL370" s="6" t="s">
        <v>434</v>
      </c>
      <c r="AM370" s="6" t="s">
        <v>435</v>
      </c>
      <c r="AN370" s="6" t="s">
        <v>436</v>
      </c>
      <c r="AO370" s="6" t="s">
        <v>437</v>
      </c>
      <c r="AQ370" s="6" t="s">
        <v>8678</v>
      </c>
      <c r="AR370" s="6" t="s">
        <v>8679</v>
      </c>
      <c r="AT370" s="6" t="s">
        <v>8680</v>
      </c>
      <c r="AU370" s="6" t="s">
        <v>8681</v>
      </c>
      <c r="AV370" s="6" t="s">
        <v>8682</v>
      </c>
      <c r="AW370" s="6" t="s">
        <v>8683</v>
      </c>
      <c r="AY370" s="6" t="s">
        <v>8657</v>
      </c>
      <c r="AZ370" s="6" t="s">
        <v>8684</v>
      </c>
      <c r="BA370" s="6" t="s">
        <v>8685</v>
      </c>
      <c r="BB370" s="6" t="s">
        <v>8686</v>
      </c>
      <c r="BD370" s="6" t="s">
        <v>8661</v>
      </c>
      <c r="BE370" s="6" t="str">
        <f t="shared" si="10"/>
        <v>global.ntt</v>
      </c>
      <c r="BF370" s="6" t="str">
        <f t="shared" si="11"/>
        <v>ntt</v>
      </c>
      <c r="BG370" s="6" t="s">
        <v>101</v>
      </c>
      <c r="BH370" s="6" t="s">
        <v>8687</v>
      </c>
      <c r="BK370" s="6" t="s">
        <v>8664</v>
      </c>
      <c r="BN370" s="6" t="s">
        <v>8665</v>
      </c>
      <c r="BP370" s="6" t="s">
        <v>8688</v>
      </c>
      <c r="BQ370" s="6" t="s">
        <v>8689</v>
      </c>
      <c r="BR370" s="6" t="s">
        <v>105</v>
      </c>
    </row>
    <row r="371" spans="1:70" ht="45" customHeight="1" x14ac:dyDescent="0.25">
      <c r="A371" s="6">
        <v>371</v>
      </c>
      <c r="B371" s="7" t="s">
        <v>8690</v>
      </c>
      <c r="C371" s="8" t="s">
        <v>8691</v>
      </c>
      <c r="D371" s="6" t="s">
        <v>8692</v>
      </c>
      <c r="E371" s="6" t="s">
        <v>8693</v>
      </c>
      <c r="F371" s="8" t="s">
        <v>8694</v>
      </c>
      <c r="G371" s="6" t="s">
        <v>73</v>
      </c>
      <c r="H371" s="6" t="s">
        <v>74</v>
      </c>
      <c r="I371" s="6"/>
      <c r="J371" s="6" t="s">
        <v>486</v>
      </c>
      <c r="K371" s="9">
        <v>2300</v>
      </c>
      <c r="L371" s="8" t="s">
        <v>8695</v>
      </c>
      <c r="M371" s="9">
        <v>139</v>
      </c>
      <c r="N371" s="6">
        <v>55.668188800000003</v>
      </c>
      <c r="O371" s="6">
        <v>12.620494600000001</v>
      </c>
      <c r="P371" s="6" t="s">
        <v>2395</v>
      </c>
      <c r="Q371" s="6">
        <v>1</v>
      </c>
      <c r="R371" s="6" t="s">
        <v>79</v>
      </c>
      <c r="T371" s="6">
        <v>57397932</v>
      </c>
      <c r="U371" s="6" t="s">
        <v>80</v>
      </c>
      <c r="V371" s="6">
        <v>150</v>
      </c>
      <c r="W371" s="6" t="s">
        <v>80</v>
      </c>
      <c r="X371" s="6" t="s">
        <v>8696</v>
      </c>
      <c r="Y371" s="6" t="s">
        <v>8697</v>
      </c>
      <c r="Z371" s="6" t="s">
        <v>8698</v>
      </c>
      <c r="AA371" s="6" t="s">
        <v>8699</v>
      </c>
      <c r="AB371" s="6" t="s">
        <v>8700</v>
      </c>
      <c r="AC371" s="6">
        <v>518210</v>
      </c>
      <c r="AD371" s="10" t="str">
        <f>_xlfn.XLOOKUP(AC371,[1]Mapping!B:B,[1]Mapping!C:C,"")</f>
        <v>Computing Infrastructure Providers, Data Processing, Web Hosting, and Related Services</v>
      </c>
      <c r="AE371" s="6">
        <v>541512</v>
      </c>
      <c r="AF371" s="6" t="s">
        <v>2977</v>
      </c>
      <c r="AG371" s="6" t="s">
        <v>8701</v>
      </c>
      <c r="AH371" s="6" t="s">
        <v>8702</v>
      </c>
      <c r="AI371" s="6" t="s">
        <v>499</v>
      </c>
      <c r="AJ371" s="6" t="s">
        <v>86</v>
      </c>
      <c r="AK371" s="6" t="s">
        <v>88</v>
      </c>
      <c r="AL371" s="6" t="s">
        <v>89</v>
      </c>
      <c r="AM371" s="6" t="s">
        <v>90</v>
      </c>
      <c r="AN371" s="6" t="s">
        <v>91</v>
      </c>
      <c r="AO371" s="6" t="s">
        <v>92</v>
      </c>
      <c r="AQ371" s="6">
        <v>7374</v>
      </c>
      <c r="AR371" s="6" t="s">
        <v>915</v>
      </c>
      <c r="AS371" s="6" t="s">
        <v>8703</v>
      </c>
      <c r="AT371" s="6">
        <v>6311</v>
      </c>
      <c r="AU371" s="6" t="s">
        <v>917</v>
      </c>
      <c r="AV371" s="6">
        <v>63.11</v>
      </c>
      <c r="AW371" s="6" t="s">
        <v>917</v>
      </c>
      <c r="AX371" s="6" t="s">
        <v>8704</v>
      </c>
      <c r="AY371" s="6" t="s">
        <v>8705</v>
      </c>
      <c r="AZ371" s="6" t="s">
        <v>8706</v>
      </c>
      <c r="BA371" s="6" t="s">
        <v>8707</v>
      </c>
      <c r="BB371" s="6" t="s">
        <v>8708</v>
      </c>
      <c r="BC371" s="6" t="s">
        <v>8709</v>
      </c>
      <c r="BD371" s="6" t="s">
        <v>8710</v>
      </c>
      <c r="BE371" s="6" t="str">
        <f t="shared" si="10"/>
        <v>och.dk</v>
      </c>
      <c r="BF371" s="6" t="str">
        <f t="shared" si="11"/>
        <v>dk</v>
      </c>
      <c r="BG371" s="6" t="s">
        <v>101</v>
      </c>
      <c r="BP371" s="6" t="s">
        <v>8711</v>
      </c>
      <c r="BQ371" s="6" t="s">
        <v>8712</v>
      </c>
      <c r="BR371" s="6" t="s">
        <v>105</v>
      </c>
    </row>
    <row r="372" spans="1:70" ht="45" customHeight="1" x14ac:dyDescent="0.25">
      <c r="A372" s="6">
        <v>372</v>
      </c>
      <c r="B372" s="7" t="s">
        <v>8713</v>
      </c>
      <c r="C372" s="8" t="s">
        <v>8714</v>
      </c>
      <c r="D372" s="6" t="s">
        <v>8715</v>
      </c>
      <c r="E372" s="8" t="s">
        <v>8716</v>
      </c>
      <c r="F372" s="8" t="s">
        <v>8716</v>
      </c>
      <c r="G372" s="6" t="s">
        <v>73</v>
      </c>
      <c r="H372" s="6" t="s">
        <v>74</v>
      </c>
      <c r="I372" s="6"/>
      <c r="J372" s="6" t="s">
        <v>8717</v>
      </c>
      <c r="K372" s="9">
        <v>8260</v>
      </c>
      <c r="L372" s="8" t="s">
        <v>8718</v>
      </c>
      <c r="M372" s="9">
        <v>11</v>
      </c>
      <c r="N372" s="6">
        <v>56.133160099999998</v>
      </c>
      <c r="O372" s="6">
        <v>10.1577932</v>
      </c>
      <c r="P372" s="6" t="s">
        <v>8719</v>
      </c>
      <c r="Q372" s="6">
        <v>258</v>
      </c>
      <c r="R372" s="6" t="s">
        <v>79</v>
      </c>
      <c r="S372" s="6">
        <v>1978</v>
      </c>
      <c r="T372" s="6">
        <v>78489800</v>
      </c>
      <c r="U372" s="6" t="s">
        <v>80</v>
      </c>
      <c r="V372" s="6">
        <v>1019</v>
      </c>
      <c r="W372" s="6" t="s">
        <v>167</v>
      </c>
      <c r="X372" s="6" t="s">
        <v>8720</v>
      </c>
      <c r="Y372" s="6" t="s">
        <v>8721</v>
      </c>
      <c r="Z372" s="6" t="s">
        <v>8722</v>
      </c>
      <c r="AA372" s="6" t="s">
        <v>8723</v>
      </c>
      <c r="AB372" s="6" t="s">
        <v>8724</v>
      </c>
      <c r="AC372" s="6">
        <v>447110</v>
      </c>
      <c r="AD372" s="10" t="s">
        <v>213</v>
      </c>
      <c r="AE372" s="6">
        <v>221118</v>
      </c>
      <c r="AF372" s="6" t="s">
        <v>213</v>
      </c>
      <c r="AG372" s="6" t="s">
        <v>8725</v>
      </c>
      <c r="AH372" s="6" t="s">
        <v>8726</v>
      </c>
      <c r="AI372" s="6" t="s">
        <v>8727</v>
      </c>
      <c r="AQ372" s="6">
        <v>5541</v>
      </c>
      <c r="AR372" s="6" t="s">
        <v>8728</v>
      </c>
      <c r="AS372" s="6" t="s">
        <v>8729</v>
      </c>
      <c r="AT372" s="6">
        <v>4730</v>
      </c>
      <c r="AU372" s="6" t="s">
        <v>8614</v>
      </c>
      <c r="AV372" s="6">
        <v>47.3</v>
      </c>
      <c r="AW372" s="6" t="s">
        <v>8615</v>
      </c>
      <c r="AX372" s="6" t="s">
        <v>8730</v>
      </c>
      <c r="AY372" s="6" t="s">
        <v>8731</v>
      </c>
      <c r="BD372" s="6" t="s">
        <v>8732</v>
      </c>
      <c r="BE372" s="6" t="str">
        <f t="shared" si="10"/>
        <v>ok.dk</v>
      </c>
      <c r="BF372" s="6" t="str">
        <f t="shared" si="11"/>
        <v>dk</v>
      </c>
      <c r="BG372" s="6" t="s">
        <v>123</v>
      </c>
      <c r="BH372" s="6" t="s">
        <v>8733</v>
      </c>
      <c r="BJ372" s="6" t="s">
        <v>8734</v>
      </c>
      <c r="BK372" s="6" t="s">
        <v>8735</v>
      </c>
      <c r="BN372" s="6" t="s">
        <v>8736</v>
      </c>
      <c r="BP372" s="6" t="s">
        <v>8737</v>
      </c>
      <c r="BQ372" s="6" t="s">
        <v>8738</v>
      </c>
      <c r="BR372" s="6" t="s">
        <v>105</v>
      </c>
    </row>
    <row r="373" spans="1:70" ht="45" customHeight="1" x14ac:dyDescent="0.25">
      <c r="A373" s="6">
        <v>373</v>
      </c>
      <c r="B373" s="7" t="s">
        <v>8739</v>
      </c>
      <c r="C373" s="8" t="s">
        <v>8740</v>
      </c>
      <c r="D373" s="6" t="s">
        <v>8741</v>
      </c>
      <c r="E373" s="6" t="s">
        <v>8742</v>
      </c>
      <c r="F373" s="8" t="s">
        <v>8743</v>
      </c>
      <c r="G373" s="6" t="s">
        <v>612</v>
      </c>
      <c r="H373" s="6" t="s">
        <v>613</v>
      </c>
      <c r="I373" s="6" t="s">
        <v>614</v>
      </c>
      <c r="J373" s="6" t="s">
        <v>1763</v>
      </c>
      <c r="K373" s="9">
        <v>47400</v>
      </c>
      <c r="L373" s="8" t="s">
        <v>8744</v>
      </c>
      <c r="M373" s="9">
        <v>8</v>
      </c>
      <c r="N373" s="6">
        <v>3.1335142</v>
      </c>
      <c r="O373" s="6">
        <v>101.6236581</v>
      </c>
      <c r="P373" s="6" t="s">
        <v>8745</v>
      </c>
      <c r="Q373" s="6">
        <v>1</v>
      </c>
      <c r="R373" s="6" t="s">
        <v>79</v>
      </c>
      <c r="T373" s="6"/>
      <c r="Y373" s="6" t="s">
        <v>8746</v>
      </c>
      <c r="Z373" s="6" t="s">
        <v>8747</v>
      </c>
      <c r="AC373" s="6">
        <v>334517</v>
      </c>
      <c r="AD373" s="10" t="str">
        <f>_xlfn.XLOOKUP(AC373,[1]Mapping!B:B,[1]Mapping!C:C,"")</f>
        <v xml:space="preserve">Irradiation Apparatus Manufacturing </v>
      </c>
      <c r="AG373" s="6" t="s">
        <v>4493</v>
      </c>
      <c r="AH373" s="6" t="s">
        <v>4494</v>
      </c>
      <c r="AI373" s="6" t="s">
        <v>466</v>
      </c>
      <c r="AQ373" s="6" t="s">
        <v>8748</v>
      </c>
      <c r="AR373" s="6" t="s">
        <v>8749</v>
      </c>
      <c r="AT373" s="6">
        <v>2660</v>
      </c>
      <c r="AU373" s="6" t="s">
        <v>8750</v>
      </c>
      <c r="AV373" s="6">
        <v>26.6</v>
      </c>
      <c r="AW373" s="6" t="s">
        <v>8750</v>
      </c>
      <c r="AY373" s="6" t="s">
        <v>8751</v>
      </c>
      <c r="BA373" s="6" t="s">
        <v>8752</v>
      </c>
      <c r="BB373" s="6" t="s">
        <v>8752</v>
      </c>
      <c r="BD373" s="6" t="s">
        <v>8753</v>
      </c>
      <c r="BE373" s="6" t="str">
        <f t="shared" si="10"/>
        <v>omd.com</v>
      </c>
      <c r="BF373" s="6" t="str">
        <f t="shared" si="11"/>
        <v>com</v>
      </c>
      <c r="BG373" s="6" t="s">
        <v>101</v>
      </c>
      <c r="BH373" s="6" t="s">
        <v>8754</v>
      </c>
      <c r="BJ373" s="6" t="s">
        <v>8755</v>
      </c>
      <c r="BP373" s="6" t="s">
        <v>8756</v>
      </c>
      <c r="BQ373" s="6" t="s">
        <v>8757</v>
      </c>
      <c r="BR373" s="6" t="s">
        <v>105</v>
      </c>
    </row>
    <row r="374" spans="1:70" ht="45" customHeight="1" x14ac:dyDescent="0.25">
      <c r="A374" s="6">
        <v>374</v>
      </c>
      <c r="B374" s="7" t="s">
        <v>8758</v>
      </c>
      <c r="C374" s="8" t="s">
        <v>8759</v>
      </c>
      <c r="D374" s="6" t="s">
        <v>8760</v>
      </c>
      <c r="E374" s="8" t="s">
        <v>8758</v>
      </c>
      <c r="F374" s="8" t="s">
        <v>8761</v>
      </c>
      <c r="G374" s="6" t="s">
        <v>130</v>
      </c>
      <c r="H374" s="6" t="s">
        <v>131</v>
      </c>
      <c r="I374" s="8" t="s">
        <v>132</v>
      </c>
      <c r="J374" s="6" t="s">
        <v>132</v>
      </c>
      <c r="K374" s="9">
        <v>273</v>
      </c>
      <c r="L374" s="8" t="s">
        <v>8762</v>
      </c>
      <c r="M374" s="9">
        <v>15</v>
      </c>
      <c r="N374" s="6">
        <v>59.916849399999997</v>
      </c>
      <c r="O374" s="6">
        <v>10.693804999999999</v>
      </c>
      <c r="P374" s="6" t="s">
        <v>8763</v>
      </c>
      <c r="Q374" s="6">
        <v>1</v>
      </c>
      <c r="R374" s="6" t="s">
        <v>79</v>
      </c>
      <c r="T374" s="6">
        <v>23855504</v>
      </c>
      <c r="U374" s="6" t="s">
        <v>80</v>
      </c>
      <c r="V374" s="6">
        <v>67</v>
      </c>
      <c r="W374" s="6" t="s">
        <v>167</v>
      </c>
      <c r="X374" s="6" t="s">
        <v>8764</v>
      </c>
      <c r="Y374" s="6" t="s">
        <v>8765</v>
      </c>
      <c r="Z374" s="6" t="s">
        <v>8766</v>
      </c>
      <c r="AA374" s="6" t="s">
        <v>8767</v>
      </c>
      <c r="AB374" s="6" t="s">
        <v>8768</v>
      </c>
      <c r="AC374" s="6">
        <v>541613</v>
      </c>
      <c r="AD374" s="10" t="str">
        <f>_xlfn.XLOOKUP(AC374,[1]Mapping!B:B,[1]Mapping!C:C,"")</f>
        <v xml:space="preserve">Marketing Consulting Services </v>
      </c>
      <c r="AG374" s="6" t="s">
        <v>1142</v>
      </c>
      <c r="AH374" s="6" t="s">
        <v>1143</v>
      </c>
      <c r="AI374" s="6" t="s">
        <v>500</v>
      </c>
      <c r="AQ374" s="6">
        <v>8742</v>
      </c>
      <c r="AR374" s="6" t="s">
        <v>2660</v>
      </c>
      <c r="AS374" s="6" t="s">
        <v>8769</v>
      </c>
      <c r="AT374" s="6">
        <v>7020</v>
      </c>
      <c r="AU374" s="6" t="s">
        <v>378</v>
      </c>
      <c r="AV374" s="6" t="s">
        <v>379</v>
      </c>
      <c r="AW374" s="6" t="s">
        <v>380</v>
      </c>
      <c r="AX374" s="6" t="s">
        <v>8770</v>
      </c>
      <c r="AY374" s="6" t="s">
        <v>8771</v>
      </c>
      <c r="BE374" s="6" t="str">
        <f t="shared" si="10"/>
        <v/>
      </c>
      <c r="BF374" s="6" t="e">
        <f t="shared" si="11"/>
        <v>#VALUE!</v>
      </c>
      <c r="BK374" s="6" t="s">
        <v>8772</v>
      </c>
      <c r="BQ374" s="6" t="s">
        <v>8773</v>
      </c>
      <c r="BR374" s="6" t="s">
        <v>105</v>
      </c>
    </row>
    <row r="375" spans="1:70" ht="45" customHeight="1" x14ac:dyDescent="0.25">
      <c r="A375" s="6">
        <v>375</v>
      </c>
      <c r="B375" s="7" t="s">
        <v>8774</v>
      </c>
      <c r="C375" s="8" t="s">
        <v>8775</v>
      </c>
      <c r="D375" s="6" t="s">
        <v>8776</v>
      </c>
      <c r="E375" s="6" t="s">
        <v>8777</v>
      </c>
      <c r="F375" s="8" t="s">
        <v>8778</v>
      </c>
      <c r="G375" s="6" t="s">
        <v>73</v>
      </c>
      <c r="H375" s="6" t="s">
        <v>74</v>
      </c>
      <c r="I375" s="6"/>
      <c r="J375" s="6" t="s">
        <v>486</v>
      </c>
      <c r="K375" s="9">
        <v>2100</v>
      </c>
      <c r="L375" s="8" t="s">
        <v>1135</v>
      </c>
      <c r="M375" s="9">
        <v>3</v>
      </c>
      <c r="N375" s="6">
        <v>55.697214799999998</v>
      </c>
      <c r="O375" s="6">
        <v>12.596989300000001</v>
      </c>
      <c r="P375" s="6" t="s">
        <v>8779</v>
      </c>
      <c r="Q375" s="6">
        <v>1</v>
      </c>
      <c r="R375" s="6" t="s">
        <v>79</v>
      </c>
      <c r="T375" s="6"/>
      <c r="X375" s="6" t="s">
        <v>8780</v>
      </c>
      <c r="Y375" s="6" t="s">
        <v>8781</v>
      </c>
      <c r="Z375" s="6" t="s">
        <v>8782</v>
      </c>
      <c r="AA375" s="6" t="s">
        <v>8783</v>
      </c>
      <c r="AB375" s="6" t="s">
        <v>8784</v>
      </c>
      <c r="AC375" s="6">
        <v>541810</v>
      </c>
      <c r="AD375" s="10" t="str">
        <f>_xlfn.XLOOKUP(AC375,[1]Mapping!B:B,[1]Mapping!C:C,"")</f>
        <v>Advertising Agencies</v>
      </c>
      <c r="AG375" s="6" t="s">
        <v>8785</v>
      </c>
      <c r="AH375" s="6" t="s">
        <v>8786</v>
      </c>
      <c r="AI375" s="6" t="s">
        <v>652</v>
      </c>
      <c r="AJ375" s="6" t="s">
        <v>500</v>
      </c>
      <c r="AK375" s="6" t="s">
        <v>501</v>
      </c>
      <c r="AL375" s="6" t="s">
        <v>502</v>
      </c>
      <c r="AM375" s="6" t="s">
        <v>503</v>
      </c>
      <c r="AN375" s="6" t="s">
        <v>297</v>
      </c>
      <c r="AO375" s="6" t="s">
        <v>298</v>
      </c>
      <c r="AQ375" s="6">
        <v>7311</v>
      </c>
      <c r="AR375" s="6" t="s">
        <v>1121</v>
      </c>
      <c r="AS375" s="6" t="s">
        <v>8787</v>
      </c>
      <c r="AT375" s="6">
        <v>7310</v>
      </c>
      <c r="AU375" s="6" t="s">
        <v>1123</v>
      </c>
      <c r="AV375" s="6">
        <v>73.11</v>
      </c>
      <c r="AW375" s="6" t="s">
        <v>1124</v>
      </c>
      <c r="AX375" s="6" t="s">
        <v>8788</v>
      </c>
      <c r="AY375" s="6" t="s">
        <v>8789</v>
      </c>
      <c r="AZ375" s="6" t="s">
        <v>8790</v>
      </c>
      <c r="BA375" s="6" t="s">
        <v>8791</v>
      </c>
      <c r="BB375" s="6" t="s">
        <v>8792</v>
      </c>
      <c r="BC375" s="6" t="s">
        <v>8791</v>
      </c>
      <c r="BD375" s="6" t="s">
        <v>8793</v>
      </c>
      <c r="BE375" s="6" t="str">
        <f t="shared" si="10"/>
        <v>omnicommediagroup.dk</v>
      </c>
      <c r="BF375" s="6" t="str">
        <f t="shared" si="11"/>
        <v>dk</v>
      </c>
      <c r="BG375" s="6" t="s">
        <v>123</v>
      </c>
      <c r="BP375" s="6" t="s">
        <v>8794</v>
      </c>
      <c r="BQ375" s="6" t="s">
        <v>8795</v>
      </c>
      <c r="BR375" s="6" t="s">
        <v>105</v>
      </c>
    </row>
    <row r="376" spans="1:70" ht="45" customHeight="1" x14ac:dyDescent="0.25">
      <c r="A376" s="6">
        <v>376</v>
      </c>
      <c r="B376" s="7" t="s">
        <v>8796</v>
      </c>
      <c r="C376" s="8" t="s">
        <v>8797</v>
      </c>
      <c r="D376" s="6" t="s">
        <v>8798</v>
      </c>
      <c r="E376" s="8" t="s">
        <v>8798</v>
      </c>
      <c r="F376" s="8" t="s">
        <v>8798</v>
      </c>
      <c r="G376" s="6" t="s">
        <v>1659</v>
      </c>
      <c r="H376" s="6" t="s">
        <v>1660</v>
      </c>
      <c r="I376" s="6" t="s">
        <v>1661</v>
      </c>
      <c r="J376" s="6" t="s">
        <v>1662</v>
      </c>
      <c r="K376" s="9">
        <v>1215</v>
      </c>
      <c r="L376" s="8" t="s">
        <v>8799</v>
      </c>
      <c r="M376" s="9" t="s">
        <v>8032</v>
      </c>
      <c r="N376" s="6">
        <v>23.753007400000001</v>
      </c>
      <c r="O376" s="6">
        <v>90.38422469999999</v>
      </c>
      <c r="P376" s="6" t="s">
        <v>8800</v>
      </c>
      <c r="Q376" s="6">
        <v>2</v>
      </c>
      <c r="R376" s="6" t="s">
        <v>79</v>
      </c>
      <c r="S376" s="6">
        <v>2013</v>
      </c>
      <c r="T376" s="6">
        <v>1264433</v>
      </c>
      <c r="U376" s="6" t="s">
        <v>80</v>
      </c>
      <c r="V376" s="6">
        <v>130</v>
      </c>
      <c r="W376" s="6" t="s">
        <v>167</v>
      </c>
      <c r="X376" s="6" t="s">
        <v>8801</v>
      </c>
      <c r="Y376" s="6" t="s">
        <v>8802</v>
      </c>
      <c r="Z376" s="6" t="s">
        <v>8803</v>
      </c>
      <c r="AA376" s="6" t="s">
        <v>8804</v>
      </c>
      <c r="AB376" s="6" t="s">
        <v>8805</v>
      </c>
      <c r="AC376" s="6">
        <v>425120</v>
      </c>
      <c r="AD376" s="10" t="str">
        <f>_xlfn.XLOOKUP(AC376,[1]Mapping!B:B,[1]Mapping!C:C,"")</f>
        <v xml:space="preserve">Wholesale Trade Agents and Brokers </v>
      </c>
      <c r="AG376" s="6" t="s">
        <v>8806</v>
      </c>
      <c r="AH376" s="6" t="s">
        <v>8807</v>
      </c>
      <c r="AI376" s="6" t="s">
        <v>3225</v>
      </c>
      <c r="AJ376" s="6" t="s">
        <v>174</v>
      </c>
      <c r="AK376" s="6" t="s">
        <v>175</v>
      </c>
      <c r="AL376" s="6" t="s">
        <v>176</v>
      </c>
      <c r="AM376" s="6" t="s">
        <v>177</v>
      </c>
      <c r="AN376" s="6" t="s">
        <v>91</v>
      </c>
      <c r="AO376" s="6" t="s">
        <v>92</v>
      </c>
      <c r="AQ376" s="6">
        <v>5149</v>
      </c>
      <c r="AR376" s="6" t="s">
        <v>8808</v>
      </c>
      <c r="AT376" s="6">
        <v>4690</v>
      </c>
      <c r="AU376" s="6" t="s">
        <v>8809</v>
      </c>
      <c r="AV376" s="6">
        <v>46.9</v>
      </c>
      <c r="AW376" s="6" t="s">
        <v>8810</v>
      </c>
      <c r="AY376" s="6" t="s">
        <v>8811</v>
      </c>
      <c r="AZ376" s="6" t="s">
        <v>8812</v>
      </c>
      <c r="BA376" s="6" t="s">
        <v>8813</v>
      </c>
      <c r="BB376" s="6" t="s">
        <v>8813</v>
      </c>
      <c r="BD376" s="6" t="s">
        <v>8814</v>
      </c>
      <c r="BE376" s="6" t="str">
        <f t="shared" si="10"/>
        <v>omegaeximltd.com</v>
      </c>
      <c r="BF376" s="6" t="str">
        <f t="shared" si="11"/>
        <v>com</v>
      </c>
      <c r="BG376" s="6" t="s">
        <v>101</v>
      </c>
      <c r="BH376" s="6" t="s">
        <v>8815</v>
      </c>
      <c r="BI376" s="6" t="s">
        <v>8816</v>
      </c>
      <c r="BK376" s="6" t="s">
        <v>8817</v>
      </c>
      <c r="BP376" s="6" t="s">
        <v>8818</v>
      </c>
      <c r="BQ376" s="6" t="s">
        <v>8819</v>
      </c>
      <c r="BR376" s="6" t="s">
        <v>105</v>
      </c>
    </row>
    <row r="377" spans="1:70" ht="45" customHeight="1" x14ac:dyDescent="0.25">
      <c r="A377" s="6">
        <v>377</v>
      </c>
      <c r="B377" s="7" t="s">
        <v>8820</v>
      </c>
      <c r="C377" s="8" t="s">
        <v>8821</v>
      </c>
      <c r="D377" s="6" t="s">
        <v>8760</v>
      </c>
      <c r="E377" s="8" t="s">
        <v>8820</v>
      </c>
      <c r="F377" s="8" t="s">
        <v>8760</v>
      </c>
      <c r="G377" s="6" t="s">
        <v>130</v>
      </c>
      <c r="H377" s="6" t="s">
        <v>131</v>
      </c>
      <c r="I377" s="8" t="s">
        <v>132</v>
      </c>
      <c r="J377" s="6" t="s">
        <v>132</v>
      </c>
      <c r="K377" s="9">
        <v>273</v>
      </c>
      <c r="L377" s="8" t="s">
        <v>8762</v>
      </c>
      <c r="M377" s="9">
        <v>15</v>
      </c>
      <c r="N377" s="6">
        <v>59.916849399999997</v>
      </c>
      <c r="O377" s="6">
        <v>10.693804999999999</v>
      </c>
      <c r="P377" s="6" t="s">
        <v>8822</v>
      </c>
      <c r="Q377" s="6">
        <v>1</v>
      </c>
      <c r="T377" s="6"/>
      <c r="X377" s="6" t="s">
        <v>8823</v>
      </c>
      <c r="Y377" s="6" t="s">
        <v>8824</v>
      </c>
      <c r="Z377" s="6" t="s">
        <v>8825</v>
      </c>
      <c r="AA377" s="6" t="s">
        <v>8826</v>
      </c>
      <c r="AB377" s="6" t="s">
        <v>8827</v>
      </c>
      <c r="AC377" s="6">
        <v>541810</v>
      </c>
      <c r="AD377" s="10" t="str">
        <f>_xlfn.XLOOKUP(AC377,[1]Mapping!B:B,[1]Mapping!C:C,"")</f>
        <v>Advertising Agencies</v>
      </c>
      <c r="AG377" s="6" t="s">
        <v>8785</v>
      </c>
      <c r="AH377" s="6" t="s">
        <v>8786</v>
      </c>
      <c r="AI377" s="6" t="s">
        <v>652</v>
      </c>
      <c r="AQ377" s="6">
        <v>7311</v>
      </c>
      <c r="AR377" s="6" t="s">
        <v>1121</v>
      </c>
      <c r="AS377" s="6" t="s">
        <v>8828</v>
      </c>
      <c r="AT377" s="6">
        <v>7310</v>
      </c>
      <c r="AU377" s="6" t="s">
        <v>1123</v>
      </c>
      <c r="AV377" s="6">
        <v>73.11</v>
      </c>
      <c r="AW377" s="6" t="s">
        <v>1124</v>
      </c>
      <c r="AX377" s="6" t="s">
        <v>8829</v>
      </c>
      <c r="AY377" s="6" t="s">
        <v>8771</v>
      </c>
      <c r="BE377" s="6" t="str">
        <f t="shared" si="10"/>
        <v/>
      </c>
      <c r="BF377" s="6" t="e">
        <f t="shared" si="11"/>
        <v>#VALUE!</v>
      </c>
      <c r="BQ377" s="6" t="s">
        <v>8830</v>
      </c>
      <c r="BR377" s="6" t="s">
        <v>105</v>
      </c>
    </row>
    <row r="378" spans="1:70" ht="45" customHeight="1" x14ac:dyDescent="0.25">
      <c r="A378" s="6">
        <v>378</v>
      </c>
      <c r="B378" s="7" t="s">
        <v>8831</v>
      </c>
      <c r="C378" s="8" t="s">
        <v>8832</v>
      </c>
      <c r="D378" s="6" t="s">
        <v>8833</v>
      </c>
      <c r="E378" s="6" t="s">
        <v>838</v>
      </c>
      <c r="F378" s="8" t="s">
        <v>8834</v>
      </c>
      <c r="G378" s="6" t="s">
        <v>315</v>
      </c>
      <c r="H378" s="6" t="s">
        <v>316</v>
      </c>
      <c r="I378" s="6"/>
      <c r="J378" s="6" t="s">
        <v>316</v>
      </c>
      <c r="K378" s="9">
        <v>138565</v>
      </c>
      <c r="L378" s="8" t="s">
        <v>8835</v>
      </c>
      <c r="M378" s="9">
        <v>29</v>
      </c>
      <c r="N378" s="6">
        <v>1.2938457000000001</v>
      </c>
      <c r="O378" s="6">
        <v>103.7934252</v>
      </c>
      <c r="P378" s="6" t="s">
        <v>8836</v>
      </c>
      <c r="Q378" s="6">
        <v>1</v>
      </c>
      <c r="R378" s="6" t="s">
        <v>79</v>
      </c>
      <c r="S378" s="6">
        <v>1999</v>
      </c>
      <c r="V378" s="6">
        <v>100</v>
      </c>
      <c r="W378" s="6" t="s">
        <v>167</v>
      </c>
      <c r="X378" s="6" t="s">
        <v>8837</v>
      </c>
      <c r="Y378" s="6" t="s">
        <v>8838</v>
      </c>
      <c r="Z378" s="6" t="s">
        <v>8839</v>
      </c>
      <c r="AA378" s="6" t="s">
        <v>8840</v>
      </c>
      <c r="AB378" s="6" t="s">
        <v>8841</v>
      </c>
      <c r="AC378" s="10">
        <f>_xlfn.XLOOKUP(AH378,[1]Mapping!C:C,[1]Mapping!B:B,"",1)</f>
        <v>541810</v>
      </c>
      <c r="AD378" s="10" t="s">
        <v>1121</v>
      </c>
      <c r="AE378" s="6">
        <v>541613</v>
      </c>
      <c r="AF378" s="6" t="s">
        <v>496</v>
      </c>
      <c r="AG378" s="6" t="s">
        <v>8842</v>
      </c>
      <c r="AH378" s="6" t="s">
        <v>1123</v>
      </c>
      <c r="AI378" s="6" t="s">
        <v>297</v>
      </c>
      <c r="AJ378" s="6" t="s">
        <v>1121</v>
      </c>
      <c r="AK378" s="6">
        <v>7311</v>
      </c>
      <c r="AL378" s="6" t="s">
        <v>8768</v>
      </c>
      <c r="AM378" s="6">
        <v>7300</v>
      </c>
      <c r="AN378" s="6" t="s">
        <v>297</v>
      </c>
      <c r="AO378" s="6">
        <v>7000</v>
      </c>
      <c r="AQ378" s="6">
        <v>7311</v>
      </c>
      <c r="AR378" s="6" t="s">
        <v>1121</v>
      </c>
      <c r="AT378" s="6">
        <v>7310</v>
      </c>
      <c r="AU378" s="6" t="s">
        <v>1123</v>
      </c>
      <c r="AV378" s="6">
        <v>73.11</v>
      </c>
      <c r="AW378" s="6" t="s">
        <v>1124</v>
      </c>
      <c r="AX378" s="6">
        <v>7300</v>
      </c>
      <c r="AY378" s="6" t="s">
        <v>8843</v>
      </c>
      <c r="AZ378" s="6">
        <v>12125907020</v>
      </c>
      <c r="BD378" s="6" t="s">
        <v>8844</v>
      </c>
      <c r="BE378" s="6" t="str">
        <f t="shared" si="10"/>
        <v>omg.com</v>
      </c>
      <c r="BF378" s="6" t="str">
        <f t="shared" si="11"/>
        <v>com</v>
      </c>
      <c r="BG378" s="6" t="s">
        <v>101</v>
      </c>
      <c r="BH378" s="6" t="s">
        <v>8845</v>
      </c>
      <c r="BI378" s="6" t="s">
        <v>8846</v>
      </c>
      <c r="BJ378" s="6" t="s">
        <v>8847</v>
      </c>
      <c r="BK378" s="6" t="s">
        <v>8848</v>
      </c>
      <c r="BQ378" s="6" t="s">
        <v>8849</v>
      </c>
      <c r="BR378" s="6" t="s">
        <v>105</v>
      </c>
    </row>
    <row r="379" spans="1:70" ht="45" customHeight="1" x14ac:dyDescent="0.25">
      <c r="A379" s="6">
        <v>379</v>
      </c>
      <c r="B379" s="7" t="s">
        <v>8850</v>
      </c>
      <c r="C379" s="8" t="s">
        <v>8851</v>
      </c>
      <c r="D379" s="6" t="s">
        <v>8852</v>
      </c>
      <c r="E379" s="8" t="s">
        <v>8850</v>
      </c>
      <c r="F379" s="8" t="s">
        <v>8852</v>
      </c>
      <c r="G379" s="6" t="s">
        <v>73</v>
      </c>
      <c r="H379" s="6" t="s">
        <v>74</v>
      </c>
      <c r="J379" s="6" t="s">
        <v>486</v>
      </c>
      <c r="K379" s="9">
        <v>2300</v>
      </c>
      <c r="L379" s="8" t="s">
        <v>8853</v>
      </c>
      <c r="M379" s="9" t="s">
        <v>488</v>
      </c>
      <c r="N379" s="6">
        <v>55.667589399999997</v>
      </c>
      <c r="O379" s="6">
        <v>12.6197207</v>
      </c>
      <c r="P379" s="6" t="s">
        <v>8854</v>
      </c>
      <c r="Q379" s="6">
        <v>1</v>
      </c>
      <c r="R379" s="6" t="s">
        <v>79</v>
      </c>
      <c r="T379" s="6"/>
      <c r="X379" s="6" t="s">
        <v>8855</v>
      </c>
      <c r="Y379" s="6" t="s">
        <v>8856</v>
      </c>
      <c r="Z379" s="6" t="s">
        <v>8857</v>
      </c>
      <c r="AA379" s="6" t="s">
        <v>8858</v>
      </c>
      <c r="AB379" s="6" t="s">
        <v>8859</v>
      </c>
      <c r="AC379" s="6">
        <v>541850</v>
      </c>
      <c r="AD379" s="10" t="str">
        <f>_xlfn.XLOOKUP(AC379,[1]Mapping!B:B,[1]Mapping!C:C,"")</f>
        <v>Indoor and Outdoor Display Advertising</v>
      </c>
      <c r="AE379" s="6">
        <v>511210</v>
      </c>
      <c r="AF379" s="6" t="s">
        <v>4619</v>
      </c>
      <c r="AG379" s="6" t="s">
        <v>8860</v>
      </c>
      <c r="AH379" s="6" t="s">
        <v>8861</v>
      </c>
      <c r="AI379" s="6" t="s">
        <v>8862</v>
      </c>
      <c r="AQ379" s="6">
        <v>7312</v>
      </c>
      <c r="AR379" s="6" t="s">
        <v>8863</v>
      </c>
      <c r="AT379" s="6">
        <v>7310</v>
      </c>
      <c r="AU379" s="6" t="s">
        <v>1123</v>
      </c>
      <c r="AV379" s="6">
        <v>73.11</v>
      </c>
      <c r="AW379" s="6" t="s">
        <v>1124</v>
      </c>
      <c r="AY379" s="6" t="s">
        <v>8864</v>
      </c>
      <c r="AZ379" s="6" t="s">
        <v>8865</v>
      </c>
      <c r="BB379" s="6" t="s">
        <v>8866</v>
      </c>
      <c r="BD379" s="6" t="s">
        <v>8867</v>
      </c>
      <c r="BE379" s="6" t="str">
        <f t="shared" si="10"/>
        <v>onthespot.net</v>
      </c>
      <c r="BF379" s="6" t="str">
        <f t="shared" si="11"/>
        <v>net</v>
      </c>
      <c r="BG379" s="6" t="s">
        <v>101</v>
      </c>
      <c r="BJ379" s="6" t="s">
        <v>8868</v>
      </c>
      <c r="BK379" s="6" t="s">
        <v>8869</v>
      </c>
      <c r="BQ379" s="6" t="s">
        <v>8870</v>
      </c>
      <c r="BR379" s="6" t="s">
        <v>105</v>
      </c>
    </row>
    <row r="380" spans="1:70" ht="45" customHeight="1" x14ac:dyDescent="0.25">
      <c r="A380" s="6">
        <v>380</v>
      </c>
      <c r="B380" s="7" t="s">
        <v>8871</v>
      </c>
      <c r="C380" s="8" t="s">
        <v>8872</v>
      </c>
      <c r="D380" s="6" t="s">
        <v>8873</v>
      </c>
      <c r="E380" s="8" t="s">
        <v>8871</v>
      </c>
      <c r="F380" s="8" t="s">
        <v>8874</v>
      </c>
      <c r="G380" s="6" t="s">
        <v>840</v>
      </c>
      <c r="H380" s="6" t="s">
        <v>841</v>
      </c>
      <c r="I380" s="8" t="s">
        <v>842</v>
      </c>
      <c r="J380" s="6" t="s">
        <v>843</v>
      </c>
      <c r="K380" s="9" t="s">
        <v>8875</v>
      </c>
      <c r="L380" s="8" t="s">
        <v>8876</v>
      </c>
      <c r="M380" s="9">
        <v>1</v>
      </c>
      <c r="N380" s="6">
        <v>51.511242000000003</v>
      </c>
      <c r="O380" s="6">
        <v>-8.9282299999999995E-2</v>
      </c>
      <c r="P380" s="6" t="s">
        <v>8877</v>
      </c>
      <c r="Q380" s="6">
        <v>1</v>
      </c>
      <c r="R380" s="6" t="s">
        <v>79</v>
      </c>
      <c r="T380" s="6"/>
      <c r="X380" s="6" t="s">
        <v>8878</v>
      </c>
      <c r="Y380" s="6" t="s">
        <v>8879</v>
      </c>
      <c r="Z380" s="6" t="s">
        <v>8880</v>
      </c>
      <c r="AA380" s="6" t="s">
        <v>8881</v>
      </c>
      <c r="AB380" s="6" t="s">
        <v>8882</v>
      </c>
      <c r="AC380" s="6">
        <v>513210</v>
      </c>
      <c r="AD380" s="10" t="str">
        <f>_xlfn.XLOOKUP(AC380,[1]Mapping!B:B,[1]Mapping!C:C,"")</f>
        <v>Software Publishers</v>
      </c>
      <c r="AG380" s="6" t="s">
        <v>8883</v>
      </c>
      <c r="AH380" s="6" t="s">
        <v>8884</v>
      </c>
      <c r="AI380" s="6" t="s">
        <v>499</v>
      </c>
      <c r="AQ380" s="6">
        <v>7372</v>
      </c>
      <c r="AR380" s="6" t="s">
        <v>2077</v>
      </c>
      <c r="AT380" s="6">
        <v>5820</v>
      </c>
      <c r="AU380" s="6" t="s">
        <v>2028</v>
      </c>
      <c r="AV380" s="6">
        <v>58.29</v>
      </c>
      <c r="AW380" s="6" t="s">
        <v>2078</v>
      </c>
      <c r="AY380" s="6" t="s">
        <v>8885</v>
      </c>
      <c r="AZ380" s="6">
        <v>448448000000</v>
      </c>
      <c r="BD380" s="6" t="s">
        <v>8886</v>
      </c>
      <c r="BE380" s="6" t="str">
        <f t="shared" si="10"/>
        <v>onetrust.com</v>
      </c>
      <c r="BF380" s="6" t="str">
        <f t="shared" si="11"/>
        <v>com</v>
      </c>
      <c r="BG380" s="6" t="s">
        <v>101</v>
      </c>
      <c r="BP380" s="6" t="s">
        <v>8887</v>
      </c>
      <c r="BQ380" s="6" t="s">
        <v>8888</v>
      </c>
      <c r="BR380" s="6" t="s">
        <v>105</v>
      </c>
    </row>
    <row r="381" spans="1:70" ht="45" customHeight="1" x14ac:dyDescent="0.25">
      <c r="A381" s="6">
        <v>381</v>
      </c>
      <c r="B381" s="7" t="s">
        <v>8889</v>
      </c>
      <c r="C381" s="8" t="s">
        <v>5683</v>
      </c>
      <c r="D381" s="6" t="s">
        <v>8890</v>
      </c>
      <c r="E381" s="8" t="s">
        <v>5685</v>
      </c>
      <c r="F381" s="8" t="s">
        <v>5685</v>
      </c>
      <c r="G381" s="6" t="s">
        <v>1324</v>
      </c>
      <c r="H381" s="6" t="s">
        <v>1325</v>
      </c>
      <c r="I381" s="6" t="s">
        <v>1327</v>
      </c>
      <c r="J381" s="6" t="s">
        <v>1327</v>
      </c>
      <c r="K381" s="9">
        <v>10500</v>
      </c>
      <c r="L381" s="8" t="s">
        <v>8891</v>
      </c>
      <c r="M381" s="9">
        <v>540</v>
      </c>
      <c r="N381" s="6">
        <v>13.729539000000001</v>
      </c>
      <c r="O381" s="6">
        <v>100.535169</v>
      </c>
      <c r="P381" s="6" t="s">
        <v>5687</v>
      </c>
      <c r="Q381" s="6">
        <v>2</v>
      </c>
      <c r="R381" s="6" t="s">
        <v>79</v>
      </c>
      <c r="S381" s="6">
        <v>1979</v>
      </c>
      <c r="T381" s="6">
        <v>2426858</v>
      </c>
      <c r="U381" s="6" t="s">
        <v>80</v>
      </c>
      <c r="V381" s="6">
        <v>75</v>
      </c>
      <c r="W381" s="6" t="s">
        <v>80</v>
      </c>
      <c r="X381" s="6" t="s">
        <v>8892</v>
      </c>
      <c r="Y381" s="6" t="s">
        <v>5689</v>
      </c>
      <c r="Z381" s="6" t="s">
        <v>5690</v>
      </c>
      <c r="AA381" s="6" t="s">
        <v>5691</v>
      </c>
      <c r="AB381" s="6" t="s">
        <v>5692</v>
      </c>
      <c r="AC381" s="6">
        <v>339910</v>
      </c>
      <c r="AD381" s="10" t="str">
        <f>_xlfn.XLOOKUP(AC381,[1]Mapping!B:B,[1]Mapping!C:C,"")</f>
        <v xml:space="preserve">Jewelry and Silverware Manufacturing </v>
      </c>
      <c r="AG381" s="6" t="s">
        <v>5527</v>
      </c>
      <c r="AH381" s="6" t="s">
        <v>5528</v>
      </c>
      <c r="AI381" s="6" t="s">
        <v>1467</v>
      </c>
      <c r="AJ381" s="6" t="s">
        <v>1467</v>
      </c>
      <c r="AK381" s="6" t="s">
        <v>1468</v>
      </c>
      <c r="AL381" s="6" t="s">
        <v>1469</v>
      </c>
      <c r="AM381" s="6" t="s">
        <v>1470</v>
      </c>
      <c r="AN381" s="6" t="s">
        <v>259</v>
      </c>
      <c r="AO381" s="6" t="s">
        <v>260</v>
      </c>
      <c r="AQ381" s="6" t="s">
        <v>5529</v>
      </c>
      <c r="AR381" s="6" t="s">
        <v>5530</v>
      </c>
      <c r="AS381" s="6" t="s">
        <v>5693</v>
      </c>
      <c r="AT381" s="6" t="s">
        <v>5531</v>
      </c>
      <c r="AU381" s="6" t="s">
        <v>5532</v>
      </c>
      <c r="AV381" s="6" t="s">
        <v>5533</v>
      </c>
      <c r="AW381" s="6" t="s">
        <v>5534</v>
      </c>
      <c r="AX381" s="6" t="s">
        <v>5694</v>
      </c>
      <c r="AY381" s="6" t="s">
        <v>8893</v>
      </c>
      <c r="AZ381" s="6" t="s">
        <v>5696</v>
      </c>
      <c r="BA381" s="6" t="s">
        <v>5697</v>
      </c>
      <c r="BD381" s="6" t="s">
        <v>8894</v>
      </c>
      <c r="BE381" s="6" t="str">
        <f t="shared" si="10"/>
        <v>oracle.com</v>
      </c>
      <c r="BF381" s="6" t="str">
        <f t="shared" si="11"/>
        <v>com</v>
      </c>
      <c r="BG381" s="6" t="s">
        <v>101</v>
      </c>
      <c r="BH381" s="6" t="s">
        <v>8895</v>
      </c>
      <c r="BI381" s="6" t="s">
        <v>8896</v>
      </c>
      <c r="BK381" s="6" t="s">
        <v>8897</v>
      </c>
      <c r="BN381" s="6" t="s">
        <v>8898</v>
      </c>
      <c r="BP381" s="6" t="s">
        <v>5704</v>
      </c>
      <c r="BQ381" s="6" t="s">
        <v>5705</v>
      </c>
      <c r="BR381" s="6" t="s">
        <v>105</v>
      </c>
    </row>
    <row r="382" spans="1:70" ht="45" customHeight="1" x14ac:dyDescent="0.25">
      <c r="A382" s="6">
        <v>382</v>
      </c>
      <c r="B382" s="7" t="s">
        <v>8899</v>
      </c>
      <c r="C382" s="8" t="s">
        <v>8900</v>
      </c>
      <c r="D382" s="6" t="s">
        <v>8901</v>
      </c>
      <c r="E382" s="8" t="s">
        <v>8901</v>
      </c>
      <c r="F382" s="8" t="s">
        <v>8901</v>
      </c>
      <c r="G382" s="6" t="s">
        <v>612</v>
      </c>
      <c r="H382" s="6" t="s">
        <v>613</v>
      </c>
      <c r="I382" s="6" t="s">
        <v>8902</v>
      </c>
      <c r="J382" s="6" t="s">
        <v>752</v>
      </c>
      <c r="K382" s="9">
        <v>59200</v>
      </c>
      <c r="L382" s="8" t="s">
        <v>6502</v>
      </c>
      <c r="N382" s="6">
        <v>3.1198581000000001</v>
      </c>
      <c r="O382" s="6">
        <v>101.6764974</v>
      </c>
      <c r="P382" s="6" t="s">
        <v>8903</v>
      </c>
      <c r="Q382" s="6">
        <v>1</v>
      </c>
      <c r="R382" s="6" t="s">
        <v>79</v>
      </c>
      <c r="T382" s="6"/>
      <c r="X382" s="6" t="s">
        <v>8904</v>
      </c>
      <c r="Y382" s="6" t="s">
        <v>8905</v>
      </c>
      <c r="Z382" s="6" t="s">
        <v>8906</v>
      </c>
      <c r="AC382" s="6">
        <v>541512</v>
      </c>
      <c r="AD382" s="10" t="str">
        <f>_xlfn.XLOOKUP(AC382,[1]Mapping!B:B,[1]Mapping!C:C,"")</f>
        <v xml:space="preserve">Computer Systems Design Services </v>
      </c>
      <c r="AG382" s="6" t="s">
        <v>581</v>
      </c>
      <c r="AH382" s="6" t="s">
        <v>174</v>
      </c>
      <c r="AI382" s="6" t="s">
        <v>87</v>
      </c>
      <c r="AQ382" s="6" t="s">
        <v>582</v>
      </c>
      <c r="AR382" s="6" t="s">
        <v>583</v>
      </c>
      <c r="AT382" s="6">
        <v>6202</v>
      </c>
      <c r="AU382" s="6" t="s">
        <v>584</v>
      </c>
      <c r="AV382" s="6" t="s">
        <v>585</v>
      </c>
      <c r="AW382" s="6" t="s">
        <v>586</v>
      </c>
      <c r="AY382" s="6" t="s">
        <v>8907</v>
      </c>
      <c r="AZ382" s="6">
        <v>60322993600</v>
      </c>
      <c r="BD382" s="6" t="s">
        <v>8908</v>
      </c>
      <c r="BE382" s="6" t="str">
        <f t="shared" si="10"/>
        <v>oracle.com</v>
      </c>
      <c r="BF382" s="6" t="str">
        <f t="shared" si="11"/>
        <v>com</v>
      </c>
      <c r="BG382" s="6" t="s">
        <v>101</v>
      </c>
      <c r="BH382" s="6" t="s">
        <v>8895</v>
      </c>
      <c r="BI382" s="6" t="s">
        <v>8896</v>
      </c>
      <c r="BK382" s="6" t="s">
        <v>8897</v>
      </c>
      <c r="BN382" s="6" t="s">
        <v>8898</v>
      </c>
      <c r="BQ382" s="6" t="s">
        <v>8909</v>
      </c>
      <c r="BR382" s="6" t="s">
        <v>105</v>
      </c>
    </row>
    <row r="383" spans="1:70" ht="45" customHeight="1" x14ac:dyDescent="0.25">
      <c r="A383" s="6">
        <v>383</v>
      </c>
      <c r="B383" s="7" t="s">
        <v>8910</v>
      </c>
      <c r="C383" s="8" t="s">
        <v>8911</v>
      </c>
      <c r="D383" s="6" t="s">
        <v>8912</v>
      </c>
      <c r="E383" s="8" t="s">
        <v>8910</v>
      </c>
      <c r="F383" s="8" t="s">
        <v>8913</v>
      </c>
      <c r="G383" s="6" t="s">
        <v>73</v>
      </c>
      <c r="H383" s="6" t="s">
        <v>74</v>
      </c>
      <c r="J383" s="6" t="s">
        <v>1802</v>
      </c>
      <c r="K383" s="9">
        <v>2900</v>
      </c>
      <c r="L383" s="8" t="s">
        <v>8914</v>
      </c>
      <c r="M383" s="9">
        <v>15</v>
      </c>
      <c r="N383" s="6">
        <v>55.727138699999998</v>
      </c>
      <c r="O383" s="6">
        <v>12.582526700000001</v>
      </c>
      <c r="P383" s="6" t="s">
        <v>2395</v>
      </c>
      <c r="Q383" s="6">
        <v>1</v>
      </c>
      <c r="R383" s="6" t="s">
        <v>79</v>
      </c>
      <c r="T383" s="6">
        <v>243643</v>
      </c>
      <c r="U383" s="6" t="s">
        <v>80</v>
      </c>
      <c r="V383" s="6">
        <v>1</v>
      </c>
      <c r="W383" s="6" t="s">
        <v>167</v>
      </c>
      <c r="X383" s="6" t="s">
        <v>8915</v>
      </c>
      <c r="Y383" s="6" t="s">
        <v>8916</v>
      </c>
      <c r="Z383" s="6" t="s">
        <v>8917</v>
      </c>
      <c r="AA383" s="6" t="s">
        <v>8918</v>
      </c>
      <c r="AB383" s="6" t="s">
        <v>8919</v>
      </c>
      <c r="AC383" s="6">
        <v>511210</v>
      </c>
      <c r="AD383" s="10" t="s">
        <v>2977</v>
      </c>
      <c r="AE383" s="6">
        <v>541512</v>
      </c>
      <c r="AF383" s="6" t="s">
        <v>2977</v>
      </c>
      <c r="AG383" s="6" t="s">
        <v>8920</v>
      </c>
      <c r="AH383" s="6" t="s">
        <v>8921</v>
      </c>
      <c r="AI383" s="6" t="s">
        <v>499</v>
      </c>
      <c r="AJ383" s="6" t="s">
        <v>174</v>
      </c>
      <c r="AK383" s="6" t="s">
        <v>175</v>
      </c>
      <c r="AL383" s="6" t="s">
        <v>176</v>
      </c>
      <c r="AM383" s="6" t="s">
        <v>177</v>
      </c>
      <c r="AN383" s="6" t="s">
        <v>91</v>
      </c>
      <c r="AO383" s="6" t="s">
        <v>92</v>
      </c>
      <c r="AQ383" s="6">
        <v>7372</v>
      </c>
      <c r="AR383" s="6" t="s">
        <v>2077</v>
      </c>
      <c r="AS383" s="6" t="s">
        <v>8922</v>
      </c>
      <c r="AT383" s="6">
        <v>5820</v>
      </c>
      <c r="AU383" s="6" t="s">
        <v>2028</v>
      </c>
      <c r="AV383" s="6">
        <v>58.29</v>
      </c>
      <c r="AW383" s="6" t="s">
        <v>2078</v>
      </c>
      <c r="AX383" s="6" t="s">
        <v>8923</v>
      </c>
      <c r="AY383" s="6" t="s">
        <v>8924</v>
      </c>
      <c r="AZ383" s="6">
        <v>4520052008</v>
      </c>
      <c r="BD383" s="6" t="s">
        <v>8925</v>
      </c>
      <c r="BE383" s="6" t="str">
        <f t="shared" si="10"/>
        <v>oracle.com</v>
      </c>
      <c r="BF383" s="6" t="str">
        <f t="shared" si="11"/>
        <v>com</v>
      </c>
      <c r="BG383" s="6" t="s">
        <v>123</v>
      </c>
      <c r="BH383" s="6" t="s">
        <v>8895</v>
      </c>
      <c r="BI383" s="6" t="s">
        <v>8896</v>
      </c>
      <c r="BK383" s="6" t="s">
        <v>8897</v>
      </c>
      <c r="BN383" s="6" t="s">
        <v>8898</v>
      </c>
      <c r="BP383" s="6" t="s">
        <v>8926</v>
      </c>
      <c r="BQ383" s="6" t="s">
        <v>8927</v>
      </c>
      <c r="BR383" s="6" t="s">
        <v>105</v>
      </c>
    </row>
    <row r="384" spans="1:70" ht="45" customHeight="1" x14ac:dyDescent="0.25">
      <c r="A384" s="6">
        <v>384</v>
      </c>
      <c r="B384" s="7" t="s">
        <v>8928</v>
      </c>
      <c r="C384" s="8" t="s">
        <v>8929</v>
      </c>
      <c r="D384" s="6" t="s">
        <v>8930</v>
      </c>
      <c r="E384" s="8" t="s">
        <v>8928</v>
      </c>
      <c r="F384" s="8" t="s">
        <v>8930</v>
      </c>
      <c r="G384" s="6" t="s">
        <v>130</v>
      </c>
      <c r="H384" s="6" t="s">
        <v>131</v>
      </c>
      <c r="I384" s="8" t="s">
        <v>2572</v>
      </c>
      <c r="J384" s="6" t="s">
        <v>2573</v>
      </c>
      <c r="K384" s="9">
        <v>1366</v>
      </c>
      <c r="L384" s="8" t="s">
        <v>8931</v>
      </c>
      <c r="M384" s="9">
        <v>2</v>
      </c>
      <c r="N384" s="6">
        <v>59.911058799999992</v>
      </c>
      <c r="O384" s="6">
        <v>10.6336643</v>
      </c>
      <c r="P384" s="6" t="s">
        <v>8932</v>
      </c>
      <c r="Q384" s="6">
        <v>2</v>
      </c>
      <c r="R384" s="6" t="s">
        <v>79</v>
      </c>
      <c r="T384" s="6"/>
      <c r="X384" s="6" t="s">
        <v>8933</v>
      </c>
      <c r="Y384" s="6" t="s">
        <v>8934</v>
      </c>
      <c r="Z384" s="6" t="s">
        <v>8935</v>
      </c>
      <c r="AA384" s="6" t="s">
        <v>8936</v>
      </c>
      <c r="AB384" s="6" t="s">
        <v>8937</v>
      </c>
      <c r="AC384" s="6">
        <v>511210</v>
      </c>
      <c r="AD384" s="10" t="s">
        <v>2977</v>
      </c>
      <c r="AE384" s="6">
        <v>541512</v>
      </c>
      <c r="AF384" s="6" t="s">
        <v>2977</v>
      </c>
      <c r="AG384" s="6" t="s">
        <v>8920</v>
      </c>
      <c r="AH384" s="6" t="s">
        <v>8921</v>
      </c>
      <c r="AI384" s="6" t="s">
        <v>499</v>
      </c>
      <c r="AQ384" s="6">
        <v>7372</v>
      </c>
      <c r="AR384" s="6" t="s">
        <v>2077</v>
      </c>
      <c r="AT384" s="6">
        <v>5820</v>
      </c>
      <c r="AU384" s="6" t="s">
        <v>2028</v>
      </c>
      <c r="AV384" s="6">
        <v>58.29</v>
      </c>
      <c r="AW384" s="6" t="s">
        <v>2078</v>
      </c>
      <c r="AY384" s="6" t="s">
        <v>8938</v>
      </c>
      <c r="AZ384" s="6" t="s">
        <v>8939</v>
      </c>
      <c r="BD384" s="6" t="s">
        <v>8940</v>
      </c>
      <c r="BE384" s="6" t="str">
        <f t="shared" si="10"/>
        <v>oracle.com</v>
      </c>
      <c r="BF384" s="6" t="str">
        <f t="shared" si="11"/>
        <v>com</v>
      </c>
      <c r="BG384" s="6" t="s">
        <v>150</v>
      </c>
      <c r="BH384" s="6" t="s">
        <v>8895</v>
      </c>
      <c r="BI384" s="6" t="s">
        <v>8896</v>
      </c>
      <c r="BK384" s="6" t="s">
        <v>8897</v>
      </c>
      <c r="BN384" s="6" t="s">
        <v>8898</v>
      </c>
      <c r="BQ384" s="6" t="s">
        <v>8941</v>
      </c>
      <c r="BR384" s="6" t="s">
        <v>105</v>
      </c>
    </row>
    <row r="385" spans="1:70" ht="45" customHeight="1" x14ac:dyDescent="0.25">
      <c r="A385" s="6">
        <v>385</v>
      </c>
      <c r="B385" s="7" t="s">
        <v>8942</v>
      </c>
      <c r="C385" s="8" t="s">
        <v>8943</v>
      </c>
      <c r="D385" s="6" t="s">
        <v>8944</v>
      </c>
      <c r="E385" s="8" t="s">
        <v>8942</v>
      </c>
      <c r="F385" s="8" t="s">
        <v>8945</v>
      </c>
      <c r="G385" s="6" t="s">
        <v>160</v>
      </c>
      <c r="H385" s="6" t="s">
        <v>161</v>
      </c>
      <c r="I385" s="8" t="s">
        <v>281</v>
      </c>
      <c r="J385" s="6" t="s">
        <v>1350</v>
      </c>
      <c r="K385" s="9" t="s">
        <v>8946</v>
      </c>
      <c r="L385" s="8" t="s">
        <v>8947</v>
      </c>
      <c r="M385" s="9">
        <v>4</v>
      </c>
      <c r="N385" s="6">
        <v>59.363485500000003</v>
      </c>
      <c r="O385" s="6">
        <v>18.022477500000001</v>
      </c>
      <c r="P385" s="6" t="s">
        <v>4281</v>
      </c>
      <c r="Q385" s="6">
        <v>1</v>
      </c>
      <c r="R385" s="6" t="s">
        <v>79</v>
      </c>
      <c r="T385" s="6">
        <v>1168839</v>
      </c>
      <c r="U385" s="6" t="s">
        <v>80</v>
      </c>
      <c r="V385" s="6">
        <v>6</v>
      </c>
      <c r="W385" s="6" t="s">
        <v>80</v>
      </c>
      <c r="X385" s="6" t="s">
        <v>8948</v>
      </c>
      <c r="Y385" s="6" t="s">
        <v>8916</v>
      </c>
      <c r="Z385" s="6" t="s">
        <v>8949</v>
      </c>
      <c r="AA385" s="6" t="s">
        <v>8950</v>
      </c>
      <c r="AB385" s="6" t="s">
        <v>8951</v>
      </c>
      <c r="AC385" s="6">
        <v>511210</v>
      </c>
      <c r="AD385" s="10" t="s">
        <v>2977</v>
      </c>
      <c r="AE385" s="6">
        <v>541512</v>
      </c>
      <c r="AF385" s="6" t="s">
        <v>2977</v>
      </c>
      <c r="AG385" s="6" t="s">
        <v>8920</v>
      </c>
      <c r="AH385" s="6" t="s">
        <v>8921</v>
      </c>
      <c r="AI385" s="6" t="s">
        <v>499</v>
      </c>
      <c r="AJ385" s="6" t="s">
        <v>174</v>
      </c>
      <c r="AK385" s="6" t="s">
        <v>175</v>
      </c>
      <c r="AL385" s="6" t="s">
        <v>176</v>
      </c>
      <c r="AM385" s="6" t="s">
        <v>177</v>
      </c>
      <c r="AN385" s="6" t="s">
        <v>91</v>
      </c>
      <c r="AO385" s="6" t="s">
        <v>92</v>
      </c>
      <c r="AQ385" s="6">
        <v>7372</v>
      </c>
      <c r="AR385" s="6" t="s">
        <v>2077</v>
      </c>
      <c r="AS385" s="6" t="s">
        <v>8952</v>
      </c>
      <c r="AT385" s="6">
        <v>5820</v>
      </c>
      <c r="AU385" s="6" t="s">
        <v>2028</v>
      </c>
      <c r="AV385" s="6">
        <v>58.29</v>
      </c>
      <c r="AW385" s="6" t="s">
        <v>2078</v>
      </c>
      <c r="AX385" s="6" t="s">
        <v>8953</v>
      </c>
      <c r="AY385" s="6" t="s">
        <v>8954</v>
      </c>
      <c r="BD385" s="6" t="s">
        <v>8955</v>
      </c>
      <c r="BE385" s="6" t="str">
        <f t="shared" si="10"/>
        <v>oracle.com</v>
      </c>
      <c r="BF385" s="6" t="str">
        <f t="shared" si="11"/>
        <v>com</v>
      </c>
      <c r="BG385" s="6" t="s">
        <v>308</v>
      </c>
      <c r="BH385" s="6" t="s">
        <v>8895</v>
      </c>
      <c r="BI385" s="6" t="s">
        <v>8896</v>
      </c>
      <c r="BK385" s="6" t="s">
        <v>8897</v>
      </c>
      <c r="BN385" s="6" t="s">
        <v>8898</v>
      </c>
      <c r="BQ385" s="6" t="s">
        <v>8956</v>
      </c>
      <c r="BR385" s="6" t="s">
        <v>105</v>
      </c>
    </row>
    <row r="386" spans="1:70" ht="45" customHeight="1" x14ac:dyDescent="0.25">
      <c r="A386" s="6">
        <v>386</v>
      </c>
      <c r="B386" s="7" t="s">
        <v>8957</v>
      </c>
      <c r="C386" s="8" t="s">
        <v>8958</v>
      </c>
      <c r="D386" s="6" t="s">
        <v>8957</v>
      </c>
      <c r="E386" s="6" t="s">
        <v>8959</v>
      </c>
      <c r="F386" s="8" t="s">
        <v>8960</v>
      </c>
      <c r="G386" s="6" t="s">
        <v>243</v>
      </c>
      <c r="H386" s="6" t="s">
        <v>244</v>
      </c>
      <c r="I386" s="6" t="s">
        <v>245</v>
      </c>
      <c r="J386" s="6" t="s">
        <v>8961</v>
      </c>
      <c r="K386" s="9">
        <v>1610</v>
      </c>
      <c r="L386" s="8" t="s">
        <v>8962</v>
      </c>
      <c r="M386" s="9">
        <v>9</v>
      </c>
      <c r="N386" s="6">
        <v>60.255593099999992</v>
      </c>
      <c r="O386" s="6">
        <v>24.872099899999998</v>
      </c>
      <c r="P386" s="6" t="s">
        <v>8963</v>
      </c>
      <c r="Q386" s="6">
        <v>1</v>
      </c>
      <c r="R386" s="6" t="s">
        <v>79</v>
      </c>
      <c r="T386" s="6">
        <v>3083034</v>
      </c>
      <c r="U386" s="6" t="s">
        <v>80</v>
      </c>
      <c r="V386" s="6">
        <v>30</v>
      </c>
      <c r="W386" s="6" t="s">
        <v>80</v>
      </c>
      <c r="X386" s="6" t="s">
        <v>8964</v>
      </c>
      <c r="Y386" s="6" t="s">
        <v>8965</v>
      </c>
      <c r="Z386" s="6" t="s">
        <v>8966</v>
      </c>
      <c r="AA386" s="6" t="s">
        <v>8967</v>
      </c>
      <c r="AB386" s="6" t="s">
        <v>8968</v>
      </c>
      <c r="AC386" s="6">
        <v>811210</v>
      </c>
      <c r="AD386" s="10" t="str">
        <f>_xlfn.XLOOKUP(AC386,[1]Mapping!B:B,[1]Mapping!C:C,"")</f>
        <v xml:space="preserve">Electronic and Precision Equipment Repair and Maintenance </v>
      </c>
      <c r="AG386" s="6" t="s">
        <v>8969</v>
      </c>
      <c r="AH386" s="6" t="s">
        <v>1645</v>
      </c>
      <c r="AI386" s="6" t="s">
        <v>141</v>
      </c>
      <c r="AJ386" s="6" t="s">
        <v>293</v>
      </c>
      <c r="AK386" s="6" t="s">
        <v>294</v>
      </c>
      <c r="AL386" s="6" t="s">
        <v>295</v>
      </c>
      <c r="AM386" s="6" t="s">
        <v>296</v>
      </c>
      <c r="AN386" s="6" t="s">
        <v>297</v>
      </c>
      <c r="AO386" s="6" t="s">
        <v>298</v>
      </c>
      <c r="AQ386" s="6" t="s">
        <v>8970</v>
      </c>
      <c r="AR386" s="6" t="s">
        <v>8971</v>
      </c>
      <c r="AT386" s="6" t="s">
        <v>8972</v>
      </c>
      <c r="AU386" s="6" t="s">
        <v>8973</v>
      </c>
      <c r="AV386" s="6" t="s">
        <v>8974</v>
      </c>
      <c r="AW386" s="6" t="s">
        <v>8975</v>
      </c>
      <c r="AY386" s="6" t="s">
        <v>8976</v>
      </c>
      <c r="AZ386" s="6" t="s">
        <v>8977</v>
      </c>
      <c r="BD386" s="6" t="s">
        <v>8978</v>
      </c>
      <c r="BE386" s="6" t="str">
        <f t="shared" si="10"/>
        <v>orbis.fi</v>
      </c>
      <c r="BF386" s="6" t="str">
        <f t="shared" si="11"/>
        <v>fi</v>
      </c>
      <c r="BG386" s="6" t="s">
        <v>3638</v>
      </c>
      <c r="BP386" s="6" t="s">
        <v>8979</v>
      </c>
      <c r="BQ386" s="6" t="s">
        <v>8980</v>
      </c>
      <c r="BR386" s="6" t="s">
        <v>105</v>
      </c>
    </row>
    <row r="387" spans="1:70" ht="45" customHeight="1" x14ac:dyDescent="0.25">
      <c r="A387" s="6">
        <v>387</v>
      </c>
      <c r="B387" s="7" t="s">
        <v>8981</v>
      </c>
      <c r="C387" s="8" t="s">
        <v>8982</v>
      </c>
      <c r="D387" s="6" t="s">
        <v>8983</v>
      </c>
      <c r="E387" s="6" t="s">
        <v>8984</v>
      </c>
      <c r="F387" s="8" t="s">
        <v>8985</v>
      </c>
      <c r="G387" s="6" t="s">
        <v>73</v>
      </c>
      <c r="H387" s="6" t="s">
        <v>74</v>
      </c>
      <c r="I387" s="6"/>
      <c r="J387" s="6" t="s">
        <v>2206</v>
      </c>
      <c r="K387" s="9">
        <v>7100</v>
      </c>
      <c r="L387" s="8" t="s">
        <v>8986</v>
      </c>
      <c r="M387" s="9">
        <v>1</v>
      </c>
      <c r="N387" s="6">
        <v>55.733390900000003</v>
      </c>
      <c r="O387" s="6">
        <v>9.5685222999999997</v>
      </c>
      <c r="P387" s="6" t="s">
        <v>8987</v>
      </c>
      <c r="Q387" s="6">
        <v>2</v>
      </c>
      <c r="R387" s="6" t="s">
        <v>79</v>
      </c>
      <c r="S387" s="6">
        <v>2014</v>
      </c>
      <c r="T387" s="6">
        <v>24358964</v>
      </c>
      <c r="U387" s="6" t="s">
        <v>80</v>
      </c>
      <c r="V387" s="6">
        <v>75</v>
      </c>
      <c r="W387" s="6" t="s">
        <v>80</v>
      </c>
      <c r="X387" s="6" t="s">
        <v>8988</v>
      </c>
      <c r="Y387" s="6" t="s">
        <v>8989</v>
      </c>
      <c r="Z387" s="6" t="s">
        <v>8990</v>
      </c>
      <c r="AA387" s="6" t="s">
        <v>8991</v>
      </c>
      <c r="AB387" s="6" t="s">
        <v>8992</v>
      </c>
      <c r="AC387" s="6">
        <v>541512</v>
      </c>
      <c r="AD387" s="10" t="str">
        <f>_xlfn.XLOOKUP(AC387,[1]Mapping!B:B,[1]Mapping!C:C,"")</f>
        <v xml:space="preserve">Computer Systems Design Services </v>
      </c>
      <c r="AG387" s="6" t="s">
        <v>8548</v>
      </c>
      <c r="AH387" s="6" t="s">
        <v>8993</v>
      </c>
      <c r="AI387" s="6" t="s">
        <v>499</v>
      </c>
      <c r="AJ387" s="6" t="s">
        <v>1241</v>
      </c>
      <c r="AK387" s="6" t="s">
        <v>1242</v>
      </c>
      <c r="AL387" s="6" t="s">
        <v>219</v>
      </c>
      <c r="AM387" s="6" t="s">
        <v>220</v>
      </c>
      <c r="AN387" s="6" t="s">
        <v>221</v>
      </c>
      <c r="AO387" s="6" t="s">
        <v>222</v>
      </c>
      <c r="AQ387" s="6">
        <v>7373</v>
      </c>
      <c r="AR387" s="6" t="s">
        <v>2820</v>
      </c>
      <c r="AT387" s="6">
        <v>6202</v>
      </c>
      <c r="AU387" s="6" t="s">
        <v>2822</v>
      </c>
      <c r="AV387" s="6">
        <v>62.02</v>
      </c>
      <c r="AW387" s="6" t="s">
        <v>2822</v>
      </c>
      <c r="AY387" s="6" t="s">
        <v>8994</v>
      </c>
      <c r="AZ387" s="6" t="s">
        <v>8995</v>
      </c>
      <c r="BA387" s="6" t="s">
        <v>8996</v>
      </c>
      <c r="BB387" s="6" t="s">
        <v>8997</v>
      </c>
      <c r="BD387" s="6" t="s">
        <v>8998</v>
      </c>
      <c r="BE387" s="6" t="str">
        <f t="shared" ref="BE387:BE450" si="12">LEFT(
  SUBSTITUTE(SUBSTITUTE(SUBSTITUTE(BD387,"https://",""),"http://",""),"www.",""),
  IFERROR(
    FIND("/",SUBSTITUTE(SUBSTITUTE(SUBSTITUTE(BD387,"https://",""),"http://",""),"www.","")&amp;"/")-1,
    LEN(SUBSTITUTE(SUBSTITUTE(SUBSTITUTE(BD387,"https://",""),"http://",""),"www.",""))
  )
)</f>
        <v>orogenic.dk</v>
      </c>
      <c r="BF387" s="6" t="str">
        <f t="shared" ref="BF387:BF450" si="13">_xlfn.TEXTAFTER(BE387,".",-1)</f>
        <v>dk</v>
      </c>
      <c r="BG387" s="6" t="s">
        <v>123</v>
      </c>
      <c r="BK387" s="6" t="s">
        <v>8999</v>
      </c>
      <c r="BP387" s="6" t="s">
        <v>9000</v>
      </c>
      <c r="BQ387" s="6" t="s">
        <v>9001</v>
      </c>
      <c r="BR387" s="6" t="s">
        <v>105</v>
      </c>
    </row>
    <row r="388" spans="1:70" ht="45" customHeight="1" x14ac:dyDescent="0.25">
      <c r="A388" s="6">
        <v>388</v>
      </c>
      <c r="B388" s="7" t="s">
        <v>9002</v>
      </c>
      <c r="C388" s="8" t="s">
        <v>9003</v>
      </c>
      <c r="D388" s="6" t="s">
        <v>9004</v>
      </c>
      <c r="E388" s="8" t="s">
        <v>9002</v>
      </c>
      <c r="F388" s="8" t="s">
        <v>9005</v>
      </c>
      <c r="G388" s="6" t="s">
        <v>840</v>
      </c>
      <c r="H388" s="6" t="s">
        <v>841</v>
      </c>
      <c r="I388" s="8" t="s">
        <v>842</v>
      </c>
      <c r="J388" s="6" t="s">
        <v>843</v>
      </c>
      <c r="K388" s="9" t="s">
        <v>9006</v>
      </c>
      <c r="L388" s="8" t="s">
        <v>9007</v>
      </c>
      <c r="M388" s="9">
        <v>107</v>
      </c>
      <c r="N388" s="6">
        <v>51.514231500000001</v>
      </c>
      <c r="O388" s="6">
        <v>-9.32867E-2</v>
      </c>
      <c r="P388" s="6" t="s">
        <v>9008</v>
      </c>
      <c r="Q388" s="6">
        <v>1</v>
      </c>
      <c r="R388" s="6" t="s">
        <v>79</v>
      </c>
      <c r="T388" s="6">
        <v>2639854</v>
      </c>
      <c r="U388" s="6" t="s">
        <v>80</v>
      </c>
      <c r="V388" s="6">
        <v>15</v>
      </c>
      <c r="W388" s="6" t="s">
        <v>80</v>
      </c>
      <c r="X388" s="6" t="s">
        <v>9009</v>
      </c>
      <c r="Y388" s="6" t="s">
        <v>9010</v>
      </c>
      <c r="Z388" s="6" t="s">
        <v>9011</v>
      </c>
      <c r="AA388" s="6" t="s">
        <v>9012</v>
      </c>
      <c r="AB388" s="6" t="s">
        <v>9013</v>
      </c>
      <c r="AC388" s="6">
        <v>541410</v>
      </c>
      <c r="AD388" s="10" t="str">
        <f>_xlfn.XLOOKUP(AC388,[1]Mapping!B:B,[1]Mapping!C:C,"")</f>
        <v>Interior Design Services</v>
      </c>
      <c r="AG388" s="6" t="s">
        <v>5200</v>
      </c>
      <c r="AH388" s="6" t="s">
        <v>4821</v>
      </c>
      <c r="AI388" s="6" t="s">
        <v>4822</v>
      </c>
      <c r="AJ388" s="6" t="s">
        <v>653</v>
      </c>
      <c r="AK388" s="6" t="s">
        <v>654</v>
      </c>
      <c r="AL388" s="6" t="s">
        <v>655</v>
      </c>
      <c r="AM388" s="6" t="s">
        <v>656</v>
      </c>
      <c r="AN388" s="6" t="s">
        <v>655</v>
      </c>
      <c r="AO388" s="6" t="s">
        <v>657</v>
      </c>
      <c r="AQ388" s="6">
        <v>7389</v>
      </c>
      <c r="AR388" s="6" t="s">
        <v>5201</v>
      </c>
      <c r="AT388" s="6">
        <v>7410</v>
      </c>
      <c r="AU388" s="6" t="s">
        <v>5202</v>
      </c>
      <c r="AV388" s="6">
        <v>74.099999999999994</v>
      </c>
      <c r="AW388" s="6" t="s">
        <v>5203</v>
      </c>
      <c r="AY388" s="6" t="s">
        <v>9014</v>
      </c>
      <c r="AZ388" s="6">
        <v>447970000000</v>
      </c>
      <c r="BA388" s="6" t="s">
        <v>9015</v>
      </c>
      <c r="BB388" s="6" t="s">
        <v>9015</v>
      </c>
      <c r="BC388" s="6" t="s">
        <v>9016</v>
      </c>
      <c r="BD388" s="6" t="s">
        <v>9017</v>
      </c>
      <c r="BE388" s="6" t="str">
        <f t="shared" si="12"/>
        <v>orrick.com</v>
      </c>
      <c r="BF388" s="6" t="str">
        <f t="shared" si="13"/>
        <v>com</v>
      </c>
      <c r="BG388" s="6" t="s">
        <v>101</v>
      </c>
      <c r="BH388" s="6" t="s">
        <v>9018</v>
      </c>
      <c r="BI388" s="6" t="s">
        <v>9019</v>
      </c>
      <c r="BJ388" s="6" t="s">
        <v>9020</v>
      </c>
      <c r="BK388" s="6" t="s">
        <v>9021</v>
      </c>
      <c r="BN388" s="6" t="s">
        <v>9022</v>
      </c>
      <c r="BP388" s="6" t="s">
        <v>9023</v>
      </c>
      <c r="BQ388" s="6" t="s">
        <v>9024</v>
      </c>
      <c r="BR388" s="6" t="s">
        <v>105</v>
      </c>
    </row>
    <row r="389" spans="1:70" ht="45" customHeight="1" x14ac:dyDescent="0.25">
      <c r="A389" s="6">
        <v>389</v>
      </c>
      <c r="B389" s="7" t="s">
        <v>9025</v>
      </c>
      <c r="C389" s="8" t="s">
        <v>9026</v>
      </c>
      <c r="D389" s="6" t="s">
        <v>9027</v>
      </c>
      <c r="E389" s="6" t="s">
        <v>9028</v>
      </c>
      <c r="F389" s="8" t="s">
        <v>9029</v>
      </c>
      <c r="G389" s="6" t="s">
        <v>418</v>
      </c>
      <c r="H389" s="6" t="s">
        <v>419</v>
      </c>
      <c r="I389" s="6" t="s">
        <v>420</v>
      </c>
      <c r="J389" s="6" t="s">
        <v>421</v>
      </c>
      <c r="K389" s="9">
        <v>75001</v>
      </c>
      <c r="L389" s="8" t="s">
        <v>9030</v>
      </c>
      <c r="M389" s="9">
        <v>10</v>
      </c>
      <c r="N389" s="6">
        <v>48.866813899999997</v>
      </c>
      <c r="O389" s="6">
        <v>2.3298280999999998</v>
      </c>
      <c r="P389" s="6" t="s">
        <v>9031</v>
      </c>
      <c r="Q389" s="6">
        <v>1</v>
      </c>
      <c r="R389" s="6" t="s">
        <v>79</v>
      </c>
      <c r="S389" s="6">
        <v>2009</v>
      </c>
      <c r="T389" s="6">
        <v>7000000</v>
      </c>
      <c r="U389" s="6" t="s">
        <v>167</v>
      </c>
      <c r="V389" s="6">
        <v>26</v>
      </c>
      <c r="W389" s="6" t="s">
        <v>167</v>
      </c>
      <c r="X389" s="6" t="s">
        <v>9032</v>
      </c>
      <c r="Y389" s="6" t="s">
        <v>9033</v>
      </c>
      <c r="Z389" s="6" t="s">
        <v>9034</v>
      </c>
      <c r="AA389" s="6" t="s">
        <v>9035</v>
      </c>
      <c r="AB389" s="6" t="s">
        <v>9036</v>
      </c>
      <c r="AC389" s="6">
        <v>541519</v>
      </c>
      <c r="AD389" s="10" t="str">
        <f>_xlfn.XLOOKUP(AC389,[1]Mapping!B:B,[1]Mapping!C:C,"")</f>
        <v>Other Computer Related Services</v>
      </c>
      <c r="AE389" s="6">
        <v>541512</v>
      </c>
      <c r="AF389" s="6" t="s">
        <v>2977</v>
      </c>
      <c r="AG389" s="6" t="s">
        <v>9037</v>
      </c>
      <c r="AH389" s="6" t="s">
        <v>9038</v>
      </c>
      <c r="AI389" s="6" t="s">
        <v>499</v>
      </c>
      <c r="AJ389" s="6" t="s">
        <v>174</v>
      </c>
      <c r="AK389" s="6" t="s">
        <v>175</v>
      </c>
      <c r="AL389" s="6" t="s">
        <v>176</v>
      </c>
      <c r="AM389" s="6" t="s">
        <v>177</v>
      </c>
      <c r="AN389" s="6" t="s">
        <v>91</v>
      </c>
      <c r="AO389" s="6" t="s">
        <v>92</v>
      </c>
      <c r="AQ389" s="6">
        <v>7379</v>
      </c>
      <c r="AR389" s="6" t="s">
        <v>3732</v>
      </c>
      <c r="AT389" s="6">
        <v>6209</v>
      </c>
      <c r="AU389" s="6" t="s">
        <v>7861</v>
      </c>
      <c r="AV389" s="6">
        <v>62.09</v>
      </c>
      <c r="AW389" s="6" t="s">
        <v>7861</v>
      </c>
      <c r="AY389" s="6">
        <v>33140371771</v>
      </c>
      <c r="AZ389" s="6">
        <v>33140371771</v>
      </c>
      <c r="BA389" s="6" t="s">
        <v>9039</v>
      </c>
      <c r="BB389" s="6" t="s">
        <v>9040</v>
      </c>
      <c r="BD389" s="6" t="s">
        <v>9041</v>
      </c>
      <c r="BE389" s="6" t="str">
        <f t="shared" si="12"/>
        <v>ppsecurity.fr</v>
      </c>
      <c r="BF389" s="6" t="str">
        <f t="shared" si="13"/>
        <v>fr</v>
      </c>
      <c r="BG389" s="6" t="s">
        <v>101</v>
      </c>
      <c r="BI389" s="6" t="s">
        <v>9042</v>
      </c>
      <c r="BK389" s="6" t="s">
        <v>9043</v>
      </c>
      <c r="BP389" s="6" t="s">
        <v>9044</v>
      </c>
      <c r="BQ389" s="6" t="s">
        <v>9045</v>
      </c>
      <c r="BR389" s="6" t="s">
        <v>105</v>
      </c>
    </row>
    <row r="390" spans="1:70" ht="45" customHeight="1" x14ac:dyDescent="0.25">
      <c r="A390" s="6">
        <v>390</v>
      </c>
      <c r="B390" s="7" t="s">
        <v>9046</v>
      </c>
      <c r="C390" s="8" t="s">
        <v>9047</v>
      </c>
      <c r="D390" s="6" t="s">
        <v>9048</v>
      </c>
      <c r="E390" s="6" t="s">
        <v>9049</v>
      </c>
      <c r="F390" s="8" t="s">
        <v>9050</v>
      </c>
      <c r="G390" s="6" t="s">
        <v>1324</v>
      </c>
      <c r="H390" s="6" t="s">
        <v>1325</v>
      </c>
      <c r="I390" s="6" t="s">
        <v>1326</v>
      </c>
      <c r="J390" s="6" t="s">
        <v>1327</v>
      </c>
      <c r="K390" s="9">
        <v>10310</v>
      </c>
      <c r="L390" s="8" t="s">
        <v>9051</v>
      </c>
      <c r="M390" s="9">
        <v>19</v>
      </c>
      <c r="N390" s="6">
        <v>13.7719059</v>
      </c>
      <c r="O390" s="6">
        <v>100.61435830000001</v>
      </c>
      <c r="P390" s="6" t="s">
        <v>9052</v>
      </c>
      <c r="Q390" s="6">
        <v>4</v>
      </c>
      <c r="T390" s="6"/>
      <c r="X390" s="6" t="s">
        <v>9053</v>
      </c>
      <c r="Y390" s="6" t="s">
        <v>9054</v>
      </c>
      <c r="Z390" s="6" t="s">
        <v>9055</v>
      </c>
      <c r="AA390" s="6" t="s">
        <v>9056</v>
      </c>
      <c r="AB390" s="6" t="s">
        <v>9057</v>
      </c>
      <c r="AC390" s="6">
        <v>3152</v>
      </c>
      <c r="AD390" s="10" t="str">
        <f>_xlfn.XLOOKUP(AC390,[1]Mapping!B:B,[1]Mapping!C:C,"")</f>
        <v xml:space="preserve">Cut and Sew Apparel ManufacturingT </v>
      </c>
      <c r="AG390" s="6" t="s">
        <v>9058</v>
      </c>
      <c r="AH390" s="6" t="s">
        <v>9059</v>
      </c>
      <c r="AI390" s="6" t="s">
        <v>431</v>
      </c>
      <c r="AQ390" s="6">
        <v>2339</v>
      </c>
      <c r="AR390" s="6" t="s">
        <v>5047</v>
      </c>
      <c r="AT390" s="6">
        <v>1410</v>
      </c>
      <c r="AU390" s="6" t="s">
        <v>5048</v>
      </c>
      <c r="AV390" s="6">
        <v>14.13</v>
      </c>
      <c r="AW390" s="6" t="s">
        <v>5049</v>
      </c>
      <c r="AY390" s="6" t="s">
        <v>9060</v>
      </c>
      <c r="AZ390" s="6" t="s">
        <v>9061</v>
      </c>
      <c r="BA390" s="6" t="s">
        <v>9062</v>
      </c>
      <c r="BB390" s="6" t="s">
        <v>9063</v>
      </c>
      <c r="BD390" s="6" t="s">
        <v>9064</v>
      </c>
      <c r="BE390" s="6" t="str">
        <f t="shared" si="12"/>
        <v>pacocasa.co.th</v>
      </c>
      <c r="BF390" s="6" t="str">
        <f t="shared" si="13"/>
        <v>th</v>
      </c>
      <c r="BG390" s="6" t="s">
        <v>101</v>
      </c>
      <c r="BP390" s="6" t="s">
        <v>9065</v>
      </c>
      <c r="BQ390" s="6" t="s">
        <v>9066</v>
      </c>
      <c r="BR390" s="6" t="s">
        <v>105</v>
      </c>
    </row>
    <row r="391" spans="1:70" ht="45" customHeight="1" x14ac:dyDescent="0.25">
      <c r="A391" s="6">
        <v>391</v>
      </c>
      <c r="B391" s="7" t="s">
        <v>9067</v>
      </c>
      <c r="C391" s="8" t="s">
        <v>9068</v>
      </c>
      <c r="D391" s="6" t="s">
        <v>9069</v>
      </c>
      <c r="E391" s="8" t="s">
        <v>9067</v>
      </c>
      <c r="F391" s="8" t="s">
        <v>9070</v>
      </c>
      <c r="G391" s="6" t="s">
        <v>1400</v>
      </c>
      <c r="H391" s="6" t="s">
        <v>1401</v>
      </c>
      <c r="I391" s="8" t="s">
        <v>3964</v>
      </c>
      <c r="J391" s="6" t="s">
        <v>3965</v>
      </c>
      <c r="L391" s="8" t="s">
        <v>9071</v>
      </c>
      <c r="N391" s="6">
        <v>33.653034300000009</v>
      </c>
      <c r="O391" s="6">
        <v>73.258606299999997</v>
      </c>
      <c r="P391" s="6" t="s">
        <v>5885</v>
      </c>
      <c r="Q391" s="6">
        <v>1</v>
      </c>
      <c r="R391" s="6" t="s">
        <v>79</v>
      </c>
      <c r="S391" s="6">
        <v>1951</v>
      </c>
      <c r="T391" s="6">
        <v>88885</v>
      </c>
      <c r="U391" s="6" t="s">
        <v>80</v>
      </c>
      <c r="V391" s="6">
        <v>20</v>
      </c>
      <c r="W391" s="6" t="s">
        <v>167</v>
      </c>
      <c r="X391" s="6" t="s">
        <v>9072</v>
      </c>
      <c r="Y391" s="6" t="s">
        <v>9073</v>
      </c>
      <c r="Z391" s="6" t="s">
        <v>9074</v>
      </c>
      <c r="AA391" s="6" t="s">
        <v>9074</v>
      </c>
      <c r="AB391" s="6" t="s">
        <v>9075</v>
      </c>
      <c r="AC391" s="6">
        <v>541715</v>
      </c>
      <c r="AD391" s="10" t="str">
        <f>_xlfn.XLOOKUP(AC391,[1]Mapping!B:B,[1]Mapping!C:C,"")</f>
        <v xml:space="preserve">Research and Development in the Physical, Engineering, and Life Sciences (except Nanotechnology and Biotechnology) </v>
      </c>
      <c r="AG391" s="6" t="s">
        <v>139</v>
      </c>
      <c r="AH391" s="6" t="s">
        <v>140</v>
      </c>
      <c r="AI391" s="6" t="s">
        <v>141</v>
      </c>
      <c r="AQ391" s="6" t="s">
        <v>9076</v>
      </c>
      <c r="AR391" s="6" t="s">
        <v>9077</v>
      </c>
      <c r="AT391" s="6">
        <v>7210</v>
      </c>
      <c r="AU391" s="6" t="s">
        <v>5907</v>
      </c>
      <c r="AV391" s="6" t="s">
        <v>9078</v>
      </c>
      <c r="AW391" s="6" t="s">
        <v>9079</v>
      </c>
      <c r="AY391" s="6" t="s">
        <v>9080</v>
      </c>
      <c r="BE391" s="6" t="str">
        <f t="shared" si="12"/>
        <v/>
      </c>
      <c r="BF391" s="6" t="e">
        <f t="shared" si="13"/>
        <v>#VALUE!</v>
      </c>
      <c r="BK391" s="6" t="s">
        <v>9081</v>
      </c>
      <c r="BQ391" s="6" t="s">
        <v>9082</v>
      </c>
      <c r="BR391" s="6" t="s">
        <v>105</v>
      </c>
    </row>
    <row r="392" spans="1:70" ht="45" customHeight="1" x14ac:dyDescent="0.25">
      <c r="A392" s="6">
        <v>392</v>
      </c>
      <c r="B392" s="7" t="s">
        <v>9083</v>
      </c>
      <c r="C392" s="8" t="s">
        <v>9084</v>
      </c>
      <c r="D392" s="6" t="s">
        <v>9085</v>
      </c>
      <c r="E392" s="6" t="s">
        <v>871</v>
      </c>
      <c r="F392" s="8" t="s">
        <v>9086</v>
      </c>
      <c r="G392" s="6" t="s">
        <v>840</v>
      </c>
      <c r="H392" s="6" t="s">
        <v>841</v>
      </c>
      <c r="I392" s="6" t="s">
        <v>842</v>
      </c>
      <c r="J392" s="6" t="s">
        <v>843</v>
      </c>
      <c r="K392" s="9" t="s">
        <v>9087</v>
      </c>
      <c r="L392" s="8" t="s">
        <v>9088</v>
      </c>
      <c r="M392" s="9">
        <v>95</v>
      </c>
      <c r="N392" s="6">
        <v>51.532905700000001</v>
      </c>
      <c r="O392" s="6">
        <v>-0.1073771</v>
      </c>
      <c r="P392" s="6" t="s">
        <v>9089</v>
      </c>
      <c r="Q392" s="6">
        <v>2</v>
      </c>
      <c r="R392" s="6" t="s">
        <v>79</v>
      </c>
      <c r="S392" s="6">
        <v>2008</v>
      </c>
      <c r="V392" s="6">
        <v>15</v>
      </c>
      <c r="W392" s="6" t="s">
        <v>80</v>
      </c>
      <c r="X392" s="6" t="s">
        <v>9090</v>
      </c>
      <c r="Y392" s="6" t="s">
        <v>9091</v>
      </c>
      <c r="Z392" s="6" t="s">
        <v>9092</v>
      </c>
      <c r="AA392" s="6" t="s">
        <v>9093</v>
      </c>
      <c r="AC392" s="10">
        <f>_xlfn.XLOOKUP(AH392,[1]Mapping!C:C,[1]Mapping!B:B,"",1)</f>
        <v>42382</v>
      </c>
      <c r="AD392" s="10" t="s">
        <v>9094</v>
      </c>
      <c r="AE392" s="6">
        <v>624190</v>
      </c>
      <c r="AF392" s="6" t="s">
        <v>9095</v>
      </c>
      <c r="AG392" s="6" t="s">
        <v>9096</v>
      </c>
      <c r="AH392" s="6" t="s">
        <v>9097</v>
      </c>
      <c r="AI392" s="6" t="s">
        <v>9098</v>
      </c>
      <c r="AJ392" s="6" t="s">
        <v>8590</v>
      </c>
      <c r="AK392" s="6">
        <v>8742</v>
      </c>
      <c r="AL392" s="6" t="s">
        <v>9099</v>
      </c>
      <c r="AM392" s="6">
        <v>8700</v>
      </c>
      <c r="AN392" s="6" t="s">
        <v>297</v>
      </c>
      <c r="AO392" s="6">
        <v>7000</v>
      </c>
      <c r="AQ392" s="6">
        <v>8322</v>
      </c>
      <c r="AR392" s="6" t="s">
        <v>9100</v>
      </c>
      <c r="AT392" s="6">
        <v>8890</v>
      </c>
      <c r="AU392" s="6" t="s">
        <v>9101</v>
      </c>
      <c r="AV392" s="6">
        <v>88.99</v>
      </c>
      <c r="AW392" s="6" t="s">
        <v>9102</v>
      </c>
      <c r="AX392" s="6">
        <v>8800</v>
      </c>
      <c r="AY392" s="6" t="s">
        <v>9103</v>
      </c>
      <c r="AZ392" s="6">
        <v>442077000000</v>
      </c>
      <c r="BD392" s="11" t="s">
        <v>9104</v>
      </c>
      <c r="BE392" s="6" t="str">
        <f t="shared" si="12"/>
        <v>parentzone.org.uk</v>
      </c>
      <c r="BF392" s="6" t="str">
        <f t="shared" si="13"/>
        <v>uk</v>
      </c>
      <c r="BG392" s="6" t="s">
        <v>101</v>
      </c>
      <c r="BH392" s="6" t="s">
        <v>9105</v>
      </c>
      <c r="BI392" s="6" t="s">
        <v>9106</v>
      </c>
      <c r="BJ392" s="6" t="s">
        <v>9107</v>
      </c>
      <c r="BK392" s="6" t="s">
        <v>9108</v>
      </c>
      <c r="BN392" s="6" t="s">
        <v>9109</v>
      </c>
      <c r="BP392" s="6" t="s">
        <v>9110</v>
      </c>
      <c r="BQ392" s="6" t="s">
        <v>9111</v>
      </c>
      <c r="BR392" s="6" t="s">
        <v>105</v>
      </c>
    </row>
    <row r="393" spans="1:70" ht="45" customHeight="1" x14ac:dyDescent="0.25">
      <c r="A393" s="6">
        <v>393</v>
      </c>
      <c r="B393" s="7" t="s">
        <v>9112</v>
      </c>
      <c r="C393" s="8" t="s">
        <v>9113</v>
      </c>
      <c r="D393" s="6" t="s">
        <v>9114</v>
      </c>
      <c r="E393" s="8" t="s">
        <v>9112</v>
      </c>
      <c r="F393" s="8" t="s">
        <v>9115</v>
      </c>
      <c r="G393" s="6" t="s">
        <v>840</v>
      </c>
      <c r="H393" s="6" t="s">
        <v>841</v>
      </c>
      <c r="I393" s="8" t="s">
        <v>842</v>
      </c>
      <c r="J393" s="6" t="s">
        <v>843</v>
      </c>
      <c r="K393" s="9" t="s">
        <v>9116</v>
      </c>
      <c r="L393" s="8" t="s">
        <v>9117</v>
      </c>
      <c r="M393" s="9">
        <v>49</v>
      </c>
      <c r="N393" s="6">
        <v>51.512420900000002</v>
      </c>
      <c r="O393" s="6">
        <v>-9.2945800000000009E-2</v>
      </c>
      <c r="P393" s="6" t="s">
        <v>9118</v>
      </c>
      <c r="Q393" s="6">
        <v>1</v>
      </c>
      <c r="R393" s="6" t="s">
        <v>79</v>
      </c>
      <c r="S393" s="6">
        <v>2020</v>
      </c>
      <c r="T393" s="6">
        <v>205125</v>
      </c>
      <c r="U393" s="6" t="s">
        <v>80</v>
      </c>
      <c r="V393" s="6">
        <v>1</v>
      </c>
      <c r="W393" s="6" t="s">
        <v>167</v>
      </c>
      <c r="X393" s="6" t="s">
        <v>9119</v>
      </c>
      <c r="Y393" s="6" t="s">
        <v>9120</v>
      </c>
      <c r="Z393" s="6" t="s">
        <v>9121</v>
      </c>
      <c r="AA393" s="6" t="s">
        <v>9122</v>
      </c>
      <c r="AB393" s="6" t="s">
        <v>9123</v>
      </c>
      <c r="AC393" s="6">
        <v>513130</v>
      </c>
      <c r="AD393" s="10" t="str">
        <f>_xlfn.XLOOKUP(AC393,[1]Mapping!B:B,[1]Mapping!C:C,"")</f>
        <v xml:space="preserve">Book Publishers </v>
      </c>
      <c r="AG393" s="6" t="s">
        <v>9124</v>
      </c>
      <c r="AH393" s="6" t="s">
        <v>9125</v>
      </c>
      <c r="AI393" s="6" t="s">
        <v>1412</v>
      </c>
      <c r="AJ393" s="6" t="s">
        <v>1413</v>
      </c>
      <c r="AK393" s="6" t="s">
        <v>1414</v>
      </c>
      <c r="AL393" s="6" t="s">
        <v>502</v>
      </c>
      <c r="AM393" s="6" t="s">
        <v>503</v>
      </c>
      <c r="AN393" s="6" t="s">
        <v>297</v>
      </c>
      <c r="AO393" s="6" t="s">
        <v>298</v>
      </c>
      <c r="AQ393" s="6" t="s">
        <v>9126</v>
      </c>
      <c r="AR393" s="6" t="s">
        <v>9127</v>
      </c>
      <c r="AS393" s="6" t="s">
        <v>9128</v>
      </c>
      <c r="AT393" s="6">
        <v>5811</v>
      </c>
      <c r="AU393" s="6" t="s">
        <v>9129</v>
      </c>
      <c r="AV393" s="6">
        <v>58.11</v>
      </c>
      <c r="AW393" s="6" t="s">
        <v>9129</v>
      </c>
      <c r="AX393" s="6" t="s">
        <v>9130</v>
      </c>
      <c r="BA393" s="6" t="s">
        <v>9131</v>
      </c>
      <c r="BB393" s="6" t="s">
        <v>9132</v>
      </c>
      <c r="BC393" s="6" t="s">
        <v>9133</v>
      </c>
      <c r="BD393" s="6" t="s">
        <v>9134</v>
      </c>
      <c r="BE393" s="6" t="str">
        <f t="shared" si="12"/>
        <v>aspectsofhistory.com</v>
      </c>
      <c r="BF393" s="6" t="str">
        <f t="shared" si="13"/>
        <v>com</v>
      </c>
      <c r="BG393" s="6" t="s">
        <v>101</v>
      </c>
      <c r="BH393" s="6" t="s">
        <v>9135</v>
      </c>
      <c r="BI393" s="6" t="s">
        <v>9136</v>
      </c>
      <c r="BJ393" s="6" t="s">
        <v>9137</v>
      </c>
      <c r="BK393" s="6" t="s">
        <v>9138</v>
      </c>
      <c r="BP393" s="6" t="s">
        <v>9139</v>
      </c>
      <c r="BQ393" s="6" t="s">
        <v>9140</v>
      </c>
      <c r="BR393" s="6" t="s">
        <v>105</v>
      </c>
    </row>
    <row r="394" spans="1:70" ht="45" customHeight="1" x14ac:dyDescent="0.25">
      <c r="A394" s="6">
        <v>394</v>
      </c>
      <c r="B394" s="7" t="s">
        <v>9141</v>
      </c>
      <c r="C394" s="8" t="s">
        <v>9142</v>
      </c>
      <c r="D394" s="6" t="s">
        <v>9143</v>
      </c>
      <c r="E394" s="8" t="s">
        <v>9144</v>
      </c>
      <c r="F394" s="8" t="s">
        <v>9144</v>
      </c>
      <c r="G394" s="6" t="s">
        <v>243</v>
      </c>
      <c r="H394" s="6" t="s">
        <v>244</v>
      </c>
      <c r="I394" s="6" t="s">
        <v>9145</v>
      </c>
      <c r="J394" s="6" t="s">
        <v>9146</v>
      </c>
      <c r="K394" s="9">
        <v>33100</v>
      </c>
      <c r="L394" s="8" t="s">
        <v>9147</v>
      </c>
      <c r="M394" s="9">
        <v>2</v>
      </c>
      <c r="N394" s="6">
        <v>61.496250399999987</v>
      </c>
      <c r="O394" s="6">
        <v>23.7788459</v>
      </c>
      <c r="P394" s="6" t="s">
        <v>9148</v>
      </c>
      <c r="Q394" s="6">
        <v>1</v>
      </c>
      <c r="R394" s="6" t="s">
        <v>79</v>
      </c>
      <c r="S394" s="6">
        <v>2004</v>
      </c>
      <c r="T394" s="6"/>
      <c r="X394" s="6" t="s">
        <v>9149</v>
      </c>
      <c r="Y394" s="6" t="s">
        <v>9150</v>
      </c>
      <c r="Z394" s="6" t="s">
        <v>9151</v>
      </c>
      <c r="AA394" s="6" t="s">
        <v>9152</v>
      </c>
      <c r="AB394" s="6" t="s">
        <v>9153</v>
      </c>
      <c r="AC394" s="6">
        <v>236220</v>
      </c>
      <c r="AD394" s="10" t="str">
        <f>_xlfn.XLOOKUP(AC394,[1]Mapping!B:B,[1]Mapping!C:C,"")</f>
        <v xml:space="preserve">Commercial and Institutional Building Construction </v>
      </c>
      <c r="AG394" s="6" t="s">
        <v>9154</v>
      </c>
      <c r="AH394" s="6" t="s">
        <v>6138</v>
      </c>
      <c r="AI394" s="6" t="s">
        <v>292</v>
      </c>
      <c r="AJ394" s="6" t="s">
        <v>653</v>
      </c>
      <c r="AK394" s="6" t="s">
        <v>654</v>
      </c>
      <c r="AL394" s="6" t="s">
        <v>655</v>
      </c>
      <c r="AM394" s="6" t="s">
        <v>656</v>
      </c>
      <c r="AN394" s="6" t="s">
        <v>655</v>
      </c>
      <c r="AO394" s="6" t="s">
        <v>657</v>
      </c>
      <c r="AQ394" s="6" t="s">
        <v>9155</v>
      </c>
      <c r="AR394" s="6" t="s">
        <v>9156</v>
      </c>
      <c r="AT394" s="6" t="s">
        <v>9157</v>
      </c>
      <c r="AU394" s="6" t="s">
        <v>9158</v>
      </c>
      <c r="AV394" s="6" t="s">
        <v>9159</v>
      </c>
      <c r="AW394" s="6" t="s">
        <v>9160</v>
      </c>
      <c r="AY394" s="6">
        <v>420776000000</v>
      </c>
      <c r="AZ394" s="6">
        <v>420776000000</v>
      </c>
      <c r="BA394" s="6" t="s">
        <v>9161</v>
      </c>
      <c r="BD394" s="6" t="s">
        <v>9162</v>
      </c>
      <c r="BE394" s="6" t="str">
        <f t="shared" si="12"/>
        <v>varsta.cz</v>
      </c>
      <c r="BF394" s="6" t="str">
        <f t="shared" si="13"/>
        <v>cz</v>
      </c>
      <c r="BG394" s="6" t="s">
        <v>7330</v>
      </c>
      <c r="BP394" s="6" t="s">
        <v>9163</v>
      </c>
      <c r="BQ394" s="6" t="s">
        <v>9164</v>
      </c>
      <c r="BR394" s="6" t="s">
        <v>105</v>
      </c>
    </row>
    <row r="395" spans="1:70" ht="45" customHeight="1" x14ac:dyDescent="0.25">
      <c r="A395" s="6">
        <v>395</v>
      </c>
      <c r="B395" s="7" t="s">
        <v>9165</v>
      </c>
      <c r="C395" s="8" t="s">
        <v>9166</v>
      </c>
      <c r="D395" s="6" t="s">
        <v>9167</v>
      </c>
      <c r="E395" s="6" t="s">
        <v>9168</v>
      </c>
      <c r="F395" s="8" t="s">
        <v>9169</v>
      </c>
      <c r="G395" s="6" t="s">
        <v>73</v>
      </c>
      <c r="H395" s="6" t="s">
        <v>74</v>
      </c>
      <c r="I395" s="6"/>
      <c r="J395" s="6" t="s">
        <v>9170</v>
      </c>
      <c r="K395" s="9">
        <v>9230</v>
      </c>
      <c r="L395" s="8" t="s">
        <v>9171</v>
      </c>
      <c r="M395" s="9">
        <v>11</v>
      </c>
      <c r="N395" s="6">
        <v>56.962715299999999</v>
      </c>
      <c r="O395" s="6">
        <v>9.8570074999999999</v>
      </c>
      <c r="P395" s="6" t="s">
        <v>9172</v>
      </c>
      <c r="Q395" s="6">
        <v>2</v>
      </c>
      <c r="R395" s="6" t="s">
        <v>79</v>
      </c>
      <c r="S395" s="6">
        <v>2012</v>
      </c>
      <c r="T395" s="6"/>
      <c r="V395" s="6">
        <v>25</v>
      </c>
      <c r="W395" s="6" t="s">
        <v>80</v>
      </c>
      <c r="X395" s="6" t="s">
        <v>9173</v>
      </c>
      <c r="Y395" s="6" t="s">
        <v>9174</v>
      </c>
      <c r="Z395" s="6" t="s">
        <v>9175</v>
      </c>
      <c r="AA395" s="6" t="s">
        <v>9176</v>
      </c>
      <c r="AB395" s="6" t="s">
        <v>9177</v>
      </c>
      <c r="AC395" s="6">
        <v>541512</v>
      </c>
      <c r="AD395" s="10" t="str">
        <f>_xlfn.XLOOKUP(AC395,[1]Mapping!B:B,[1]Mapping!C:C,"")</f>
        <v xml:space="preserve">Computer Systems Design Services </v>
      </c>
      <c r="AE395" s="6">
        <v>518210</v>
      </c>
      <c r="AF395" s="6" t="s">
        <v>3787</v>
      </c>
      <c r="AG395" s="6" t="s">
        <v>9178</v>
      </c>
      <c r="AH395" s="6" t="s">
        <v>9179</v>
      </c>
      <c r="AI395" s="6" t="s">
        <v>499</v>
      </c>
      <c r="AJ395" s="6" t="s">
        <v>255</v>
      </c>
      <c r="AK395" s="6" t="s">
        <v>256</v>
      </c>
      <c r="AL395" s="6" t="s">
        <v>257</v>
      </c>
      <c r="AM395" s="6" t="s">
        <v>258</v>
      </c>
      <c r="AN395" s="6" t="s">
        <v>259</v>
      </c>
      <c r="AO395" s="6" t="s">
        <v>260</v>
      </c>
      <c r="AQ395" s="6">
        <v>7373</v>
      </c>
      <c r="AR395" s="6" t="s">
        <v>2820</v>
      </c>
      <c r="AS395" s="6" t="s">
        <v>9180</v>
      </c>
      <c r="AT395" s="6">
        <v>6202</v>
      </c>
      <c r="AU395" s="6" t="s">
        <v>2822</v>
      </c>
      <c r="AV395" s="6">
        <v>62.02</v>
      </c>
      <c r="AW395" s="6" t="s">
        <v>2822</v>
      </c>
      <c r="AX395" s="6" t="s">
        <v>9181</v>
      </c>
      <c r="AY395" s="6" t="s">
        <v>9182</v>
      </c>
      <c r="AZ395" s="6" t="s">
        <v>9183</v>
      </c>
      <c r="BA395" s="6" t="s">
        <v>9184</v>
      </c>
      <c r="BB395" s="6" t="s">
        <v>9185</v>
      </c>
      <c r="BC395" s="6" t="s">
        <v>9186</v>
      </c>
      <c r="BD395" s="6" t="s">
        <v>9187</v>
      </c>
      <c r="BE395" s="6" t="str">
        <f t="shared" si="12"/>
        <v>pingit.dk</v>
      </c>
      <c r="BF395" s="6" t="str">
        <f t="shared" si="13"/>
        <v>dk</v>
      </c>
      <c r="BG395" s="6" t="s">
        <v>123</v>
      </c>
      <c r="BH395" s="6" t="s">
        <v>9188</v>
      </c>
      <c r="BK395" s="6" t="s">
        <v>9189</v>
      </c>
      <c r="BP395" s="6" t="s">
        <v>9190</v>
      </c>
      <c r="BQ395" s="6" t="s">
        <v>9191</v>
      </c>
      <c r="BR395" s="6" t="s">
        <v>105</v>
      </c>
    </row>
    <row r="396" spans="1:70" ht="45" customHeight="1" x14ac:dyDescent="0.25">
      <c r="A396" s="6">
        <v>396</v>
      </c>
      <c r="B396" s="7" t="s">
        <v>9192</v>
      </c>
      <c r="C396" s="8" t="s">
        <v>9193</v>
      </c>
      <c r="D396" s="6" t="s">
        <v>9192</v>
      </c>
      <c r="E396" s="6" t="s">
        <v>9194</v>
      </c>
      <c r="F396" s="8" t="s">
        <v>9195</v>
      </c>
      <c r="G396" s="6" t="s">
        <v>73</v>
      </c>
      <c r="H396" s="6" t="s">
        <v>74</v>
      </c>
      <c r="I396" s="6"/>
      <c r="J396" s="6" t="s">
        <v>3031</v>
      </c>
      <c r="K396" s="9">
        <v>8200</v>
      </c>
      <c r="L396" s="8" t="s">
        <v>9196</v>
      </c>
      <c r="M396" s="9">
        <v>1</v>
      </c>
      <c r="N396" s="6">
        <v>56.194949599999987</v>
      </c>
      <c r="O396" s="6">
        <v>10.177857700000001</v>
      </c>
      <c r="P396" s="6" t="s">
        <v>9197</v>
      </c>
      <c r="Q396" s="6">
        <v>5</v>
      </c>
      <c r="R396" s="6" t="s">
        <v>79</v>
      </c>
      <c r="S396" s="6">
        <v>2017</v>
      </c>
      <c r="T396" s="6">
        <v>19215376</v>
      </c>
      <c r="U396" s="6" t="s">
        <v>80</v>
      </c>
      <c r="V396" s="6">
        <v>79</v>
      </c>
      <c r="W396" s="6" t="s">
        <v>167</v>
      </c>
      <c r="X396" s="6" t="s">
        <v>9198</v>
      </c>
      <c r="Y396" s="6" t="s">
        <v>9199</v>
      </c>
      <c r="Z396" s="6" t="s">
        <v>9200</v>
      </c>
      <c r="AA396" s="6" t="s">
        <v>9201</v>
      </c>
      <c r="AB396" s="6" t="s">
        <v>9202</v>
      </c>
      <c r="AC396" s="6">
        <v>541810</v>
      </c>
      <c r="AD396" s="10" t="str">
        <f>_xlfn.XLOOKUP(AC396,[1]Mapping!B:B,[1]Mapping!C:C,"")</f>
        <v>Advertising Agencies</v>
      </c>
      <c r="AE396" s="6">
        <v>511210</v>
      </c>
      <c r="AF396" s="6" t="s">
        <v>4619</v>
      </c>
      <c r="AG396" s="6" t="s">
        <v>9203</v>
      </c>
      <c r="AH396" s="6" t="s">
        <v>9204</v>
      </c>
      <c r="AI396" s="6" t="s">
        <v>8862</v>
      </c>
      <c r="AJ396" s="6" t="s">
        <v>174</v>
      </c>
      <c r="AK396" s="6" t="s">
        <v>175</v>
      </c>
      <c r="AL396" s="6" t="s">
        <v>176</v>
      </c>
      <c r="AM396" s="6" t="s">
        <v>177</v>
      </c>
      <c r="AN396" s="6" t="s">
        <v>91</v>
      </c>
      <c r="AO396" s="6" t="s">
        <v>92</v>
      </c>
      <c r="AQ396" s="6">
        <v>7311</v>
      </c>
      <c r="AR396" s="6" t="s">
        <v>1121</v>
      </c>
      <c r="AT396" s="6">
        <v>7310</v>
      </c>
      <c r="AU396" s="6" t="s">
        <v>1123</v>
      </c>
      <c r="AV396" s="6">
        <v>73.11</v>
      </c>
      <c r="AW396" s="6" t="s">
        <v>1124</v>
      </c>
      <c r="AY396" s="6" t="s">
        <v>9205</v>
      </c>
      <c r="AZ396" s="6" t="s">
        <v>9206</v>
      </c>
      <c r="BA396" s="6" t="s">
        <v>9207</v>
      </c>
      <c r="BB396" s="6" t="s">
        <v>9208</v>
      </c>
      <c r="BD396" s="6" t="s">
        <v>9209</v>
      </c>
      <c r="BE396" s="6" t="str">
        <f t="shared" si="12"/>
        <v>playable.com</v>
      </c>
      <c r="BF396" s="6" t="str">
        <f t="shared" si="13"/>
        <v>com</v>
      </c>
      <c r="BG396" s="6" t="s">
        <v>101</v>
      </c>
      <c r="BH396" s="6" t="s">
        <v>9210</v>
      </c>
      <c r="BJ396" s="6" t="s">
        <v>9211</v>
      </c>
      <c r="BK396" s="6" t="s">
        <v>9212</v>
      </c>
      <c r="BP396" s="6" t="s">
        <v>9213</v>
      </c>
      <c r="BQ396" s="6" t="s">
        <v>9214</v>
      </c>
      <c r="BR396" s="6" t="s">
        <v>105</v>
      </c>
    </row>
    <row r="397" spans="1:70" ht="45" customHeight="1" x14ac:dyDescent="0.25">
      <c r="A397" s="6">
        <v>397</v>
      </c>
      <c r="B397" s="7" t="s">
        <v>9215</v>
      </c>
      <c r="C397" s="8" t="s">
        <v>9216</v>
      </c>
      <c r="D397" s="6" t="s">
        <v>9217</v>
      </c>
      <c r="E397" s="8" t="s">
        <v>9215</v>
      </c>
      <c r="F397" s="8" t="s">
        <v>9218</v>
      </c>
      <c r="G397" s="6" t="s">
        <v>73</v>
      </c>
      <c r="H397" s="6" t="s">
        <v>74</v>
      </c>
      <c r="J397" s="6" t="s">
        <v>486</v>
      </c>
      <c r="K397" s="9">
        <v>2100</v>
      </c>
      <c r="L397" s="8" t="s">
        <v>9219</v>
      </c>
      <c r="M397" s="9">
        <v>37</v>
      </c>
      <c r="N397" s="6">
        <v>55.700701799999997</v>
      </c>
      <c r="O397" s="6">
        <v>12.5945044</v>
      </c>
      <c r="P397" s="6" t="s">
        <v>9220</v>
      </c>
      <c r="Q397" s="6">
        <v>1</v>
      </c>
      <c r="R397" s="6" t="s">
        <v>79</v>
      </c>
      <c r="S397" s="6">
        <v>1918</v>
      </c>
      <c r="T397" s="6">
        <v>75000000</v>
      </c>
      <c r="U397" s="6" t="s">
        <v>167</v>
      </c>
      <c r="V397" s="6">
        <v>425</v>
      </c>
      <c r="W397" s="6" t="s">
        <v>167</v>
      </c>
      <c r="X397" s="6" t="s">
        <v>9221</v>
      </c>
      <c r="Y397" s="6" t="s">
        <v>7206</v>
      </c>
      <c r="Z397" s="6" t="s">
        <v>7207</v>
      </c>
      <c r="AA397" s="6" t="s">
        <v>9222</v>
      </c>
      <c r="AB397" s="6" t="s">
        <v>9223</v>
      </c>
      <c r="AC397" s="6">
        <v>541110</v>
      </c>
      <c r="AD397" s="10" t="str">
        <f>_xlfn.XLOOKUP(AC397,[1]Mapping!B:B,[1]Mapping!C:C,"")</f>
        <v>Offices of Lawyers</v>
      </c>
      <c r="AE397" s="6">
        <v>541120</v>
      </c>
      <c r="AF397" s="6" t="s">
        <v>9224</v>
      </c>
      <c r="AG397" s="6" t="s">
        <v>852</v>
      </c>
      <c r="AH397" s="6" t="s">
        <v>7210</v>
      </c>
      <c r="AI397" s="6" t="s">
        <v>652</v>
      </c>
      <c r="AJ397" s="6" t="s">
        <v>293</v>
      </c>
      <c r="AK397" s="6" t="s">
        <v>294</v>
      </c>
      <c r="AL397" s="6" t="s">
        <v>295</v>
      </c>
      <c r="AM397" s="6" t="s">
        <v>296</v>
      </c>
      <c r="AN397" s="6" t="s">
        <v>297</v>
      </c>
      <c r="AO397" s="6" t="s">
        <v>298</v>
      </c>
      <c r="AQ397" s="6">
        <v>8111</v>
      </c>
      <c r="AR397" s="6" t="s">
        <v>852</v>
      </c>
      <c r="AS397" s="6" t="s">
        <v>9225</v>
      </c>
      <c r="AT397" s="6">
        <v>6910</v>
      </c>
      <c r="AU397" s="6" t="s">
        <v>855</v>
      </c>
      <c r="AV397" s="6">
        <v>69.099999999999994</v>
      </c>
      <c r="AW397" s="6" t="s">
        <v>855</v>
      </c>
      <c r="AX397" s="6" t="s">
        <v>9226</v>
      </c>
      <c r="AY397" s="6" t="s">
        <v>9227</v>
      </c>
      <c r="AZ397" s="6" t="s">
        <v>9228</v>
      </c>
      <c r="BA397" s="6" t="s">
        <v>9229</v>
      </c>
      <c r="BB397" s="6" t="s">
        <v>9230</v>
      </c>
      <c r="BC397" s="6" t="s">
        <v>9229</v>
      </c>
      <c r="BD397" s="6" t="s">
        <v>9231</v>
      </c>
      <c r="BE397" s="6" t="str">
        <f t="shared" si="12"/>
        <v>plesner.com</v>
      </c>
      <c r="BF397" s="6" t="str">
        <f t="shared" si="13"/>
        <v>com</v>
      </c>
      <c r="BG397" s="6" t="s">
        <v>101</v>
      </c>
      <c r="BH397" s="6" t="s">
        <v>9232</v>
      </c>
      <c r="BJ397" s="6" t="s">
        <v>9233</v>
      </c>
      <c r="BK397" s="6" t="s">
        <v>9234</v>
      </c>
      <c r="BP397" s="6" t="s">
        <v>9235</v>
      </c>
      <c r="BQ397" s="6" t="s">
        <v>9236</v>
      </c>
      <c r="BR397" s="6" t="s">
        <v>105</v>
      </c>
    </row>
    <row r="398" spans="1:70" ht="45" customHeight="1" x14ac:dyDescent="0.25">
      <c r="A398" s="6">
        <v>398</v>
      </c>
      <c r="B398" s="7" t="s">
        <v>9237</v>
      </c>
      <c r="C398" s="8" t="s">
        <v>9238</v>
      </c>
      <c r="D398" s="6" t="s">
        <v>9239</v>
      </c>
      <c r="E398" s="6" t="s">
        <v>9240</v>
      </c>
      <c r="F398" s="8" t="s">
        <v>9241</v>
      </c>
      <c r="G398" s="6" t="s">
        <v>73</v>
      </c>
      <c r="H398" s="6" t="s">
        <v>74</v>
      </c>
      <c r="I398" s="6"/>
      <c r="J398" s="6" t="s">
        <v>388</v>
      </c>
      <c r="K398" s="9">
        <v>5230</v>
      </c>
      <c r="L398" s="8" t="s">
        <v>9242</v>
      </c>
      <c r="M398" s="9">
        <v>8</v>
      </c>
      <c r="N398" s="6">
        <v>55.384951600000001</v>
      </c>
      <c r="O398" s="6">
        <v>10.423072299999999</v>
      </c>
      <c r="P398" s="6" t="s">
        <v>9243</v>
      </c>
      <c r="Q398" s="6">
        <v>1</v>
      </c>
      <c r="R398" s="6" t="s">
        <v>79</v>
      </c>
      <c r="T398" s="6">
        <v>21792710</v>
      </c>
      <c r="U398" s="6" t="s">
        <v>80</v>
      </c>
      <c r="V398" s="6">
        <v>75</v>
      </c>
      <c r="W398" s="6" t="s">
        <v>80</v>
      </c>
      <c r="X398" s="6" t="s">
        <v>9244</v>
      </c>
      <c r="Y398" s="6" t="s">
        <v>9245</v>
      </c>
      <c r="Z398" s="6" t="s">
        <v>9246</v>
      </c>
      <c r="AA398" s="6" t="s">
        <v>9247</v>
      </c>
      <c r="AB398" s="6" t="s">
        <v>9248</v>
      </c>
      <c r="AC398" s="6">
        <v>531120</v>
      </c>
      <c r="AD398" s="10" t="str">
        <f>_xlfn.XLOOKUP(AC398,[1]Mapping!B:B,[1]Mapping!C:C,"")</f>
        <v xml:space="preserve">Lessors of Nonresidential Buildings (except Miniwarehouses) </v>
      </c>
      <c r="AE398" s="6">
        <v>531110</v>
      </c>
      <c r="AF398" s="6" t="s">
        <v>9249</v>
      </c>
      <c r="AG398" s="6" t="s">
        <v>9250</v>
      </c>
      <c r="AH398" s="6" t="s">
        <v>9251</v>
      </c>
      <c r="AI398" s="6" t="s">
        <v>2320</v>
      </c>
      <c r="AJ398" s="6" t="s">
        <v>3065</v>
      </c>
      <c r="AK398" s="6" t="s">
        <v>3066</v>
      </c>
      <c r="AL398" s="6" t="s">
        <v>2321</v>
      </c>
      <c r="AM398" s="6" t="s">
        <v>2323</v>
      </c>
      <c r="AN398" s="6" t="s">
        <v>655</v>
      </c>
      <c r="AO398" s="6" t="s">
        <v>657</v>
      </c>
      <c r="AQ398" s="6">
        <v>6512</v>
      </c>
      <c r="AR398" s="6" t="s">
        <v>3067</v>
      </c>
      <c r="AS398" s="6" t="s">
        <v>9252</v>
      </c>
      <c r="AT398" s="6">
        <v>6810</v>
      </c>
      <c r="AU398" s="6" t="s">
        <v>9253</v>
      </c>
      <c r="AV398" s="6">
        <v>68.2</v>
      </c>
      <c r="AW398" s="6" t="s">
        <v>3070</v>
      </c>
      <c r="AX398" s="6" t="s">
        <v>9254</v>
      </c>
      <c r="AY398" s="6" t="s">
        <v>9255</v>
      </c>
      <c r="AZ398" s="6" t="s">
        <v>9256</v>
      </c>
      <c r="BA398" s="6" t="s">
        <v>9257</v>
      </c>
      <c r="BB398" s="6" t="s">
        <v>9257</v>
      </c>
      <c r="BC398" s="6" t="s">
        <v>9258</v>
      </c>
      <c r="BD398" s="6" t="s">
        <v>9259</v>
      </c>
      <c r="BE398" s="6" t="str">
        <f t="shared" si="12"/>
        <v>plp-ejendomme.dk</v>
      </c>
      <c r="BF398" s="6" t="str">
        <f t="shared" si="13"/>
        <v>dk</v>
      </c>
      <c r="BG398" s="6" t="s">
        <v>123</v>
      </c>
      <c r="BP398" s="6" t="s">
        <v>9260</v>
      </c>
      <c r="BQ398" s="6" t="s">
        <v>9261</v>
      </c>
      <c r="BR398" s="6" t="s">
        <v>105</v>
      </c>
    </row>
    <row r="399" spans="1:70" ht="45" customHeight="1" x14ac:dyDescent="0.25">
      <c r="A399" s="6">
        <v>399</v>
      </c>
      <c r="B399" s="7" t="s">
        <v>9262</v>
      </c>
      <c r="C399" s="8" t="s">
        <v>9263</v>
      </c>
      <c r="D399" s="6" t="s">
        <v>9264</v>
      </c>
      <c r="E399" s="6" t="s">
        <v>9265</v>
      </c>
      <c r="F399" s="8" t="s">
        <v>9264</v>
      </c>
      <c r="G399" s="6" t="s">
        <v>201</v>
      </c>
      <c r="H399" s="6" t="s">
        <v>202</v>
      </c>
      <c r="I399" s="6" t="s">
        <v>9266</v>
      </c>
      <c r="J399" s="6" t="s">
        <v>9267</v>
      </c>
      <c r="K399" s="9">
        <v>84020</v>
      </c>
      <c r="L399" s="8" t="s">
        <v>9268</v>
      </c>
      <c r="M399" s="9">
        <v>42</v>
      </c>
      <c r="N399" s="6">
        <v>40.486205900000002</v>
      </c>
      <c r="O399" s="6">
        <v>-111.89029669999999</v>
      </c>
      <c r="P399" s="6" t="s">
        <v>9269</v>
      </c>
      <c r="Q399" s="6">
        <v>6</v>
      </c>
      <c r="R399" s="6" t="s">
        <v>79</v>
      </c>
      <c r="T399" s="6"/>
      <c r="X399" s="6" t="s">
        <v>9270</v>
      </c>
      <c r="Y399" s="6" t="s">
        <v>9271</v>
      </c>
      <c r="Z399" s="6" t="s">
        <v>9272</v>
      </c>
      <c r="AA399" s="6" t="s">
        <v>9273</v>
      </c>
      <c r="AB399" s="6" t="s">
        <v>9274</v>
      </c>
      <c r="AC399" s="6">
        <v>713290</v>
      </c>
      <c r="AD399" s="10" t="str">
        <f>_xlfn.XLOOKUP(AC399,[1]Mapping!B:B,[1]Mapping!C:C,"")</f>
        <v xml:space="preserve">Other Gambling Industries </v>
      </c>
      <c r="AG399" s="6" t="s">
        <v>7790</v>
      </c>
      <c r="AH399" s="6" t="s">
        <v>7790</v>
      </c>
      <c r="AI399" s="6" t="s">
        <v>3610</v>
      </c>
      <c r="AJ399" s="6" t="s">
        <v>1413</v>
      </c>
      <c r="AK399" s="6" t="s">
        <v>1414</v>
      </c>
      <c r="AL399" s="6" t="s">
        <v>502</v>
      </c>
      <c r="AM399" s="6" t="s">
        <v>503</v>
      </c>
      <c r="AN399" s="6" t="s">
        <v>297</v>
      </c>
      <c r="AO399" s="6" t="s">
        <v>298</v>
      </c>
      <c r="AQ399" s="6" t="s">
        <v>9275</v>
      </c>
      <c r="AR399" s="6" t="s">
        <v>9276</v>
      </c>
      <c r="AS399" s="6" t="s">
        <v>9277</v>
      </c>
      <c r="AT399" s="6">
        <v>9200</v>
      </c>
      <c r="AU399" s="6" t="s">
        <v>7794</v>
      </c>
      <c r="AV399" s="6">
        <v>92</v>
      </c>
      <c r="AW399" s="6" t="s">
        <v>7794</v>
      </c>
      <c r="AX399" s="6" t="s">
        <v>9278</v>
      </c>
      <c r="AY399" s="6" t="s">
        <v>9279</v>
      </c>
      <c r="AZ399" s="6" t="s">
        <v>9280</v>
      </c>
      <c r="BA399" s="6" t="s">
        <v>9281</v>
      </c>
      <c r="BD399" s="6" t="s">
        <v>9282</v>
      </c>
      <c r="BE399" s="6" t="str">
        <f t="shared" si="12"/>
        <v>pluralsight.com</v>
      </c>
      <c r="BF399" s="6" t="str">
        <f t="shared" si="13"/>
        <v>com</v>
      </c>
      <c r="BG399" s="6" t="s">
        <v>101</v>
      </c>
      <c r="BH399" s="6" t="s">
        <v>9283</v>
      </c>
      <c r="BI399" s="6" t="s">
        <v>9284</v>
      </c>
      <c r="BJ399" s="6" t="s">
        <v>9285</v>
      </c>
      <c r="BK399" s="6" t="s">
        <v>9286</v>
      </c>
      <c r="BN399" s="6" t="s">
        <v>9287</v>
      </c>
      <c r="BQ399" s="6" t="s">
        <v>9288</v>
      </c>
      <c r="BR399" s="6" t="s">
        <v>105</v>
      </c>
    </row>
    <row r="400" spans="1:70" ht="45" customHeight="1" x14ac:dyDescent="0.25">
      <c r="A400" s="6">
        <v>400</v>
      </c>
      <c r="B400" s="7" t="s">
        <v>9289</v>
      </c>
      <c r="C400" s="8" t="s">
        <v>9290</v>
      </c>
      <c r="D400" s="6" t="s">
        <v>9289</v>
      </c>
      <c r="E400" s="6" t="s">
        <v>9291</v>
      </c>
      <c r="F400" s="8" t="s">
        <v>9292</v>
      </c>
      <c r="G400" s="6" t="s">
        <v>73</v>
      </c>
      <c r="H400" s="6" t="s">
        <v>74</v>
      </c>
      <c r="I400" s="6"/>
      <c r="J400" s="6" t="s">
        <v>9293</v>
      </c>
      <c r="K400" s="9">
        <v>9700</v>
      </c>
      <c r="L400" s="8" t="s">
        <v>9294</v>
      </c>
      <c r="M400" s="9">
        <v>134</v>
      </c>
      <c r="N400" s="6">
        <v>57.259880000000003</v>
      </c>
      <c r="O400" s="6">
        <v>9.9653188999999998</v>
      </c>
      <c r="P400" s="6" t="s">
        <v>9295</v>
      </c>
      <c r="Q400" s="6">
        <v>2</v>
      </c>
      <c r="R400" s="6" t="s">
        <v>79</v>
      </c>
      <c r="S400" s="6">
        <v>1942</v>
      </c>
      <c r="T400" s="6"/>
      <c r="X400" s="6" t="s">
        <v>9296</v>
      </c>
      <c r="Y400" s="6" t="s">
        <v>9297</v>
      </c>
      <c r="Z400" s="6" t="s">
        <v>9298</v>
      </c>
      <c r="AA400" s="6" t="s">
        <v>9299</v>
      </c>
      <c r="AB400" s="6" t="s">
        <v>9300</v>
      </c>
      <c r="AC400" s="6">
        <v>423610</v>
      </c>
      <c r="AD400" s="10" t="str">
        <f>_xlfn.XLOOKUP(AC400,[1]Mapping!B:B,[1]Mapping!C:C,"")</f>
        <v xml:space="preserve">Electrical Apparatus and Equipment, Wiring Supplies, and Related Equipment Merchant Wholesalers </v>
      </c>
      <c r="AE400" s="6">
        <v>335312</v>
      </c>
      <c r="AF400" s="6" t="s">
        <v>9301</v>
      </c>
      <c r="AG400" s="6" t="s">
        <v>9302</v>
      </c>
      <c r="AH400" s="6" t="s">
        <v>9303</v>
      </c>
      <c r="AI400" s="6" t="s">
        <v>9304</v>
      </c>
      <c r="AJ400" s="6" t="s">
        <v>432</v>
      </c>
      <c r="AK400" s="6" t="s">
        <v>433</v>
      </c>
      <c r="AL400" s="6" t="s">
        <v>434</v>
      </c>
      <c r="AM400" s="6" t="s">
        <v>435</v>
      </c>
      <c r="AN400" s="6" t="s">
        <v>436</v>
      </c>
      <c r="AO400" s="6" t="s">
        <v>437</v>
      </c>
      <c r="AQ400" s="6">
        <v>5063</v>
      </c>
      <c r="AR400" s="6" t="s">
        <v>9305</v>
      </c>
      <c r="AT400" s="6">
        <v>4669</v>
      </c>
      <c r="AU400" s="6" t="s">
        <v>3227</v>
      </c>
      <c r="AV400" s="6">
        <v>46.69</v>
      </c>
      <c r="AW400" s="6" t="s">
        <v>3227</v>
      </c>
      <c r="AY400" s="6" t="s">
        <v>9306</v>
      </c>
      <c r="AZ400" s="6" t="s">
        <v>9307</v>
      </c>
      <c r="BA400" s="6" t="s">
        <v>9308</v>
      </c>
      <c r="BB400" s="6" t="s">
        <v>9308</v>
      </c>
      <c r="BC400" s="6" t="s">
        <v>9309</v>
      </c>
      <c r="BD400" s="6" t="s">
        <v>9310</v>
      </c>
      <c r="BE400" s="6" t="str">
        <f t="shared" si="12"/>
        <v>pmenergi.dk</v>
      </c>
      <c r="BF400" s="6" t="str">
        <f t="shared" si="13"/>
        <v>dk</v>
      </c>
      <c r="BG400" s="6" t="s">
        <v>123</v>
      </c>
      <c r="BH400" s="6" t="s">
        <v>9311</v>
      </c>
      <c r="BJ400" s="6" t="s">
        <v>9312</v>
      </c>
      <c r="BK400" s="6" t="s">
        <v>9313</v>
      </c>
      <c r="BP400" s="6" t="s">
        <v>9314</v>
      </c>
      <c r="BQ400" s="6" t="s">
        <v>9315</v>
      </c>
      <c r="BR400" s="6" t="s">
        <v>105</v>
      </c>
    </row>
    <row r="401" spans="1:70" ht="45" customHeight="1" x14ac:dyDescent="0.25">
      <c r="A401" s="6">
        <v>401</v>
      </c>
      <c r="B401" s="7" t="s">
        <v>9316</v>
      </c>
      <c r="C401" s="8" t="s">
        <v>9317</v>
      </c>
      <c r="D401" s="6" t="s">
        <v>9318</v>
      </c>
      <c r="E401" s="6" t="s">
        <v>9319</v>
      </c>
      <c r="F401" s="8" t="s">
        <v>9320</v>
      </c>
      <c r="G401" s="6" t="s">
        <v>73</v>
      </c>
      <c r="H401" s="6" t="s">
        <v>74</v>
      </c>
      <c r="I401" s="6"/>
      <c r="J401" s="6" t="s">
        <v>486</v>
      </c>
      <c r="K401" s="9">
        <v>1620</v>
      </c>
      <c r="L401" s="8" t="s">
        <v>6808</v>
      </c>
      <c r="M401" s="9">
        <v>74</v>
      </c>
      <c r="N401" s="6">
        <v>55.6729737</v>
      </c>
      <c r="O401" s="6">
        <v>12.5514055</v>
      </c>
      <c r="P401" s="6" t="s">
        <v>9321</v>
      </c>
      <c r="Q401" s="6">
        <v>148</v>
      </c>
      <c r="R401" s="6" t="s">
        <v>79</v>
      </c>
      <c r="S401" s="6">
        <v>1995</v>
      </c>
      <c r="T401" s="6">
        <v>761402496</v>
      </c>
      <c r="U401" s="6" t="s">
        <v>167</v>
      </c>
      <c r="V401" s="6">
        <v>6388</v>
      </c>
      <c r="W401" s="6" t="s">
        <v>167</v>
      </c>
      <c r="X401" s="6" t="s">
        <v>9322</v>
      </c>
      <c r="Y401" s="6" t="s">
        <v>9323</v>
      </c>
      <c r="Z401" s="6" t="s">
        <v>9324</v>
      </c>
      <c r="AA401" s="6" t="s">
        <v>9325</v>
      </c>
      <c r="AB401" s="6" t="s">
        <v>9326</v>
      </c>
      <c r="AC401" s="6">
        <v>491110</v>
      </c>
      <c r="AD401" s="10" t="str">
        <f>_xlfn.XLOOKUP(AC401,[1]Mapping!B:B,[1]Mapping!C:C,"")</f>
        <v>Postal Service</v>
      </c>
      <c r="AE401" s="6">
        <v>492110</v>
      </c>
      <c r="AF401" s="6" t="s">
        <v>9327</v>
      </c>
      <c r="AG401" s="6" t="s">
        <v>9328</v>
      </c>
      <c r="AH401" s="6" t="s">
        <v>9329</v>
      </c>
      <c r="AI401" s="6" t="s">
        <v>4567</v>
      </c>
      <c r="AJ401" s="6" t="s">
        <v>6933</v>
      </c>
      <c r="AK401" s="6" t="s">
        <v>6934</v>
      </c>
      <c r="AL401" s="6" t="s">
        <v>2136</v>
      </c>
      <c r="AM401" s="6" t="s">
        <v>2137</v>
      </c>
      <c r="AN401" s="6" t="s">
        <v>2138</v>
      </c>
      <c r="AO401" s="6" t="s">
        <v>2139</v>
      </c>
      <c r="AQ401" s="6" t="s">
        <v>9330</v>
      </c>
      <c r="AR401" s="6" t="s">
        <v>9331</v>
      </c>
      <c r="AT401" s="6">
        <v>5310</v>
      </c>
      <c r="AU401" s="6" t="s">
        <v>9332</v>
      </c>
      <c r="AV401" s="6">
        <v>53.1</v>
      </c>
      <c r="AW401" s="6" t="s">
        <v>9333</v>
      </c>
      <c r="AY401" s="6">
        <v>4526663903</v>
      </c>
      <c r="AZ401" s="6" t="s">
        <v>9334</v>
      </c>
      <c r="BA401" s="6" t="s">
        <v>9335</v>
      </c>
      <c r="BD401" s="6" t="s">
        <v>9336</v>
      </c>
      <c r="BE401" s="6" t="str">
        <f t="shared" si="12"/>
        <v>postnord.dk</v>
      </c>
      <c r="BF401" s="6" t="str">
        <f t="shared" si="13"/>
        <v>dk</v>
      </c>
      <c r="BG401" s="6" t="s">
        <v>123</v>
      </c>
      <c r="BH401" s="6" t="s">
        <v>9337</v>
      </c>
      <c r="BI401" s="6" t="s">
        <v>9338</v>
      </c>
      <c r="BJ401" s="6" t="s">
        <v>9339</v>
      </c>
      <c r="BK401" s="6" t="s">
        <v>9340</v>
      </c>
      <c r="BL401" s="6" t="s">
        <v>9341</v>
      </c>
      <c r="BM401" s="6" t="s">
        <v>9342</v>
      </c>
      <c r="BP401" s="6" t="s">
        <v>9343</v>
      </c>
      <c r="BQ401" s="6" t="s">
        <v>9344</v>
      </c>
      <c r="BR401" s="6" t="s">
        <v>105</v>
      </c>
    </row>
    <row r="402" spans="1:70" ht="45" customHeight="1" x14ac:dyDescent="0.25">
      <c r="A402" s="6">
        <v>402</v>
      </c>
      <c r="B402" s="7" t="s">
        <v>9345</v>
      </c>
      <c r="C402" s="8" t="s">
        <v>9346</v>
      </c>
      <c r="D402" s="6" t="s">
        <v>9347</v>
      </c>
      <c r="E402" s="8" t="s">
        <v>9345</v>
      </c>
      <c r="F402" s="8" t="s">
        <v>9348</v>
      </c>
      <c r="G402" s="6" t="s">
        <v>130</v>
      </c>
      <c r="H402" s="6" t="s">
        <v>131</v>
      </c>
      <c r="I402" s="8" t="s">
        <v>132</v>
      </c>
      <c r="J402" s="6" t="s">
        <v>132</v>
      </c>
      <c r="K402" s="9">
        <v>185</v>
      </c>
      <c r="L402" s="8" t="s">
        <v>9349</v>
      </c>
      <c r="M402" s="9" t="s">
        <v>9350</v>
      </c>
      <c r="N402" s="6">
        <v>59.911697699999998</v>
      </c>
      <c r="O402" s="6">
        <v>10.754335299999999</v>
      </c>
      <c r="P402" s="6" t="s">
        <v>9351</v>
      </c>
      <c r="Q402" s="6">
        <v>1</v>
      </c>
      <c r="R402" s="6" t="s">
        <v>79</v>
      </c>
      <c r="S402" s="6">
        <v>1647</v>
      </c>
      <c r="T402" s="6">
        <v>2497012736</v>
      </c>
      <c r="U402" s="6" t="s">
        <v>167</v>
      </c>
      <c r="V402" s="6">
        <v>12561</v>
      </c>
      <c r="W402" s="6" t="s">
        <v>167</v>
      </c>
      <c r="X402" s="6" t="s">
        <v>9352</v>
      </c>
      <c r="Y402" s="6" t="s">
        <v>9353</v>
      </c>
      <c r="Z402" s="6" t="s">
        <v>9354</v>
      </c>
      <c r="AA402" s="6" t="s">
        <v>9355</v>
      </c>
      <c r="AB402" s="6" t="s">
        <v>9356</v>
      </c>
      <c r="AC402" s="6">
        <v>492110</v>
      </c>
      <c r="AD402" s="10" t="str">
        <f>_xlfn.XLOOKUP(AC402,[1]Mapping!B:B,[1]Mapping!C:C,"")</f>
        <v>Couriers and Express Delivery Services</v>
      </c>
      <c r="AE402" s="6">
        <v>491110</v>
      </c>
      <c r="AF402" s="6" t="s">
        <v>9328</v>
      </c>
      <c r="AG402" s="6" t="s">
        <v>9357</v>
      </c>
      <c r="AH402" s="6" t="s">
        <v>9358</v>
      </c>
      <c r="AI402" s="6" t="s">
        <v>2133</v>
      </c>
      <c r="AJ402" s="6" t="s">
        <v>6933</v>
      </c>
      <c r="AK402" s="6" t="s">
        <v>6934</v>
      </c>
      <c r="AL402" s="6" t="s">
        <v>2136</v>
      </c>
      <c r="AM402" s="6" t="s">
        <v>2137</v>
      </c>
      <c r="AN402" s="6" t="s">
        <v>2138</v>
      </c>
      <c r="AO402" s="6" t="s">
        <v>2139</v>
      </c>
      <c r="AQ402" s="6">
        <v>4215</v>
      </c>
      <c r="AR402" s="6" t="s">
        <v>9359</v>
      </c>
      <c r="AT402" s="6">
        <v>5310</v>
      </c>
      <c r="AU402" s="6" t="s">
        <v>9333</v>
      </c>
      <c r="AV402" s="6">
        <v>53.1</v>
      </c>
      <c r="AW402" s="6" t="s">
        <v>9333</v>
      </c>
      <c r="AY402" s="6" t="s">
        <v>9360</v>
      </c>
      <c r="AZ402" s="6">
        <v>4740000377</v>
      </c>
      <c r="BA402" s="6" t="s">
        <v>9361</v>
      </c>
      <c r="BD402" s="6" t="s">
        <v>9362</v>
      </c>
      <c r="BE402" s="6" t="str">
        <f t="shared" si="12"/>
        <v>bring.no</v>
      </c>
      <c r="BF402" s="6" t="str">
        <f t="shared" si="13"/>
        <v>no</v>
      </c>
      <c r="BG402" s="6" t="s">
        <v>150</v>
      </c>
      <c r="BH402" s="6" t="s">
        <v>9363</v>
      </c>
      <c r="BI402" s="6" t="s">
        <v>9364</v>
      </c>
      <c r="BJ402" s="6" t="s">
        <v>9365</v>
      </c>
      <c r="BK402" s="6" t="s">
        <v>9366</v>
      </c>
      <c r="BP402" s="6" t="s">
        <v>9367</v>
      </c>
      <c r="BQ402" s="6" t="s">
        <v>9368</v>
      </c>
      <c r="BR402" s="6" t="s">
        <v>105</v>
      </c>
    </row>
    <row r="403" spans="1:70" ht="45" customHeight="1" x14ac:dyDescent="0.25">
      <c r="A403" s="6">
        <v>403</v>
      </c>
      <c r="B403" s="7" t="s">
        <v>9369</v>
      </c>
      <c r="C403" s="8" t="s">
        <v>9370</v>
      </c>
      <c r="D403" s="6" t="s">
        <v>9371</v>
      </c>
      <c r="E403" s="8" t="s">
        <v>9369</v>
      </c>
      <c r="F403" s="8" t="s">
        <v>9372</v>
      </c>
      <c r="G403" s="6" t="s">
        <v>73</v>
      </c>
      <c r="H403" s="6" t="s">
        <v>74</v>
      </c>
      <c r="J403" s="6" t="s">
        <v>486</v>
      </c>
      <c r="K403" s="9">
        <v>2300</v>
      </c>
      <c r="L403" s="8" t="s">
        <v>9373</v>
      </c>
      <c r="M403" s="9">
        <v>88</v>
      </c>
      <c r="N403" s="6">
        <v>55.645936499999998</v>
      </c>
      <c r="O403" s="6">
        <v>12.6421016</v>
      </c>
      <c r="P403" s="6" t="s">
        <v>9374</v>
      </c>
      <c r="Q403" s="6">
        <v>1</v>
      </c>
      <c r="R403" s="6" t="s">
        <v>79</v>
      </c>
      <c r="T403" s="6"/>
      <c r="X403" s="6" t="s">
        <v>9375</v>
      </c>
      <c r="Y403" s="6" t="s">
        <v>9376</v>
      </c>
      <c r="Z403" s="6" t="s">
        <v>9377</v>
      </c>
      <c r="AA403" s="6" t="s">
        <v>9378</v>
      </c>
      <c r="AB403" s="6" t="s">
        <v>9379</v>
      </c>
      <c r="AC403" s="6">
        <v>531120</v>
      </c>
      <c r="AD403" s="10" t="str">
        <f>_xlfn.XLOOKUP(AC403,[1]Mapping!B:B,[1]Mapping!C:C,"")</f>
        <v xml:space="preserve">Lessors of Nonresidential Buildings (except Miniwarehouses) </v>
      </c>
      <c r="AG403" s="6" t="s">
        <v>9380</v>
      </c>
      <c r="AH403" s="6" t="s">
        <v>9381</v>
      </c>
      <c r="AI403" s="6" t="s">
        <v>2321</v>
      </c>
      <c r="AJ403" s="6" t="s">
        <v>3065</v>
      </c>
      <c r="AK403" s="6" t="s">
        <v>3066</v>
      </c>
      <c r="AL403" s="6" t="s">
        <v>2321</v>
      </c>
      <c r="AM403" s="6" t="s">
        <v>2323</v>
      </c>
      <c r="AN403" s="6" t="s">
        <v>655</v>
      </c>
      <c r="AO403" s="6" t="s">
        <v>657</v>
      </c>
      <c r="AQ403" s="6" t="s">
        <v>9382</v>
      </c>
      <c r="AR403" s="6" t="s">
        <v>9383</v>
      </c>
      <c r="AT403" s="6">
        <v>6810</v>
      </c>
      <c r="AU403" s="6" t="s">
        <v>9384</v>
      </c>
      <c r="AV403" s="6" t="s">
        <v>9385</v>
      </c>
      <c r="AW403" s="6" t="s">
        <v>9386</v>
      </c>
      <c r="AY403" s="6" t="s">
        <v>9387</v>
      </c>
      <c r="AZ403" s="6" t="s">
        <v>9388</v>
      </c>
      <c r="BA403" s="6" t="s">
        <v>9389</v>
      </c>
      <c r="BB403" s="6" t="s">
        <v>9389</v>
      </c>
      <c r="BD403" s="6" t="s">
        <v>9390</v>
      </c>
      <c r="BE403" s="6" t="str">
        <f t="shared" si="12"/>
        <v>globetrotterhuset.dk</v>
      </c>
      <c r="BF403" s="6" t="str">
        <f t="shared" si="13"/>
        <v>dk</v>
      </c>
      <c r="BG403" s="6" t="s">
        <v>123</v>
      </c>
      <c r="BQ403" s="6" t="s">
        <v>9391</v>
      </c>
      <c r="BR403" s="6" t="s">
        <v>105</v>
      </c>
    </row>
    <row r="404" spans="1:70" ht="45" customHeight="1" x14ac:dyDescent="0.25">
      <c r="A404" s="6">
        <v>404</v>
      </c>
      <c r="B404" s="7" t="s">
        <v>9392</v>
      </c>
      <c r="C404" s="8" t="s">
        <v>9393</v>
      </c>
      <c r="D404" s="6" t="s">
        <v>9394</v>
      </c>
      <c r="E404" s="6" t="s">
        <v>9395</v>
      </c>
      <c r="F404" s="8" t="s">
        <v>9396</v>
      </c>
      <c r="G404" s="6" t="s">
        <v>160</v>
      </c>
      <c r="H404" s="6" t="s">
        <v>161</v>
      </c>
      <c r="I404" s="6" t="s">
        <v>9397</v>
      </c>
      <c r="J404" s="6" t="s">
        <v>9398</v>
      </c>
      <c r="K404" s="9" t="s">
        <v>9399</v>
      </c>
      <c r="L404" s="8" t="s">
        <v>9400</v>
      </c>
      <c r="M404" s="9">
        <v>20</v>
      </c>
      <c r="N404" s="6">
        <v>56.829237700000007</v>
      </c>
      <c r="O404" s="6">
        <v>13.919458300000001</v>
      </c>
      <c r="P404" s="6" t="s">
        <v>9401</v>
      </c>
      <c r="Q404" s="6">
        <v>7</v>
      </c>
      <c r="R404" s="6" t="s">
        <v>79</v>
      </c>
      <c r="S404" s="6">
        <v>1993</v>
      </c>
      <c r="T404" s="6"/>
      <c r="X404" s="6" t="s">
        <v>9402</v>
      </c>
      <c r="Y404" s="6" t="s">
        <v>9403</v>
      </c>
      <c r="Z404" s="6" t="s">
        <v>9404</v>
      </c>
      <c r="AA404" s="6" t="s">
        <v>9405</v>
      </c>
      <c r="AB404" s="6" t="s">
        <v>9406</v>
      </c>
      <c r="AC404" s="6">
        <v>491110</v>
      </c>
      <c r="AD404" s="10" t="str">
        <f>_xlfn.XLOOKUP(AC404,[1]Mapping!B:B,[1]Mapping!C:C,"")</f>
        <v>Postal Service</v>
      </c>
      <c r="AG404" s="6" t="s">
        <v>9407</v>
      </c>
      <c r="AH404" s="6" t="s">
        <v>9329</v>
      </c>
      <c r="AI404" s="6" t="s">
        <v>4567</v>
      </c>
      <c r="AJ404" s="6" t="s">
        <v>6933</v>
      </c>
      <c r="AK404" s="6" t="s">
        <v>6934</v>
      </c>
      <c r="AL404" s="6" t="s">
        <v>2136</v>
      </c>
      <c r="AM404" s="6" t="s">
        <v>2137</v>
      </c>
      <c r="AN404" s="6" t="s">
        <v>2138</v>
      </c>
      <c r="AO404" s="6" t="s">
        <v>2139</v>
      </c>
      <c r="AQ404" s="6" t="s">
        <v>9330</v>
      </c>
      <c r="AR404" s="6" t="s">
        <v>9331</v>
      </c>
      <c r="AT404" s="6">
        <v>5310</v>
      </c>
      <c r="AU404" s="6" t="s">
        <v>9332</v>
      </c>
      <c r="AV404" s="6">
        <v>53.1</v>
      </c>
      <c r="AW404" s="6" t="s">
        <v>9333</v>
      </c>
      <c r="AY404" s="6" t="s">
        <v>9408</v>
      </c>
      <c r="AZ404" s="6" t="s">
        <v>9409</v>
      </c>
      <c r="BA404" s="6" t="s">
        <v>9410</v>
      </c>
      <c r="BB404" s="6" t="s">
        <v>9410</v>
      </c>
      <c r="BC404" s="6" t="s">
        <v>9411</v>
      </c>
      <c r="BD404" s="6" t="s">
        <v>9412</v>
      </c>
      <c r="BE404" s="6" t="str">
        <f t="shared" si="12"/>
        <v>stralfors.se</v>
      </c>
      <c r="BF404" s="6" t="str">
        <f t="shared" si="13"/>
        <v>se</v>
      </c>
      <c r="BG404" s="6" t="s">
        <v>308</v>
      </c>
      <c r="BK404" s="6" t="s">
        <v>9413</v>
      </c>
      <c r="BP404" s="6" t="s">
        <v>9414</v>
      </c>
      <c r="BQ404" s="6" t="s">
        <v>9415</v>
      </c>
      <c r="BR404" s="6" t="s">
        <v>105</v>
      </c>
    </row>
    <row r="405" spans="1:70" ht="45" customHeight="1" x14ac:dyDescent="0.25">
      <c r="A405" s="6">
        <v>405</v>
      </c>
      <c r="B405" s="7" t="s">
        <v>9416</v>
      </c>
      <c r="C405" s="8" t="s">
        <v>9417</v>
      </c>
      <c r="D405" s="6" t="s">
        <v>9418</v>
      </c>
      <c r="E405" s="8" t="s">
        <v>9416</v>
      </c>
      <c r="F405" s="8" t="s">
        <v>9419</v>
      </c>
      <c r="G405" s="6" t="s">
        <v>73</v>
      </c>
      <c r="H405" s="6" t="s">
        <v>74</v>
      </c>
      <c r="J405" s="6" t="s">
        <v>1802</v>
      </c>
      <c r="K405" s="9">
        <v>2900</v>
      </c>
      <c r="L405" s="8" t="s">
        <v>9420</v>
      </c>
      <c r="M405" s="9">
        <v>44</v>
      </c>
      <c r="N405" s="6">
        <v>55.724467300000001</v>
      </c>
      <c r="O405" s="6">
        <v>12.5781037</v>
      </c>
      <c r="P405" s="6" t="s">
        <v>9421</v>
      </c>
      <c r="Q405" s="6">
        <v>1</v>
      </c>
      <c r="R405" s="6" t="s">
        <v>79</v>
      </c>
      <c r="S405" s="6">
        <v>2011</v>
      </c>
      <c r="T405" s="6"/>
      <c r="X405" s="6" t="s">
        <v>9422</v>
      </c>
      <c r="Y405" s="6" t="s">
        <v>9423</v>
      </c>
      <c r="Z405" s="6" t="s">
        <v>9424</v>
      </c>
      <c r="AC405" s="6">
        <v>541219</v>
      </c>
      <c r="AD405" s="10" t="str">
        <f>_xlfn.XLOOKUP(AC405,[1]Mapping!B:B,[1]Mapping!C:C,"")</f>
        <v xml:space="preserve">Other Accounting Services </v>
      </c>
      <c r="AG405" s="6" t="s">
        <v>1094</v>
      </c>
      <c r="AH405" s="6" t="s">
        <v>1095</v>
      </c>
      <c r="AI405" s="6" t="s">
        <v>119</v>
      </c>
      <c r="AQ405" s="6">
        <v>8721</v>
      </c>
      <c r="AR405" s="6" t="s">
        <v>1096</v>
      </c>
      <c r="AT405" s="6">
        <v>6920</v>
      </c>
      <c r="AU405" s="6" t="s">
        <v>1098</v>
      </c>
      <c r="AV405" s="6">
        <v>69.2</v>
      </c>
      <c r="AW405" s="6" t="s">
        <v>1098</v>
      </c>
      <c r="AY405" s="6" t="s">
        <v>9425</v>
      </c>
      <c r="BD405" s="6" t="s">
        <v>9426</v>
      </c>
      <c r="BE405" s="6" t="str">
        <f t="shared" si="12"/>
        <v>pwc.dk</v>
      </c>
      <c r="BF405" s="6" t="str">
        <f t="shared" si="13"/>
        <v>dk</v>
      </c>
      <c r="BG405" s="6" t="s">
        <v>123</v>
      </c>
      <c r="BH405" s="6" t="s">
        <v>9427</v>
      </c>
      <c r="BJ405" s="6" t="s">
        <v>9428</v>
      </c>
      <c r="BK405" s="6" t="s">
        <v>9429</v>
      </c>
      <c r="BN405" s="6" t="s">
        <v>9430</v>
      </c>
      <c r="BQ405" s="6" t="s">
        <v>9431</v>
      </c>
      <c r="BR405" s="6" t="s">
        <v>105</v>
      </c>
    </row>
    <row r="406" spans="1:70" ht="45" customHeight="1" x14ac:dyDescent="0.25">
      <c r="A406" s="6">
        <v>406</v>
      </c>
      <c r="B406" s="7" t="s">
        <v>9432</v>
      </c>
      <c r="C406" s="8" t="s">
        <v>9433</v>
      </c>
      <c r="D406" s="6" t="s">
        <v>9434</v>
      </c>
      <c r="E406" s="8" t="s">
        <v>9432</v>
      </c>
      <c r="F406" s="8" t="s">
        <v>9435</v>
      </c>
      <c r="G406" s="6" t="s">
        <v>130</v>
      </c>
      <c r="H406" s="6" t="s">
        <v>131</v>
      </c>
      <c r="I406" s="8" t="s">
        <v>132</v>
      </c>
      <c r="J406" s="6" t="s">
        <v>132</v>
      </c>
      <c r="K406" s="9">
        <v>194</v>
      </c>
      <c r="L406" s="8" t="s">
        <v>1041</v>
      </c>
      <c r="M406" s="9">
        <v>71</v>
      </c>
      <c r="N406" s="6">
        <v>59.906803699999998</v>
      </c>
      <c r="O406" s="6">
        <v>10.761100799999999</v>
      </c>
      <c r="P406" s="6" t="s">
        <v>9436</v>
      </c>
      <c r="Q406" s="6">
        <v>2</v>
      </c>
      <c r="T406" s="6"/>
      <c r="V406" s="6">
        <v>30</v>
      </c>
      <c r="W406" s="6" t="s">
        <v>80</v>
      </c>
      <c r="X406" s="6" t="s">
        <v>9437</v>
      </c>
      <c r="Y406" s="6" t="s">
        <v>9438</v>
      </c>
      <c r="Z406" s="6" t="s">
        <v>9439</v>
      </c>
      <c r="AA406" s="6" t="s">
        <v>9440</v>
      </c>
      <c r="AB406" s="6" t="s">
        <v>9441</v>
      </c>
      <c r="AC406" s="6">
        <v>541211</v>
      </c>
      <c r="AD406" s="10" t="str">
        <f>_xlfn.XLOOKUP(AC406,[1]Mapping!B:B,[1]Mapping!C:C,"")</f>
        <v xml:space="preserve">Offices of Certified Public Accountants </v>
      </c>
      <c r="AE406" s="6" t="s">
        <v>6276</v>
      </c>
      <c r="AF406" s="6" t="s">
        <v>6277</v>
      </c>
      <c r="AG406" s="6" t="s">
        <v>9442</v>
      </c>
      <c r="AH406" s="6" t="s">
        <v>9443</v>
      </c>
      <c r="AI406" s="6" t="s">
        <v>652</v>
      </c>
      <c r="AJ406" s="6" t="s">
        <v>293</v>
      </c>
      <c r="AK406" s="6" t="s">
        <v>294</v>
      </c>
      <c r="AL406" s="6" t="s">
        <v>295</v>
      </c>
      <c r="AM406" s="6" t="s">
        <v>296</v>
      </c>
      <c r="AN406" s="6" t="s">
        <v>297</v>
      </c>
      <c r="AO406" s="6" t="s">
        <v>298</v>
      </c>
      <c r="AQ406" s="6">
        <v>8721</v>
      </c>
      <c r="AR406" s="6" t="s">
        <v>9444</v>
      </c>
      <c r="AT406" s="6">
        <v>6920</v>
      </c>
      <c r="AU406" s="6" t="s">
        <v>1098</v>
      </c>
      <c r="AV406" s="6">
        <v>69.2</v>
      </c>
      <c r="AW406" s="6" t="s">
        <v>1098</v>
      </c>
      <c r="AY406" s="6" t="s">
        <v>9445</v>
      </c>
      <c r="BA406" s="6" t="s">
        <v>9446</v>
      </c>
      <c r="BD406" s="6" t="s">
        <v>9447</v>
      </c>
      <c r="BE406" s="6" t="str">
        <f t="shared" si="12"/>
        <v>pwc.no</v>
      </c>
      <c r="BF406" s="6" t="str">
        <f t="shared" si="13"/>
        <v>no</v>
      </c>
      <c r="BG406" s="6" t="s">
        <v>101</v>
      </c>
      <c r="BP406" s="6" t="s">
        <v>543</v>
      </c>
      <c r="BQ406" s="6" t="s">
        <v>9448</v>
      </c>
      <c r="BR406" s="6" t="s">
        <v>105</v>
      </c>
    </row>
    <row r="407" spans="1:70" ht="45" customHeight="1" x14ac:dyDescent="0.25">
      <c r="A407" s="6">
        <v>407</v>
      </c>
      <c r="B407" s="7" t="s">
        <v>9449</v>
      </c>
      <c r="C407" s="8" t="s">
        <v>9450</v>
      </c>
      <c r="D407" s="6" t="s">
        <v>9451</v>
      </c>
      <c r="E407" s="8" t="s">
        <v>9449</v>
      </c>
      <c r="F407" s="8" t="s">
        <v>9452</v>
      </c>
      <c r="G407" s="6" t="s">
        <v>1400</v>
      </c>
      <c r="H407" s="6" t="s">
        <v>1401</v>
      </c>
      <c r="I407" s="8" t="s">
        <v>3964</v>
      </c>
      <c r="J407" s="6" t="s">
        <v>3965</v>
      </c>
      <c r="L407" s="8" t="s">
        <v>9453</v>
      </c>
      <c r="N407" s="6">
        <v>33.703882700000001</v>
      </c>
      <c r="O407" s="6">
        <v>72.979351699999995</v>
      </c>
      <c r="P407" s="6" t="s">
        <v>9454</v>
      </c>
      <c r="Q407" s="6">
        <v>1</v>
      </c>
      <c r="R407" s="6" t="s">
        <v>79</v>
      </c>
      <c r="S407" s="6">
        <v>2008</v>
      </c>
      <c r="T407" s="6">
        <v>3200000</v>
      </c>
      <c r="U407" s="6" t="s">
        <v>167</v>
      </c>
      <c r="V407" s="6">
        <v>57</v>
      </c>
      <c r="W407" s="6" t="s">
        <v>167</v>
      </c>
      <c r="X407" s="6" t="s">
        <v>9455</v>
      </c>
      <c r="Y407" s="6" t="s">
        <v>9456</v>
      </c>
      <c r="Z407" s="6" t="s">
        <v>9457</v>
      </c>
      <c r="AA407" s="6" t="s">
        <v>9458</v>
      </c>
      <c r="AB407" s="6" t="s">
        <v>9459</v>
      </c>
      <c r="AC407" s="6">
        <v>519130</v>
      </c>
      <c r="AD407" s="6" t="s">
        <v>9460</v>
      </c>
      <c r="AE407" s="6">
        <v>513110</v>
      </c>
      <c r="AF407" s="6" t="s">
        <v>9460</v>
      </c>
      <c r="AG407" s="6" t="s">
        <v>9461</v>
      </c>
      <c r="AH407" s="6" t="s">
        <v>9462</v>
      </c>
      <c r="AI407" s="6" t="s">
        <v>4210</v>
      </c>
      <c r="AJ407" s="6" t="s">
        <v>86</v>
      </c>
      <c r="AK407" s="6" t="s">
        <v>88</v>
      </c>
      <c r="AL407" s="6" t="s">
        <v>89</v>
      </c>
      <c r="AM407" s="6" t="s">
        <v>90</v>
      </c>
      <c r="AN407" s="6" t="s">
        <v>91</v>
      </c>
      <c r="AO407" s="6" t="s">
        <v>92</v>
      </c>
      <c r="AQ407" s="6">
        <v>7389</v>
      </c>
      <c r="AR407" s="6" t="s">
        <v>4940</v>
      </c>
      <c r="AS407" s="6" t="s">
        <v>9463</v>
      </c>
      <c r="AT407" s="6">
        <v>6312</v>
      </c>
      <c r="AU407" s="6" t="s">
        <v>5131</v>
      </c>
      <c r="AV407" s="6">
        <v>63.12</v>
      </c>
      <c r="AW407" s="6" t="s">
        <v>5131</v>
      </c>
      <c r="AX407" s="6" t="s">
        <v>9464</v>
      </c>
      <c r="AY407" s="6" t="s">
        <v>9465</v>
      </c>
      <c r="BA407" s="6" t="s">
        <v>9466</v>
      </c>
      <c r="BB407" s="6" t="s">
        <v>9466</v>
      </c>
      <c r="BD407" s="6" t="s">
        <v>9467</v>
      </c>
      <c r="BE407" s="6" t="str">
        <f t="shared" si="12"/>
        <v>propakistani.pk</v>
      </c>
      <c r="BF407" s="6" t="str">
        <f t="shared" si="13"/>
        <v>pk</v>
      </c>
      <c r="BG407" s="6" t="s">
        <v>101</v>
      </c>
      <c r="BH407" s="6" t="s">
        <v>9468</v>
      </c>
      <c r="BI407" s="6" t="s">
        <v>9469</v>
      </c>
      <c r="BJ407" s="6" t="s">
        <v>9470</v>
      </c>
      <c r="BK407" s="6" t="s">
        <v>9471</v>
      </c>
      <c r="BL407" s="6" t="s">
        <v>9472</v>
      </c>
      <c r="BM407" s="6" t="s">
        <v>9473</v>
      </c>
      <c r="BN407" s="6" t="s">
        <v>9474</v>
      </c>
      <c r="BP407" s="6" t="s">
        <v>9475</v>
      </c>
      <c r="BQ407" s="6" t="s">
        <v>9476</v>
      </c>
      <c r="BR407" s="6" t="s">
        <v>105</v>
      </c>
    </row>
    <row r="408" spans="1:70" ht="45" customHeight="1" x14ac:dyDescent="0.25">
      <c r="A408" s="6">
        <v>408</v>
      </c>
      <c r="B408" s="7" t="s">
        <v>9477</v>
      </c>
      <c r="C408" s="8" t="s">
        <v>9478</v>
      </c>
      <c r="D408" s="6" t="s">
        <v>9479</v>
      </c>
      <c r="E408" s="8" t="s">
        <v>9477</v>
      </c>
      <c r="F408" s="8" t="s">
        <v>9480</v>
      </c>
      <c r="G408" s="6" t="s">
        <v>130</v>
      </c>
      <c r="H408" s="6" t="s">
        <v>131</v>
      </c>
      <c r="I408" s="8" t="s">
        <v>3441</v>
      </c>
      <c r="J408" s="6" t="s">
        <v>3442</v>
      </c>
      <c r="K408" s="9">
        <v>3013</v>
      </c>
      <c r="L408" s="8" t="s">
        <v>9481</v>
      </c>
      <c r="M408" s="9">
        <v>16</v>
      </c>
      <c r="N408" s="6">
        <v>59.737423499999998</v>
      </c>
      <c r="O408" s="6">
        <v>10.228317199999999</v>
      </c>
      <c r="P408" s="6" t="s">
        <v>9482</v>
      </c>
      <c r="Q408" s="6">
        <v>1</v>
      </c>
      <c r="R408" s="6" t="s">
        <v>79</v>
      </c>
      <c r="T408" s="6">
        <v>5766728</v>
      </c>
      <c r="U408" s="6" t="s">
        <v>80</v>
      </c>
      <c r="V408" s="6">
        <v>25</v>
      </c>
      <c r="W408" s="6" t="s">
        <v>80</v>
      </c>
      <c r="X408" s="6" t="s">
        <v>9483</v>
      </c>
      <c r="Y408" s="6" t="s">
        <v>9484</v>
      </c>
      <c r="Z408" s="6" t="s">
        <v>9485</v>
      </c>
      <c r="AA408" s="6" t="s">
        <v>9486</v>
      </c>
      <c r="AB408" s="6" t="s">
        <v>9487</v>
      </c>
      <c r="AC408" s="6">
        <v>316210</v>
      </c>
      <c r="AD408" s="10" t="str">
        <f>_xlfn.XLOOKUP(AC408,[1]Mapping!B:B,[1]Mapping!C:C,"")</f>
        <v xml:space="preserve">Footwear Manufacturing </v>
      </c>
      <c r="AG408" s="6" t="s">
        <v>7257</v>
      </c>
      <c r="AH408" s="6" t="s">
        <v>7258</v>
      </c>
      <c r="AI408" s="6" t="s">
        <v>1467</v>
      </c>
      <c r="AJ408" s="6" t="s">
        <v>1467</v>
      </c>
      <c r="AK408" s="6" t="s">
        <v>1468</v>
      </c>
      <c r="AL408" s="6" t="s">
        <v>1469</v>
      </c>
      <c r="AM408" s="6" t="s">
        <v>1470</v>
      </c>
      <c r="AN408" s="6" t="s">
        <v>259</v>
      </c>
      <c r="AO408" s="6" t="s">
        <v>260</v>
      </c>
      <c r="AQ408" s="6" t="s">
        <v>9488</v>
      </c>
      <c r="AR408" s="6" t="s">
        <v>9489</v>
      </c>
      <c r="AS408" s="6" t="s">
        <v>9490</v>
      </c>
      <c r="AT408" s="6">
        <v>1520</v>
      </c>
      <c r="AU408" s="6" t="s">
        <v>9491</v>
      </c>
      <c r="AV408" s="6">
        <v>15.2</v>
      </c>
      <c r="AW408" s="6" t="s">
        <v>9491</v>
      </c>
      <c r="AX408" s="6" t="s">
        <v>9492</v>
      </c>
      <c r="AY408" s="6" t="s">
        <v>9493</v>
      </c>
      <c r="AZ408" s="6">
        <v>4733786400</v>
      </c>
      <c r="BD408" s="6" t="s">
        <v>9494</v>
      </c>
      <c r="BE408" s="6" t="str">
        <f t="shared" si="12"/>
        <v>prysmiangroup.no</v>
      </c>
      <c r="BF408" s="6" t="str">
        <f t="shared" si="13"/>
        <v>no</v>
      </c>
      <c r="BG408" s="6" t="s">
        <v>150</v>
      </c>
      <c r="BH408" s="6" t="s">
        <v>9495</v>
      </c>
      <c r="BI408" s="6" t="s">
        <v>9496</v>
      </c>
      <c r="BK408" s="6" t="s">
        <v>9497</v>
      </c>
      <c r="BN408" s="6" t="s">
        <v>9498</v>
      </c>
      <c r="BP408" s="6" t="s">
        <v>9499</v>
      </c>
      <c r="BQ408" s="6" t="s">
        <v>9500</v>
      </c>
      <c r="BR408" s="6" t="s">
        <v>105</v>
      </c>
    </row>
    <row r="409" spans="1:70" ht="45" customHeight="1" x14ac:dyDescent="0.25">
      <c r="A409" s="6">
        <v>409</v>
      </c>
      <c r="B409" s="7" t="s">
        <v>9501</v>
      </c>
      <c r="C409" s="8" t="s">
        <v>9502</v>
      </c>
      <c r="D409" s="6" t="s">
        <v>9503</v>
      </c>
      <c r="E409" s="8" t="s">
        <v>9501</v>
      </c>
      <c r="F409" s="8" t="s">
        <v>9504</v>
      </c>
      <c r="G409" s="6" t="s">
        <v>1881</v>
      </c>
      <c r="H409" s="6" t="s">
        <v>1882</v>
      </c>
      <c r="I409" s="8" t="s">
        <v>2226</v>
      </c>
      <c r="J409" s="6" t="s">
        <v>2227</v>
      </c>
      <c r="K409" s="9" t="s">
        <v>9505</v>
      </c>
      <c r="L409" s="8" t="s">
        <v>9506</v>
      </c>
      <c r="M409" s="9" t="s">
        <v>9507</v>
      </c>
      <c r="N409" s="6">
        <v>52.390372199999987</v>
      </c>
      <c r="O409" s="6">
        <v>4.9053825</v>
      </c>
      <c r="P409" s="6" t="s">
        <v>9508</v>
      </c>
      <c r="Q409" s="6">
        <v>1</v>
      </c>
      <c r="R409" s="6" t="s">
        <v>79</v>
      </c>
      <c r="S409" s="6">
        <v>1973</v>
      </c>
      <c r="T409" s="6">
        <v>1023501</v>
      </c>
      <c r="U409" s="6" t="s">
        <v>80</v>
      </c>
      <c r="V409" s="6">
        <v>6</v>
      </c>
      <c r="W409" s="6" t="s">
        <v>167</v>
      </c>
      <c r="X409" s="6" t="s">
        <v>9509</v>
      </c>
      <c r="Y409" s="6" t="s">
        <v>9510</v>
      </c>
      <c r="Z409" s="6" t="s">
        <v>9511</v>
      </c>
      <c r="AA409" s="6" t="s">
        <v>9512</v>
      </c>
      <c r="AB409" s="6" t="s">
        <v>9513</v>
      </c>
      <c r="AC409" s="6">
        <v>551112</v>
      </c>
      <c r="AD409" s="10" t="str">
        <f>_xlfn.XLOOKUP(AC409,[1]Mapping!B:B,[1]Mapping!C:C,"")</f>
        <v xml:space="preserve">Offices of Other Holding Companies </v>
      </c>
      <c r="AG409" s="6" t="s">
        <v>9514</v>
      </c>
      <c r="AH409" s="6" t="s">
        <v>9515</v>
      </c>
      <c r="AI409" s="6" t="s">
        <v>683</v>
      </c>
      <c r="AQ409" s="6">
        <v>6719</v>
      </c>
      <c r="AR409" s="6" t="s">
        <v>684</v>
      </c>
      <c r="AT409" s="6">
        <v>6420</v>
      </c>
      <c r="AU409" s="6" t="s">
        <v>686</v>
      </c>
      <c r="AV409" s="6">
        <v>64.2</v>
      </c>
      <c r="AW409" s="6" t="s">
        <v>686</v>
      </c>
      <c r="AY409" s="6" t="s">
        <v>9516</v>
      </c>
      <c r="AZ409" s="6">
        <v>97142222231</v>
      </c>
      <c r="BB409" s="6" t="s">
        <v>9517</v>
      </c>
      <c r="BD409" s="6" t="s">
        <v>9518</v>
      </c>
      <c r="BE409" s="6" t="str">
        <f t="shared" si="12"/>
        <v>publicisgroupe.nl</v>
      </c>
      <c r="BF409" s="6" t="str">
        <f t="shared" si="13"/>
        <v>nl</v>
      </c>
      <c r="BJ409" s="6" t="s">
        <v>9519</v>
      </c>
      <c r="BK409" s="6" t="s">
        <v>9520</v>
      </c>
      <c r="BN409" s="6" t="s">
        <v>9521</v>
      </c>
      <c r="BQ409" s="6" t="s">
        <v>9522</v>
      </c>
      <c r="BR409" s="6" t="s">
        <v>105</v>
      </c>
    </row>
    <row r="410" spans="1:70" ht="45" customHeight="1" x14ac:dyDescent="0.25">
      <c r="A410" s="6">
        <v>410</v>
      </c>
      <c r="B410" s="7" t="s">
        <v>9523</v>
      </c>
      <c r="C410" s="8" t="s">
        <v>9524</v>
      </c>
      <c r="D410" s="6" t="s">
        <v>9525</v>
      </c>
      <c r="E410" s="6" t="s">
        <v>9526</v>
      </c>
      <c r="F410" s="8" t="s">
        <v>9527</v>
      </c>
      <c r="G410" s="6" t="s">
        <v>840</v>
      </c>
      <c r="H410" s="6" t="s">
        <v>841</v>
      </c>
      <c r="I410" s="6" t="s">
        <v>842</v>
      </c>
      <c r="J410" s="6" t="s">
        <v>843</v>
      </c>
      <c r="K410" s="9" t="s">
        <v>9528</v>
      </c>
      <c r="L410" s="8" t="s">
        <v>9529</v>
      </c>
      <c r="M410" s="9">
        <v>1</v>
      </c>
      <c r="N410" s="6">
        <v>51.514355100000003</v>
      </c>
      <c r="O410" s="6">
        <v>-0.1075011</v>
      </c>
      <c r="P410" s="6" t="s">
        <v>9530</v>
      </c>
      <c r="Q410" s="6">
        <v>5</v>
      </c>
      <c r="R410" s="6" t="s">
        <v>79</v>
      </c>
      <c r="S410" s="6">
        <v>1999</v>
      </c>
      <c r="T410" s="6">
        <v>2841631</v>
      </c>
      <c r="U410" s="6" t="s">
        <v>80</v>
      </c>
      <c r="V410" s="6">
        <v>19</v>
      </c>
      <c r="W410" s="6" t="s">
        <v>167</v>
      </c>
      <c r="X410" s="6" t="s">
        <v>9531</v>
      </c>
      <c r="Y410" s="6" t="s">
        <v>9532</v>
      </c>
      <c r="Z410" s="6" t="s">
        <v>9533</v>
      </c>
      <c r="AA410" s="6" t="s">
        <v>9534</v>
      </c>
      <c r="AB410" s="6" t="s">
        <v>9535</v>
      </c>
      <c r="AC410" s="6">
        <v>541618</v>
      </c>
      <c r="AD410" s="10" t="str">
        <f>_xlfn.XLOOKUP(AC410,[1]Mapping!B:B,[1]Mapping!C:C,"")</f>
        <v xml:space="preserve">Other Management Consulting Services </v>
      </c>
      <c r="AG410" s="6" t="s">
        <v>6375</v>
      </c>
      <c r="AH410" s="6" t="s">
        <v>9536</v>
      </c>
      <c r="AI410" s="6" t="s">
        <v>652</v>
      </c>
      <c r="AJ410" s="6" t="s">
        <v>174</v>
      </c>
      <c r="AK410" s="6" t="s">
        <v>175</v>
      </c>
      <c r="AL410" s="6" t="s">
        <v>176</v>
      </c>
      <c r="AM410" s="6" t="s">
        <v>177</v>
      </c>
      <c r="AN410" s="6" t="s">
        <v>91</v>
      </c>
      <c r="AO410" s="6" t="s">
        <v>92</v>
      </c>
      <c r="AQ410" s="6">
        <v>8748</v>
      </c>
      <c r="AR410" s="6" t="s">
        <v>6011</v>
      </c>
      <c r="AT410" s="6">
        <v>7020</v>
      </c>
      <c r="AU410" s="6" t="s">
        <v>378</v>
      </c>
      <c r="AV410" s="6">
        <v>70.22</v>
      </c>
      <c r="AW410" s="6" t="s">
        <v>659</v>
      </c>
      <c r="AY410" s="6" t="s">
        <v>9537</v>
      </c>
      <c r="AZ410" s="6" t="s">
        <v>9538</v>
      </c>
      <c r="BA410" s="6" t="s">
        <v>9539</v>
      </c>
      <c r="BB410" s="6" t="s">
        <v>9539</v>
      </c>
      <c r="BD410" s="6" t="s">
        <v>9540</v>
      </c>
      <c r="BE410" s="6" t="str">
        <f t="shared" si="12"/>
        <v>qccglobal.com</v>
      </c>
      <c r="BF410" s="6" t="str">
        <f t="shared" si="13"/>
        <v>com</v>
      </c>
      <c r="BG410" s="6" t="s">
        <v>101</v>
      </c>
      <c r="BH410" s="6" t="s">
        <v>9541</v>
      </c>
      <c r="BI410" s="6" t="s">
        <v>9542</v>
      </c>
      <c r="BK410" s="6" t="s">
        <v>9543</v>
      </c>
      <c r="BP410" s="6" t="s">
        <v>9544</v>
      </c>
      <c r="BQ410" s="6" t="s">
        <v>9545</v>
      </c>
      <c r="BR410" s="6" t="s">
        <v>105</v>
      </c>
    </row>
    <row r="411" spans="1:70" ht="45" customHeight="1" x14ac:dyDescent="0.25">
      <c r="A411" s="6">
        <v>411</v>
      </c>
      <c r="B411" s="7" t="s">
        <v>9546</v>
      </c>
      <c r="C411" s="8" t="s">
        <v>9547</v>
      </c>
      <c r="D411" s="6" t="s">
        <v>9525</v>
      </c>
      <c r="E411" s="8" t="s">
        <v>9548</v>
      </c>
      <c r="F411" s="8" t="s">
        <v>9548</v>
      </c>
      <c r="G411" s="6" t="s">
        <v>840</v>
      </c>
      <c r="H411" s="6" t="s">
        <v>841</v>
      </c>
      <c r="I411" s="6" t="s">
        <v>842</v>
      </c>
      <c r="J411" s="6" t="s">
        <v>843</v>
      </c>
      <c r="K411" s="9" t="s">
        <v>9528</v>
      </c>
      <c r="L411" s="8" t="s">
        <v>9529</v>
      </c>
      <c r="M411" s="9">
        <v>1</v>
      </c>
      <c r="N411" s="6">
        <v>51.514355100000003</v>
      </c>
      <c r="O411" s="6">
        <v>-0.1075011</v>
      </c>
      <c r="P411" s="6" t="s">
        <v>9549</v>
      </c>
      <c r="Q411" s="6">
        <v>1</v>
      </c>
      <c r="R411" s="6" t="s">
        <v>79</v>
      </c>
      <c r="T411" s="6">
        <v>2278678</v>
      </c>
      <c r="U411" s="6" t="s">
        <v>80</v>
      </c>
      <c r="V411" s="6">
        <v>15</v>
      </c>
      <c r="W411" s="6" t="s">
        <v>80</v>
      </c>
      <c r="X411" s="6" t="s">
        <v>9531</v>
      </c>
      <c r="Y411" s="6" t="s">
        <v>9550</v>
      </c>
      <c r="Z411" s="6" t="s">
        <v>9551</v>
      </c>
      <c r="AA411" s="6" t="s">
        <v>9552</v>
      </c>
      <c r="AC411" s="6">
        <v>236118</v>
      </c>
      <c r="AD411" s="10" t="str">
        <f>_xlfn.XLOOKUP(AC411,[1]Mapping!B:B,[1]Mapping!C:C,"")</f>
        <v xml:space="preserve">Residential Remodelers </v>
      </c>
      <c r="AG411" s="6" t="s">
        <v>9553</v>
      </c>
      <c r="AH411" s="6" t="s">
        <v>6138</v>
      </c>
      <c r="AI411" s="6" t="s">
        <v>292</v>
      </c>
      <c r="AJ411" s="6" t="s">
        <v>653</v>
      </c>
      <c r="AK411" s="6" t="s">
        <v>654</v>
      </c>
      <c r="AL411" s="6" t="s">
        <v>655</v>
      </c>
      <c r="AM411" s="6" t="s">
        <v>656</v>
      </c>
      <c r="AN411" s="6" t="s">
        <v>655</v>
      </c>
      <c r="AO411" s="6" t="s">
        <v>657</v>
      </c>
      <c r="AQ411" s="6" t="s">
        <v>9554</v>
      </c>
      <c r="AR411" s="6" t="s">
        <v>9555</v>
      </c>
      <c r="AS411" s="6" t="s">
        <v>9556</v>
      </c>
      <c r="AT411" s="6">
        <v>4100</v>
      </c>
      <c r="AU411" s="6" t="s">
        <v>6140</v>
      </c>
      <c r="AV411" s="6" t="s">
        <v>6141</v>
      </c>
      <c r="AW411" s="6" t="s">
        <v>6142</v>
      </c>
      <c r="AX411" s="6" t="s">
        <v>9557</v>
      </c>
      <c r="AY411" s="6" t="s">
        <v>9537</v>
      </c>
      <c r="AZ411" s="6" t="s">
        <v>9558</v>
      </c>
      <c r="BA411" s="6" t="s">
        <v>9559</v>
      </c>
      <c r="BB411" s="6" t="s">
        <v>9559</v>
      </c>
      <c r="BD411" s="6" t="s">
        <v>9540</v>
      </c>
      <c r="BE411" s="6" t="str">
        <f t="shared" si="12"/>
        <v>qccglobal.com</v>
      </c>
      <c r="BF411" s="6" t="str">
        <f t="shared" si="13"/>
        <v>com</v>
      </c>
      <c r="BG411" s="6" t="s">
        <v>101</v>
      </c>
      <c r="BH411" s="6" t="s">
        <v>9560</v>
      </c>
      <c r="BP411" s="6" t="s">
        <v>9561</v>
      </c>
      <c r="BQ411" s="6" t="s">
        <v>9562</v>
      </c>
      <c r="BR411" s="6" t="s">
        <v>105</v>
      </c>
    </row>
    <row r="412" spans="1:70" ht="45" customHeight="1" x14ac:dyDescent="0.25">
      <c r="A412" s="6">
        <v>412</v>
      </c>
      <c r="B412" s="7" t="s">
        <v>9563</v>
      </c>
      <c r="C412" s="8" t="s">
        <v>9564</v>
      </c>
      <c r="D412" s="6" t="s">
        <v>9565</v>
      </c>
      <c r="E412" s="8" t="s">
        <v>9563</v>
      </c>
      <c r="F412" s="8" t="s">
        <v>9565</v>
      </c>
      <c r="G412" s="6" t="s">
        <v>73</v>
      </c>
      <c r="H412" s="6" t="s">
        <v>74</v>
      </c>
      <c r="J412" s="6" t="s">
        <v>486</v>
      </c>
      <c r="K412" s="9">
        <v>2100</v>
      </c>
      <c r="L412" s="8" t="s">
        <v>2394</v>
      </c>
      <c r="M412" s="9">
        <v>27</v>
      </c>
      <c r="N412" s="6">
        <v>55.699192600000003</v>
      </c>
      <c r="O412" s="6">
        <v>12.594840599999999</v>
      </c>
      <c r="P412" s="6" t="s">
        <v>9566</v>
      </c>
      <c r="Q412" s="6">
        <v>1</v>
      </c>
      <c r="R412" s="6" t="s">
        <v>79</v>
      </c>
      <c r="T412" s="6"/>
      <c r="X412" s="6" t="s">
        <v>9567</v>
      </c>
      <c r="Y412" s="6" t="s">
        <v>9568</v>
      </c>
      <c r="Z412" s="6" t="s">
        <v>9569</v>
      </c>
      <c r="AA412" s="6" t="s">
        <v>9570</v>
      </c>
      <c r="AB412" s="6" t="s">
        <v>9571</v>
      </c>
      <c r="AC412" s="6">
        <v>513210</v>
      </c>
      <c r="AD412" s="10" t="str">
        <f>_xlfn.XLOOKUP(AC412,[1]Mapping!B:B,[1]Mapping!C:C,"")</f>
        <v>Software Publishers</v>
      </c>
      <c r="AG412" s="6" t="s">
        <v>9572</v>
      </c>
      <c r="AH412" s="6" t="s">
        <v>9573</v>
      </c>
      <c r="AI412" s="6" t="s">
        <v>499</v>
      </c>
      <c r="AQ412" s="6">
        <v>7372</v>
      </c>
      <c r="AR412" s="6" t="s">
        <v>2077</v>
      </c>
      <c r="AT412" s="6">
        <v>5820</v>
      </c>
      <c r="AU412" s="6" t="s">
        <v>2028</v>
      </c>
      <c r="AV412" s="6">
        <v>58.29</v>
      </c>
      <c r="AW412" s="6" t="s">
        <v>2078</v>
      </c>
      <c r="AY412" s="6" t="s">
        <v>9574</v>
      </c>
      <c r="AZ412" s="6">
        <v>4533161630</v>
      </c>
      <c r="BD412" s="6" t="s">
        <v>9575</v>
      </c>
      <c r="BE412" s="6" t="str">
        <f t="shared" si="12"/>
        <v>qlikview.com</v>
      </c>
      <c r="BF412" s="6" t="str">
        <f t="shared" si="13"/>
        <v>com</v>
      </c>
      <c r="BG412" s="6" t="s">
        <v>101</v>
      </c>
      <c r="BH412" s="6" t="s">
        <v>9576</v>
      </c>
      <c r="BI412" s="6" t="s">
        <v>9577</v>
      </c>
      <c r="BK412" s="6" t="s">
        <v>9578</v>
      </c>
      <c r="BQ412" s="6" t="s">
        <v>9579</v>
      </c>
      <c r="BR412" s="6" t="s">
        <v>105</v>
      </c>
    </row>
    <row r="413" spans="1:70" ht="45" customHeight="1" x14ac:dyDescent="0.25">
      <c r="A413" s="6">
        <v>413</v>
      </c>
      <c r="B413" s="7" t="s">
        <v>9580</v>
      </c>
      <c r="C413" s="8" t="s">
        <v>9581</v>
      </c>
      <c r="D413" s="6" t="s">
        <v>9582</v>
      </c>
      <c r="E413" s="6" t="s">
        <v>9583</v>
      </c>
      <c r="F413" s="8" t="s">
        <v>9584</v>
      </c>
      <c r="G413" s="6" t="s">
        <v>160</v>
      </c>
      <c r="H413" s="6" t="s">
        <v>161</v>
      </c>
      <c r="I413" s="6" t="s">
        <v>9585</v>
      </c>
      <c r="J413" s="6" t="s">
        <v>9586</v>
      </c>
      <c r="K413" s="9" t="s">
        <v>9587</v>
      </c>
      <c r="L413" s="8" t="s">
        <v>9588</v>
      </c>
      <c r="M413" s="9">
        <v>26</v>
      </c>
      <c r="N413" s="6">
        <v>55.717088699999998</v>
      </c>
      <c r="O413" s="6">
        <v>13.221250100000001</v>
      </c>
      <c r="R413" s="6" t="s">
        <v>79</v>
      </c>
      <c r="T413" s="6"/>
      <c r="X413" s="6" t="s">
        <v>9589</v>
      </c>
      <c r="Y413" s="6" t="s">
        <v>9590</v>
      </c>
      <c r="Z413" s="6" t="s">
        <v>9591</v>
      </c>
      <c r="AA413" s="6" t="s">
        <v>9592</v>
      </c>
      <c r="AB413" s="6" t="s">
        <v>9593</v>
      </c>
      <c r="AC413" s="6">
        <v>541511</v>
      </c>
      <c r="AD413" s="10" t="str">
        <f>_xlfn.XLOOKUP(AC413,[1]Mapping!B:B,[1]Mapping!C:C,"")</f>
        <v xml:space="preserve">Custom Computer Programming Services </v>
      </c>
      <c r="AE413" s="6">
        <v>513210</v>
      </c>
      <c r="AF413" s="6" t="s">
        <v>4619</v>
      </c>
      <c r="AG413" s="6" t="s">
        <v>990</v>
      </c>
      <c r="AH413" s="6" t="s">
        <v>174</v>
      </c>
      <c r="AI413" s="6" t="s">
        <v>87</v>
      </c>
      <c r="AJ413" s="6" t="s">
        <v>174</v>
      </c>
      <c r="AK413" s="6" t="s">
        <v>175</v>
      </c>
      <c r="AL413" s="6" t="s">
        <v>176</v>
      </c>
      <c r="AM413" s="6" t="s">
        <v>177</v>
      </c>
      <c r="AN413" s="6" t="s">
        <v>91</v>
      </c>
      <c r="AO413" s="6" t="s">
        <v>92</v>
      </c>
      <c r="AQ413" s="6">
        <v>7371</v>
      </c>
      <c r="AR413" s="6" t="s">
        <v>504</v>
      </c>
      <c r="AT413" s="6">
        <v>6201</v>
      </c>
      <c r="AU413" s="6" t="s">
        <v>505</v>
      </c>
      <c r="AV413" s="6">
        <v>62.01</v>
      </c>
      <c r="AW413" s="6" t="s">
        <v>505</v>
      </c>
      <c r="AY413" s="6" t="s">
        <v>9594</v>
      </c>
      <c r="BA413" s="6" t="s">
        <v>9595</v>
      </c>
      <c r="BB413" s="6" t="s">
        <v>9595</v>
      </c>
      <c r="BD413" s="6" t="s">
        <v>9596</v>
      </c>
      <c r="BE413" s="6" t="str">
        <f t="shared" si="12"/>
        <v>qlik.com</v>
      </c>
      <c r="BF413" s="6" t="str">
        <f t="shared" si="13"/>
        <v>com</v>
      </c>
      <c r="BG413" s="6" t="s">
        <v>101</v>
      </c>
      <c r="BH413" s="6" t="s">
        <v>9576</v>
      </c>
      <c r="BI413" s="6" t="s">
        <v>9577</v>
      </c>
      <c r="BK413" s="6" t="s">
        <v>9578</v>
      </c>
      <c r="BQ413" s="6" t="s">
        <v>9597</v>
      </c>
      <c r="BR413" s="6" t="s">
        <v>105</v>
      </c>
    </row>
    <row r="414" spans="1:70" ht="45" customHeight="1" x14ac:dyDescent="0.25">
      <c r="A414" s="6">
        <v>414</v>
      </c>
      <c r="B414" s="7" t="s">
        <v>9598</v>
      </c>
      <c r="C414" s="8" t="s">
        <v>9599</v>
      </c>
      <c r="D414" s="6" t="s">
        <v>9582</v>
      </c>
      <c r="E414" s="8" t="s">
        <v>900</v>
      </c>
      <c r="F414" s="8" t="s">
        <v>900</v>
      </c>
      <c r="G414" s="6" t="s">
        <v>160</v>
      </c>
      <c r="H414" s="6" t="s">
        <v>161</v>
      </c>
      <c r="I414" s="6" t="s">
        <v>9585</v>
      </c>
      <c r="J414" s="6" t="s">
        <v>9586</v>
      </c>
      <c r="K414" s="9" t="s">
        <v>9587</v>
      </c>
      <c r="L414" s="8" t="s">
        <v>9588</v>
      </c>
      <c r="M414" s="9">
        <v>26</v>
      </c>
      <c r="N414" s="6">
        <v>55.717088699999998</v>
      </c>
      <c r="O414" s="6">
        <v>13.221250100000001</v>
      </c>
      <c r="P414" s="6" t="s">
        <v>9600</v>
      </c>
      <c r="Q414" s="6">
        <v>1</v>
      </c>
      <c r="R414" s="6" t="s">
        <v>79</v>
      </c>
      <c r="S414" s="6">
        <v>1994</v>
      </c>
      <c r="V414" s="6">
        <v>10</v>
      </c>
      <c r="W414" s="6" t="s">
        <v>167</v>
      </c>
      <c r="X414" s="6" t="s">
        <v>9589</v>
      </c>
      <c r="Z414" s="6" t="s">
        <v>9601</v>
      </c>
      <c r="AC414" s="10">
        <f>_xlfn.XLOOKUP(AH414,[1]Mapping!C:C,[1]Mapping!B:B,"",1)</f>
        <v>513210</v>
      </c>
      <c r="AD414" s="10" t="s">
        <v>4619</v>
      </c>
      <c r="AE414" s="6">
        <v>541512</v>
      </c>
      <c r="AF414" s="6" t="s">
        <v>2977</v>
      </c>
      <c r="AG414" s="6" t="s">
        <v>176</v>
      </c>
      <c r="AH414" s="6" t="s">
        <v>9602</v>
      </c>
      <c r="AI414" s="6" t="s">
        <v>1290</v>
      </c>
      <c r="AJ414" s="6" t="s">
        <v>8036</v>
      </c>
      <c r="AK414" s="6">
        <v>7372</v>
      </c>
      <c r="AL414" s="6" t="s">
        <v>9603</v>
      </c>
      <c r="AM414" s="6">
        <v>7370</v>
      </c>
      <c r="AN414" s="6" t="s">
        <v>176</v>
      </c>
      <c r="AO414" s="6">
        <v>4500</v>
      </c>
      <c r="AQ414" s="6">
        <v>7372</v>
      </c>
      <c r="AR414" s="6" t="s">
        <v>2077</v>
      </c>
      <c r="AT414" s="6">
        <v>6201</v>
      </c>
      <c r="AU414" s="6" t="s">
        <v>505</v>
      </c>
      <c r="AV414" s="6">
        <v>62.01</v>
      </c>
      <c r="AW414" s="6" t="s">
        <v>8570</v>
      </c>
      <c r="AX414" s="6">
        <v>6200</v>
      </c>
      <c r="AY414" s="6" t="s">
        <v>9594</v>
      </c>
      <c r="BD414" s="6" t="s">
        <v>9596</v>
      </c>
      <c r="BE414" s="6" t="str">
        <f t="shared" si="12"/>
        <v>qlik.com</v>
      </c>
      <c r="BF414" s="6" t="str">
        <f t="shared" si="13"/>
        <v>com</v>
      </c>
      <c r="BG414" s="6" t="s">
        <v>101</v>
      </c>
      <c r="BH414" s="6" t="s">
        <v>9576</v>
      </c>
      <c r="BI414" s="6" t="s">
        <v>9577</v>
      </c>
      <c r="BK414" s="6" t="s">
        <v>9578</v>
      </c>
      <c r="BQ414" s="6" t="s">
        <v>9604</v>
      </c>
      <c r="BR414" s="6" t="s">
        <v>105</v>
      </c>
    </row>
    <row r="415" spans="1:70" ht="45" customHeight="1" x14ac:dyDescent="0.25">
      <c r="A415" s="6">
        <v>415</v>
      </c>
      <c r="B415" s="7" t="s">
        <v>9605</v>
      </c>
      <c r="C415" s="8" t="s">
        <v>9606</v>
      </c>
      <c r="D415" s="6" t="s">
        <v>9607</v>
      </c>
      <c r="E415" s="8" t="s">
        <v>9605</v>
      </c>
      <c r="F415" s="8" t="s">
        <v>9607</v>
      </c>
      <c r="G415" s="6" t="s">
        <v>201</v>
      </c>
      <c r="H415" s="6" t="s">
        <v>202</v>
      </c>
      <c r="I415" s="8" t="s">
        <v>9266</v>
      </c>
      <c r="J415" s="6" t="s">
        <v>9608</v>
      </c>
      <c r="K415" s="9">
        <v>84604</v>
      </c>
      <c r="L415" s="8" t="s">
        <v>9609</v>
      </c>
      <c r="M415" s="9">
        <v>333</v>
      </c>
      <c r="N415" s="6">
        <v>40.303006000000003</v>
      </c>
      <c r="O415" s="6">
        <v>-111.663392</v>
      </c>
      <c r="P415" s="6" t="s">
        <v>9610</v>
      </c>
      <c r="Q415" s="6">
        <v>8</v>
      </c>
      <c r="R415" s="6" t="s">
        <v>79</v>
      </c>
      <c r="T415" s="6"/>
      <c r="X415" s="6" t="s">
        <v>9611</v>
      </c>
      <c r="Y415" s="6" t="s">
        <v>9612</v>
      </c>
      <c r="Z415" s="6" t="s">
        <v>9613</v>
      </c>
      <c r="AA415" s="6" t="s">
        <v>9614</v>
      </c>
      <c r="AB415" s="6" t="s">
        <v>9615</v>
      </c>
      <c r="AC415" s="10">
        <f>_xlfn.XLOOKUP(AH415,[1]Mapping!C:C,[1]Mapping!B:B,"",1)</f>
        <v>541613</v>
      </c>
      <c r="AD415" s="10" t="str">
        <f>_xlfn.XLOOKUP(AC415,[1]Mapping!B:B,[1]Mapping!C:C,"")</f>
        <v xml:space="preserve">Marketing Consulting Services </v>
      </c>
      <c r="AG415" s="6" t="s">
        <v>6507</v>
      </c>
      <c r="AH415" s="6" t="s">
        <v>1143</v>
      </c>
      <c r="AI415" s="6" t="s">
        <v>500</v>
      </c>
      <c r="AJ415" s="6" t="s">
        <v>293</v>
      </c>
      <c r="AK415" s="6" t="s">
        <v>294</v>
      </c>
      <c r="AL415" s="6" t="s">
        <v>295</v>
      </c>
      <c r="AM415" s="6" t="s">
        <v>296</v>
      </c>
      <c r="AN415" s="6" t="s">
        <v>297</v>
      </c>
      <c r="AO415" s="6" t="s">
        <v>298</v>
      </c>
      <c r="AY415" s="6" t="s">
        <v>9616</v>
      </c>
      <c r="AZ415" s="6">
        <v>18662924631</v>
      </c>
      <c r="BA415" s="6" t="s">
        <v>9617</v>
      </c>
      <c r="BD415" s="6" t="s">
        <v>9618</v>
      </c>
      <c r="BE415" s="6" t="str">
        <f t="shared" si="12"/>
        <v>qualtrics.com</v>
      </c>
      <c r="BF415" s="6" t="str">
        <f t="shared" si="13"/>
        <v>com</v>
      </c>
      <c r="BG415" s="6" t="s">
        <v>101</v>
      </c>
      <c r="BH415" s="6" t="s">
        <v>9619</v>
      </c>
      <c r="BI415" s="6" t="s">
        <v>9620</v>
      </c>
      <c r="BJ415" s="6" t="s">
        <v>9621</v>
      </c>
      <c r="BK415" s="6" t="s">
        <v>9622</v>
      </c>
      <c r="BN415" s="6" t="s">
        <v>9623</v>
      </c>
      <c r="BP415" s="6" t="s">
        <v>9624</v>
      </c>
      <c r="BQ415" s="6" t="s">
        <v>9625</v>
      </c>
      <c r="BR415" s="6" t="s">
        <v>105</v>
      </c>
    </row>
    <row r="416" spans="1:70" ht="45" customHeight="1" x14ac:dyDescent="0.25">
      <c r="A416" s="6">
        <v>416</v>
      </c>
      <c r="B416" s="7" t="s">
        <v>9626</v>
      </c>
      <c r="C416" s="8" t="s">
        <v>9627</v>
      </c>
      <c r="D416" s="6" t="s">
        <v>9628</v>
      </c>
      <c r="E416" s="6" t="s">
        <v>9629</v>
      </c>
      <c r="F416" s="8" t="s">
        <v>9630</v>
      </c>
      <c r="G416" s="6" t="s">
        <v>130</v>
      </c>
      <c r="H416" s="6" t="s">
        <v>131</v>
      </c>
      <c r="I416" s="6" t="s">
        <v>132</v>
      </c>
      <c r="J416" s="6" t="s">
        <v>132</v>
      </c>
      <c r="K416" s="9">
        <v>366</v>
      </c>
      <c r="L416" s="8" t="s">
        <v>9631</v>
      </c>
      <c r="M416" s="9">
        <v>54</v>
      </c>
      <c r="N416" s="6">
        <v>59.927909700000001</v>
      </c>
      <c r="O416" s="6">
        <v>10.7182415</v>
      </c>
      <c r="P416" s="6" t="s">
        <v>9632</v>
      </c>
      <c r="Q416" s="6">
        <v>13</v>
      </c>
      <c r="R416" s="6" t="s">
        <v>79</v>
      </c>
      <c r="S416" s="6">
        <v>2000</v>
      </c>
      <c r="T416" s="6">
        <v>12689737</v>
      </c>
      <c r="U416" s="6" t="s">
        <v>167</v>
      </c>
      <c r="V416" s="6">
        <v>55</v>
      </c>
      <c r="W416" s="6" t="s">
        <v>167</v>
      </c>
      <c r="X416" s="6" t="s">
        <v>9633</v>
      </c>
      <c r="Y416" s="6" t="s">
        <v>9634</v>
      </c>
      <c r="Z416" s="6" t="s">
        <v>9635</v>
      </c>
      <c r="AA416" s="6" t="s">
        <v>9636</v>
      </c>
      <c r="AB416" s="6" t="s">
        <v>9637</v>
      </c>
      <c r="AC416" s="6">
        <v>511210</v>
      </c>
      <c r="AD416" s="10" t="s">
        <v>9638</v>
      </c>
      <c r="AE416" s="6" t="s">
        <v>9639</v>
      </c>
      <c r="AF416" s="6" t="s">
        <v>9638</v>
      </c>
      <c r="AG416" s="6" t="s">
        <v>9640</v>
      </c>
      <c r="AH416" s="6" t="s">
        <v>9641</v>
      </c>
      <c r="AI416" s="6" t="s">
        <v>499</v>
      </c>
      <c r="AJ416" s="6" t="s">
        <v>500</v>
      </c>
      <c r="AK416" s="6" t="s">
        <v>501</v>
      </c>
      <c r="AL416" s="6" t="s">
        <v>502</v>
      </c>
      <c r="AM416" s="6" t="s">
        <v>503</v>
      </c>
      <c r="AN416" s="6" t="s">
        <v>297</v>
      </c>
      <c r="AO416" s="6" t="s">
        <v>298</v>
      </c>
      <c r="AQ416" s="6">
        <v>7372</v>
      </c>
      <c r="AR416" s="6" t="s">
        <v>2077</v>
      </c>
      <c r="AS416" s="6" t="s">
        <v>1973</v>
      </c>
      <c r="AT416" s="6">
        <v>5820</v>
      </c>
      <c r="AU416" s="6" t="s">
        <v>2028</v>
      </c>
      <c r="AV416" s="6">
        <v>58.29</v>
      </c>
      <c r="AW416" s="6" t="s">
        <v>2078</v>
      </c>
      <c r="AX416" s="6" t="s">
        <v>1974</v>
      </c>
      <c r="AY416" s="6" t="s">
        <v>9642</v>
      </c>
      <c r="AZ416" s="6" t="s">
        <v>9643</v>
      </c>
      <c r="BA416" s="6" t="s">
        <v>9644</v>
      </c>
      <c r="BB416" s="6" t="s">
        <v>9645</v>
      </c>
      <c r="BC416" s="6" t="s">
        <v>9644</v>
      </c>
      <c r="BD416" s="6" t="s">
        <v>9646</v>
      </c>
      <c r="BE416" s="6" t="str">
        <f t="shared" si="12"/>
        <v>questback.com</v>
      </c>
      <c r="BF416" s="6" t="str">
        <f t="shared" si="13"/>
        <v>com</v>
      </c>
      <c r="BG416" s="6" t="s">
        <v>101</v>
      </c>
      <c r="BH416" s="6" t="s">
        <v>9647</v>
      </c>
      <c r="BI416" s="6" t="s">
        <v>9648</v>
      </c>
      <c r="BK416" s="6" t="s">
        <v>9649</v>
      </c>
      <c r="BP416" s="6" t="s">
        <v>9650</v>
      </c>
      <c r="BQ416" s="6" t="s">
        <v>9651</v>
      </c>
      <c r="BR416" s="6" t="s">
        <v>105</v>
      </c>
    </row>
    <row r="417" spans="1:70" ht="45" customHeight="1" x14ac:dyDescent="0.25">
      <c r="A417" s="6">
        <v>417</v>
      </c>
      <c r="B417" s="7" t="s">
        <v>9652</v>
      </c>
      <c r="C417" s="8" t="s">
        <v>9653</v>
      </c>
      <c r="D417" s="6" t="s">
        <v>9654</v>
      </c>
      <c r="E417" s="6" t="s">
        <v>9655</v>
      </c>
      <c r="F417" s="8" t="s">
        <v>9656</v>
      </c>
      <c r="G417" s="6" t="s">
        <v>5659</v>
      </c>
      <c r="H417" s="6" t="s">
        <v>5660</v>
      </c>
      <c r="I417" s="6" t="s">
        <v>9657</v>
      </c>
      <c r="J417" s="6" t="s">
        <v>9658</v>
      </c>
      <c r="K417" s="9">
        <v>30179</v>
      </c>
      <c r="L417" s="8" t="s">
        <v>9659</v>
      </c>
      <c r="M417" s="9">
        <v>20</v>
      </c>
      <c r="N417" s="6">
        <v>52.414399299999999</v>
      </c>
      <c r="O417" s="6">
        <v>9.7298365999999987</v>
      </c>
      <c r="P417" s="6" t="s">
        <v>9660</v>
      </c>
      <c r="Q417" s="6">
        <v>43</v>
      </c>
      <c r="R417" s="6" t="s">
        <v>79</v>
      </c>
      <c r="S417" s="6">
        <v>1972</v>
      </c>
      <c r="T417" s="6"/>
      <c r="X417" s="6" t="s">
        <v>9661</v>
      </c>
      <c r="Y417" s="6" t="s">
        <v>9662</v>
      </c>
      <c r="Z417" s="6" t="s">
        <v>9663</v>
      </c>
      <c r="AA417" s="6" t="s">
        <v>9664</v>
      </c>
      <c r="AB417" s="6" t="s">
        <v>9665</v>
      </c>
      <c r="AC417" s="6">
        <v>334417</v>
      </c>
      <c r="AD417" s="10" t="str">
        <f>_xlfn.XLOOKUP(AC417,[1]Mapping!B:B,[1]Mapping!C:C,"")</f>
        <v xml:space="preserve">Electronic Connector Manufacturing </v>
      </c>
      <c r="AE417" s="6">
        <v>334220</v>
      </c>
      <c r="AF417" s="6" t="s">
        <v>4540</v>
      </c>
      <c r="AG417" s="6" t="s">
        <v>1184</v>
      </c>
      <c r="AH417" s="6" t="s">
        <v>432</v>
      </c>
      <c r="AI417" s="6" t="s">
        <v>733</v>
      </c>
      <c r="AJ417" s="6" t="s">
        <v>1502</v>
      </c>
      <c r="AK417" s="6" t="s">
        <v>1503</v>
      </c>
      <c r="AL417" s="6" t="s">
        <v>176</v>
      </c>
      <c r="AM417" s="6" t="s">
        <v>177</v>
      </c>
      <c r="AN417" s="6" t="s">
        <v>91</v>
      </c>
      <c r="AO417" s="6" t="s">
        <v>92</v>
      </c>
      <c r="AQ417" s="6">
        <v>3678</v>
      </c>
      <c r="AR417" s="6" t="s">
        <v>629</v>
      </c>
      <c r="AT417" s="6">
        <v>2610</v>
      </c>
      <c r="AU417" s="6" t="s">
        <v>5967</v>
      </c>
      <c r="AV417" s="6" t="s">
        <v>5968</v>
      </c>
      <c r="AW417" s="6" t="s">
        <v>5969</v>
      </c>
      <c r="AY417" s="6" t="s">
        <v>9666</v>
      </c>
      <c r="AZ417" s="6" t="s">
        <v>9667</v>
      </c>
      <c r="BA417" s="6" t="s">
        <v>9668</v>
      </c>
      <c r="BD417" s="6" t="s">
        <v>9669</v>
      </c>
      <c r="BE417" s="6" t="str">
        <f t="shared" si="12"/>
        <v>rfsworld.com</v>
      </c>
      <c r="BF417" s="6" t="str">
        <f t="shared" si="13"/>
        <v>com</v>
      </c>
      <c r="BG417" s="6" t="s">
        <v>101</v>
      </c>
      <c r="BJ417" s="6" t="s">
        <v>9670</v>
      </c>
      <c r="BK417" s="6" t="s">
        <v>9671</v>
      </c>
      <c r="BN417" s="6" t="s">
        <v>9672</v>
      </c>
      <c r="BQ417" s="6" t="s">
        <v>9673</v>
      </c>
      <c r="BR417" s="6" t="s">
        <v>105</v>
      </c>
    </row>
    <row r="418" spans="1:70" ht="45" customHeight="1" x14ac:dyDescent="0.25">
      <c r="A418" s="6">
        <v>418</v>
      </c>
      <c r="B418" s="7" t="s">
        <v>9674</v>
      </c>
      <c r="C418" s="8" t="s">
        <v>9675</v>
      </c>
      <c r="D418" s="6" t="s">
        <v>9676</v>
      </c>
      <c r="E418" s="6" t="s">
        <v>9677</v>
      </c>
      <c r="F418" s="8" t="s">
        <v>9678</v>
      </c>
      <c r="G418" s="6" t="s">
        <v>315</v>
      </c>
      <c r="H418" s="6" t="s">
        <v>316</v>
      </c>
      <c r="I418" s="6"/>
      <c r="J418" s="6" t="s">
        <v>316</v>
      </c>
      <c r="K418" s="9">
        <v>18937</v>
      </c>
      <c r="L418" s="8" t="s">
        <v>4877</v>
      </c>
      <c r="M418" s="9">
        <v>9</v>
      </c>
      <c r="N418" s="6">
        <v>1.2771572</v>
      </c>
      <c r="O418" s="6">
        <v>103.8523745</v>
      </c>
      <c r="P418" s="6" t="s">
        <v>9679</v>
      </c>
      <c r="Q418" s="6">
        <v>18</v>
      </c>
      <c r="R418" s="6" t="s">
        <v>79</v>
      </c>
      <c r="S418" s="6">
        <v>1954</v>
      </c>
      <c r="T418" s="6">
        <v>150000000</v>
      </c>
      <c r="U418" s="6" t="s">
        <v>167</v>
      </c>
      <c r="V418" s="6">
        <v>770</v>
      </c>
      <c r="W418" s="6" t="s">
        <v>167</v>
      </c>
      <c r="X418" s="6" t="s">
        <v>9680</v>
      </c>
      <c r="Y418" s="6" t="s">
        <v>9681</v>
      </c>
      <c r="Z418" s="6" t="s">
        <v>9682</v>
      </c>
      <c r="AA418" s="6" t="s">
        <v>9683</v>
      </c>
      <c r="AB418" s="6" t="s">
        <v>9684</v>
      </c>
      <c r="AC418" s="6">
        <v>541110</v>
      </c>
      <c r="AD418" s="10" t="str">
        <f>_xlfn.XLOOKUP(AC418,[1]Mapping!B:B,[1]Mapping!C:C,"")</f>
        <v>Offices of Lawyers</v>
      </c>
      <c r="AE418" s="6">
        <v>541199</v>
      </c>
      <c r="AF418" s="6" t="s">
        <v>9685</v>
      </c>
      <c r="AG418" s="6" t="s">
        <v>852</v>
      </c>
      <c r="AH418" s="6" t="s">
        <v>9686</v>
      </c>
      <c r="AI418" s="6" t="s">
        <v>652</v>
      </c>
      <c r="AJ418" s="6" t="s">
        <v>293</v>
      </c>
      <c r="AK418" s="6" t="s">
        <v>294</v>
      </c>
      <c r="AL418" s="6" t="s">
        <v>295</v>
      </c>
      <c r="AM418" s="6" t="s">
        <v>296</v>
      </c>
      <c r="AN418" s="6" t="s">
        <v>297</v>
      </c>
      <c r="AO418" s="6" t="s">
        <v>298</v>
      </c>
      <c r="AQ418" s="6">
        <v>8111</v>
      </c>
      <c r="AR418" s="6" t="s">
        <v>852</v>
      </c>
      <c r="AS418" s="6" t="s">
        <v>2052</v>
      </c>
      <c r="AT418" s="6">
        <v>6910</v>
      </c>
      <c r="AU418" s="6" t="s">
        <v>855</v>
      </c>
      <c r="AV418" s="6">
        <v>69.099999999999994</v>
      </c>
      <c r="AW418" s="6" t="s">
        <v>855</v>
      </c>
      <c r="AX418" s="6" t="s">
        <v>2053</v>
      </c>
      <c r="AY418" s="6" t="s">
        <v>9687</v>
      </c>
      <c r="AZ418" s="6" t="s">
        <v>9688</v>
      </c>
      <c r="BA418" s="6" t="s">
        <v>9689</v>
      </c>
      <c r="BB418" s="6" t="s">
        <v>9690</v>
      </c>
      <c r="BD418" s="6" t="s">
        <v>9691</v>
      </c>
      <c r="BE418" s="6" t="str">
        <f t="shared" si="12"/>
        <v>rajahtannasia.com</v>
      </c>
      <c r="BF418" s="6" t="str">
        <f t="shared" si="13"/>
        <v>com</v>
      </c>
      <c r="BG418" s="6" t="s">
        <v>101</v>
      </c>
      <c r="BH418" s="6" t="s">
        <v>9692</v>
      </c>
      <c r="BI418" s="6" t="s">
        <v>9693</v>
      </c>
      <c r="BJ418" s="6" t="s">
        <v>9694</v>
      </c>
      <c r="BK418" s="6" t="s">
        <v>9695</v>
      </c>
      <c r="BN418" s="6" t="s">
        <v>9696</v>
      </c>
      <c r="BP418" s="6" t="s">
        <v>9697</v>
      </c>
      <c r="BQ418" s="6" t="s">
        <v>9698</v>
      </c>
      <c r="BR418" s="6" t="s">
        <v>105</v>
      </c>
    </row>
    <row r="419" spans="1:70" ht="45" customHeight="1" x14ac:dyDescent="0.25">
      <c r="A419" s="6">
        <v>419</v>
      </c>
      <c r="B419" s="7" t="s">
        <v>9699</v>
      </c>
      <c r="C419" s="8" t="s">
        <v>9700</v>
      </c>
      <c r="D419" s="6" t="s">
        <v>9701</v>
      </c>
      <c r="E419" s="8" t="s">
        <v>9699</v>
      </c>
      <c r="F419" s="8" t="s">
        <v>9702</v>
      </c>
      <c r="G419" s="6" t="s">
        <v>840</v>
      </c>
      <c r="H419" s="6" t="s">
        <v>841</v>
      </c>
      <c r="I419" s="8" t="s">
        <v>9703</v>
      </c>
      <c r="J419" s="6" t="s">
        <v>9704</v>
      </c>
      <c r="K419" s="9" t="s">
        <v>9705</v>
      </c>
      <c r="L419" s="8" t="s">
        <v>9706</v>
      </c>
      <c r="M419" s="9">
        <v>19</v>
      </c>
      <c r="N419" s="6">
        <v>54.5973167</v>
      </c>
      <c r="O419" s="6">
        <v>-5.9271471999999994</v>
      </c>
      <c r="P419" s="6" t="s">
        <v>9707</v>
      </c>
      <c r="Q419" s="6">
        <v>1</v>
      </c>
      <c r="R419" s="6" t="s">
        <v>79</v>
      </c>
      <c r="T419" s="6"/>
      <c r="X419" s="6" t="s">
        <v>9708</v>
      </c>
      <c r="Y419" s="6" t="s">
        <v>9709</v>
      </c>
      <c r="Z419" s="6" t="s">
        <v>9710</v>
      </c>
      <c r="AB419" s="6" t="s">
        <v>9711</v>
      </c>
      <c r="AC419" s="6">
        <v>458110</v>
      </c>
      <c r="AD419" s="10" t="str">
        <f>_xlfn.XLOOKUP(AC419,[1]Mapping!B:B,[1]Mapping!C:C,"")</f>
        <v xml:space="preserve">Clothing and Clothing Accessories Retailers </v>
      </c>
      <c r="AG419" s="6" t="s">
        <v>1465</v>
      </c>
      <c r="AH419" s="6" t="s">
        <v>1466</v>
      </c>
      <c r="AI419" s="6" t="s">
        <v>1467</v>
      </c>
      <c r="AJ419" s="6" t="s">
        <v>1467</v>
      </c>
      <c r="AK419" s="6" t="s">
        <v>1468</v>
      </c>
      <c r="AL419" s="6" t="s">
        <v>1469</v>
      </c>
      <c r="AM419" s="6" t="s">
        <v>1470</v>
      </c>
      <c r="AN419" s="6" t="s">
        <v>259</v>
      </c>
      <c r="AO419" s="6" t="s">
        <v>260</v>
      </c>
      <c r="AQ419" s="6" t="s">
        <v>1471</v>
      </c>
      <c r="AR419" s="6" t="s">
        <v>1472</v>
      </c>
      <c r="AT419" s="6" t="s">
        <v>1474</v>
      </c>
      <c r="AU419" s="6" t="s">
        <v>1475</v>
      </c>
      <c r="AV419" s="6" t="s">
        <v>1476</v>
      </c>
      <c r="AW419" s="6" t="s">
        <v>1477</v>
      </c>
      <c r="AY419" s="6" t="s">
        <v>9712</v>
      </c>
      <c r="AZ419" s="6">
        <v>441277000000</v>
      </c>
      <c r="BA419" s="6" t="s">
        <v>9713</v>
      </c>
      <c r="BD419" s="6" t="s">
        <v>9714</v>
      </c>
      <c r="BE419" s="6" t="str">
        <f t="shared" si="12"/>
        <v>rapid7.com</v>
      </c>
      <c r="BF419" s="6" t="str">
        <f t="shared" si="13"/>
        <v>com</v>
      </c>
      <c r="BG419" s="6" t="s">
        <v>101</v>
      </c>
      <c r="BH419" s="6" t="s">
        <v>9715</v>
      </c>
      <c r="BI419" s="6" t="s">
        <v>9716</v>
      </c>
      <c r="BJ419" s="6" t="s">
        <v>9717</v>
      </c>
      <c r="BK419" s="6" t="s">
        <v>9718</v>
      </c>
      <c r="BP419" s="6" t="s">
        <v>9719</v>
      </c>
      <c r="BQ419" s="6" t="s">
        <v>9720</v>
      </c>
      <c r="BR419" s="6" t="s">
        <v>105</v>
      </c>
    </row>
    <row r="420" spans="1:70" ht="45" customHeight="1" x14ac:dyDescent="0.25">
      <c r="A420" s="6">
        <v>420</v>
      </c>
      <c r="B420" s="7" t="s">
        <v>9721</v>
      </c>
      <c r="C420" s="8" t="s">
        <v>9722</v>
      </c>
      <c r="D420" s="6" t="s">
        <v>9721</v>
      </c>
      <c r="E420" s="8" t="s">
        <v>9721</v>
      </c>
      <c r="F420" s="8" t="s">
        <v>9723</v>
      </c>
      <c r="G420" s="6" t="s">
        <v>315</v>
      </c>
      <c r="H420" s="6" t="s">
        <v>316</v>
      </c>
      <c r="J420" s="6" t="s">
        <v>316</v>
      </c>
      <c r="K420" s="9">
        <v>48948</v>
      </c>
      <c r="L420" s="8" t="s">
        <v>2480</v>
      </c>
      <c r="M420" s="9">
        <v>88</v>
      </c>
      <c r="N420" s="6">
        <v>1.2841018</v>
      </c>
      <c r="O420" s="6">
        <v>103.84996289999999</v>
      </c>
      <c r="P420" s="6" t="s">
        <v>2481</v>
      </c>
      <c r="Q420" s="6">
        <v>1</v>
      </c>
      <c r="R420" s="6" t="s">
        <v>79</v>
      </c>
      <c r="S420" s="6">
        <v>2021</v>
      </c>
      <c r="T420" s="6"/>
      <c r="X420" s="6" t="s">
        <v>9724</v>
      </c>
      <c r="Y420" s="6" t="s">
        <v>9725</v>
      </c>
      <c r="Z420" s="6" t="s">
        <v>9726</v>
      </c>
      <c r="AA420" s="6" t="s">
        <v>9726</v>
      </c>
      <c r="AB420" s="6" t="s">
        <v>1050</v>
      </c>
      <c r="AC420" s="6">
        <v>523210</v>
      </c>
      <c r="AD420" s="10" t="str">
        <f>_xlfn.XLOOKUP(AC420,[1]Mapping!B:B,[1]Mapping!C:C,"")</f>
        <v>Securities and Commodity Exchanges</v>
      </c>
      <c r="AG420" s="6" t="s">
        <v>3656</v>
      </c>
      <c r="AH420" s="6" t="s">
        <v>1579</v>
      </c>
      <c r="AI420" s="6" t="s">
        <v>119</v>
      </c>
      <c r="AQ420" s="6">
        <v>6231</v>
      </c>
      <c r="AR420" s="6" t="s">
        <v>9727</v>
      </c>
      <c r="AS420" s="6" t="s">
        <v>9728</v>
      </c>
      <c r="AT420" s="6">
        <v>6611</v>
      </c>
      <c r="AU420" s="6" t="s">
        <v>9729</v>
      </c>
      <c r="AV420" s="6">
        <v>66.11</v>
      </c>
      <c r="AW420" s="6" t="s">
        <v>9729</v>
      </c>
      <c r="AX420" s="6" t="s">
        <v>9730</v>
      </c>
      <c r="AY420" s="6" t="s">
        <v>9731</v>
      </c>
      <c r="BD420" s="6" t="s">
        <v>9732</v>
      </c>
      <c r="BE420" s="6" t="str">
        <f t="shared" si="12"/>
        <v>redhat.com</v>
      </c>
      <c r="BF420" s="6" t="str">
        <f t="shared" si="13"/>
        <v>com</v>
      </c>
      <c r="BG420" s="6" t="s">
        <v>101</v>
      </c>
      <c r="BH420" s="6" t="s">
        <v>9733</v>
      </c>
      <c r="BI420" s="6" t="s">
        <v>9734</v>
      </c>
      <c r="BK420" s="6" t="s">
        <v>9735</v>
      </c>
      <c r="BN420" s="6" t="s">
        <v>9736</v>
      </c>
      <c r="BQ420" s="6" t="s">
        <v>9737</v>
      </c>
      <c r="BR420" s="6" t="s">
        <v>105</v>
      </c>
    </row>
    <row r="421" spans="1:70" ht="45" customHeight="1" x14ac:dyDescent="0.25">
      <c r="A421" s="6">
        <v>421</v>
      </c>
      <c r="B421" s="7" t="s">
        <v>9738</v>
      </c>
      <c r="C421" s="8" t="s">
        <v>9739</v>
      </c>
      <c r="D421" s="6" t="s">
        <v>9740</v>
      </c>
      <c r="E421" s="6" t="s">
        <v>9741</v>
      </c>
      <c r="F421" s="8" t="s">
        <v>9742</v>
      </c>
      <c r="G421" s="6" t="s">
        <v>570</v>
      </c>
      <c r="H421" s="6" t="s">
        <v>571</v>
      </c>
      <c r="I421" s="6" t="s">
        <v>9743</v>
      </c>
      <c r="J421" s="6" t="s">
        <v>1281</v>
      </c>
      <c r="K421" s="9" t="s">
        <v>9744</v>
      </c>
      <c r="L421" s="8" t="s">
        <v>9745</v>
      </c>
      <c r="M421" s="9">
        <v>6700</v>
      </c>
      <c r="N421" s="6">
        <v>51.852206600000002</v>
      </c>
      <c r="O421" s="6">
        <v>-8.4852083</v>
      </c>
      <c r="P421" s="6" t="s">
        <v>9746</v>
      </c>
      <c r="Q421" s="6">
        <v>1</v>
      </c>
      <c r="R421" s="6" t="s">
        <v>79</v>
      </c>
      <c r="S421" s="6">
        <v>2002</v>
      </c>
      <c r="T421" s="6">
        <v>4029450</v>
      </c>
      <c r="U421" s="6" t="s">
        <v>80</v>
      </c>
      <c r="V421" s="6">
        <v>15</v>
      </c>
      <c r="W421" s="6" t="s">
        <v>80</v>
      </c>
      <c r="X421" s="6" t="s">
        <v>9724</v>
      </c>
      <c r="Y421" s="6" t="s">
        <v>9747</v>
      </c>
      <c r="Z421" s="6" t="s">
        <v>9748</v>
      </c>
      <c r="AA421" s="6" t="s">
        <v>9749</v>
      </c>
      <c r="AB421" s="6" t="s">
        <v>9750</v>
      </c>
      <c r="AC421" s="6">
        <v>813940</v>
      </c>
      <c r="AD421" s="10" t="str">
        <f>_xlfn.XLOOKUP(AC421,[1]Mapping!B:B,[1]Mapping!C:C,"")</f>
        <v xml:space="preserve">Political Organizations </v>
      </c>
      <c r="AG421" s="6" t="s">
        <v>5803</v>
      </c>
      <c r="AH421" s="6" t="s">
        <v>5803</v>
      </c>
      <c r="AI421" s="6" t="s">
        <v>3687</v>
      </c>
      <c r="AJ421" s="6" t="s">
        <v>500</v>
      </c>
      <c r="AK421" s="6" t="s">
        <v>501</v>
      </c>
      <c r="AL421" s="6" t="s">
        <v>502</v>
      </c>
      <c r="AM421" s="6" t="s">
        <v>503</v>
      </c>
      <c r="AN421" s="6" t="s">
        <v>297</v>
      </c>
      <c r="AO421" s="6" t="s">
        <v>298</v>
      </c>
      <c r="AQ421" s="6">
        <v>8651</v>
      </c>
      <c r="AR421" s="6" t="s">
        <v>5803</v>
      </c>
      <c r="AS421" s="6" t="s">
        <v>9751</v>
      </c>
      <c r="AT421" s="6">
        <v>9492</v>
      </c>
      <c r="AU421" s="6" t="s">
        <v>5804</v>
      </c>
      <c r="AV421" s="6">
        <v>94.92</v>
      </c>
      <c r="AW421" s="6" t="s">
        <v>5805</v>
      </c>
      <c r="AX421" s="6" t="s">
        <v>9752</v>
      </c>
      <c r="BA421" s="6" t="s">
        <v>9753</v>
      </c>
      <c r="BD421" s="6" t="s">
        <v>9754</v>
      </c>
      <c r="BE421" s="6" t="str">
        <f t="shared" si="12"/>
        <v>redhat.com</v>
      </c>
      <c r="BF421" s="6" t="str">
        <f t="shared" si="13"/>
        <v>com</v>
      </c>
      <c r="BG421" s="6" t="s">
        <v>101</v>
      </c>
      <c r="BH421" s="6" t="s">
        <v>9733</v>
      </c>
      <c r="BI421" s="6" t="s">
        <v>9734</v>
      </c>
      <c r="BJ421" s="6" t="s">
        <v>9755</v>
      </c>
      <c r="BK421" s="6" t="s">
        <v>9735</v>
      </c>
      <c r="BN421" s="6" t="s">
        <v>9736</v>
      </c>
      <c r="BQ421" s="6" t="s">
        <v>9756</v>
      </c>
      <c r="BR421" s="6" t="s">
        <v>105</v>
      </c>
    </row>
    <row r="422" spans="1:70" ht="45" customHeight="1" x14ac:dyDescent="0.25">
      <c r="A422" s="6">
        <v>422</v>
      </c>
      <c r="B422" s="7" t="s">
        <v>9757</v>
      </c>
      <c r="C422" s="8" t="s">
        <v>9758</v>
      </c>
      <c r="D422" s="6" t="s">
        <v>9757</v>
      </c>
      <c r="E422" s="8" t="s">
        <v>9757</v>
      </c>
      <c r="F422" s="8" t="s">
        <v>9759</v>
      </c>
      <c r="G422" s="6" t="s">
        <v>612</v>
      </c>
      <c r="H422" s="6" t="s">
        <v>613</v>
      </c>
      <c r="I422" s="8" t="s">
        <v>1305</v>
      </c>
      <c r="J422" s="6" t="s">
        <v>752</v>
      </c>
      <c r="K422" s="9">
        <v>59200</v>
      </c>
      <c r="L422" s="8" t="s">
        <v>6502</v>
      </c>
      <c r="N422" s="6">
        <v>3.1175424</v>
      </c>
      <c r="O422" s="6">
        <v>101.67562100000001</v>
      </c>
      <c r="P422" s="6" t="s">
        <v>9760</v>
      </c>
      <c r="Q422" s="6">
        <v>1</v>
      </c>
      <c r="R422" s="6" t="s">
        <v>79</v>
      </c>
      <c r="T422" s="6"/>
      <c r="X422" s="6" t="s">
        <v>9724</v>
      </c>
      <c r="Y422" s="6" t="s">
        <v>9761</v>
      </c>
      <c r="Z422" s="6" t="s">
        <v>9762</v>
      </c>
      <c r="AA422" s="6" t="s">
        <v>9763</v>
      </c>
      <c r="AC422" s="10">
        <f>_xlfn.XLOOKUP(AH422,[1]Mapping!C:C,[1]Mapping!B:B,"",1)</f>
        <v>45612</v>
      </c>
      <c r="AD422" s="10" t="str">
        <f>_xlfn.XLOOKUP(AC422,[1]Mapping!B:B,[1]Mapping!C:C,"")</f>
        <v xml:space="preserve">Cosmetics, Beauty Supplies, and Perfume Retailers </v>
      </c>
      <c r="AG422" s="6" t="s">
        <v>9764</v>
      </c>
      <c r="AH422" s="6" t="s">
        <v>881</v>
      </c>
      <c r="AI422" s="6" t="s">
        <v>882</v>
      </c>
      <c r="AJ422" s="6" t="s">
        <v>883</v>
      </c>
      <c r="AK422" s="6" t="s">
        <v>884</v>
      </c>
      <c r="AL422" s="6" t="s">
        <v>885</v>
      </c>
      <c r="AM422" s="6" t="s">
        <v>886</v>
      </c>
      <c r="AN422" s="6" t="s">
        <v>259</v>
      </c>
      <c r="AO422" s="6" t="s">
        <v>260</v>
      </c>
      <c r="AY422" s="6" t="s">
        <v>9765</v>
      </c>
      <c r="AZ422" s="6" t="s">
        <v>9766</v>
      </c>
      <c r="BA422" s="6" t="s">
        <v>9767</v>
      </c>
      <c r="BD422" s="6" t="s">
        <v>9768</v>
      </c>
      <c r="BE422" s="6" t="str">
        <f t="shared" si="12"/>
        <v>redhat.com</v>
      </c>
      <c r="BF422" s="6" t="str">
        <f t="shared" si="13"/>
        <v>com</v>
      </c>
      <c r="BG422" s="6" t="s">
        <v>101</v>
      </c>
      <c r="BH422" s="6" t="s">
        <v>9733</v>
      </c>
      <c r="BI422" s="6" t="s">
        <v>9734</v>
      </c>
      <c r="BK422" s="6" t="s">
        <v>9735</v>
      </c>
      <c r="BN422" s="6" t="s">
        <v>9736</v>
      </c>
      <c r="BP422" s="6" t="s">
        <v>9769</v>
      </c>
      <c r="BQ422" s="6" t="s">
        <v>9770</v>
      </c>
      <c r="BR422" s="6" t="s">
        <v>105</v>
      </c>
    </row>
    <row r="423" spans="1:70" ht="45" customHeight="1" x14ac:dyDescent="0.25">
      <c r="A423" s="6">
        <v>423</v>
      </c>
      <c r="B423" s="7" t="s">
        <v>9771</v>
      </c>
      <c r="C423" s="8" t="s">
        <v>9772</v>
      </c>
      <c r="D423" s="6" t="s">
        <v>9773</v>
      </c>
      <c r="E423" s="8" t="s">
        <v>9771</v>
      </c>
      <c r="F423" s="8" t="s">
        <v>9774</v>
      </c>
      <c r="G423" s="6" t="s">
        <v>130</v>
      </c>
      <c r="H423" s="6" t="s">
        <v>131</v>
      </c>
      <c r="I423" s="8" t="s">
        <v>2066</v>
      </c>
      <c r="J423" s="6" t="s">
        <v>9775</v>
      </c>
      <c r="K423" s="9">
        <v>4042</v>
      </c>
      <c r="L423" s="8" t="s">
        <v>9776</v>
      </c>
      <c r="M423" s="9">
        <v>4</v>
      </c>
      <c r="N423" s="6">
        <v>58.9525614</v>
      </c>
      <c r="O423" s="6">
        <v>5.6820059999999986</v>
      </c>
      <c r="P423" s="6" t="s">
        <v>9777</v>
      </c>
      <c r="Q423" s="6">
        <v>2</v>
      </c>
      <c r="R423" s="6" t="s">
        <v>79</v>
      </c>
      <c r="S423" s="6">
        <v>1996</v>
      </c>
      <c r="T423" s="6">
        <v>1000000</v>
      </c>
      <c r="U423" s="6" t="s">
        <v>167</v>
      </c>
      <c r="V423" s="6">
        <v>21</v>
      </c>
      <c r="W423" s="6" t="s">
        <v>167</v>
      </c>
      <c r="X423" s="6" t="s">
        <v>9778</v>
      </c>
      <c r="Y423" s="6" t="s">
        <v>9779</v>
      </c>
      <c r="Z423" s="6" t="s">
        <v>9780</v>
      </c>
      <c r="AA423" s="6" t="s">
        <v>9781</v>
      </c>
      <c r="AB423" s="6" t="s">
        <v>9782</v>
      </c>
      <c r="AC423" s="6">
        <v>561599</v>
      </c>
      <c r="AD423" s="10" t="str">
        <f>_xlfn.XLOOKUP(AC423,[1]Mapping!B:B,[1]Mapping!C:C,"")</f>
        <v xml:space="preserve">All Other Travel Arrangement and Reservation Services </v>
      </c>
      <c r="AG423" s="6" t="s">
        <v>9783</v>
      </c>
      <c r="AH423" s="6" t="s">
        <v>9784</v>
      </c>
      <c r="AI423" s="6" t="s">
        <v>3041</v>
      </c>
      <c r="AQ423" s="6">
        <v>7361</v>
      </c>
      <c r="AR423" s="6" t="s">
        <v>3042</v>
      </c>
      <c r="AT423" s="6">
        <v>7990</v>
      </c>
      <c r="AU423" s="6" t="s">
        <v>9785</v>
      </c>
      <c r="AV423" s="6">
        <v>79.900000000000006</v>
      </c>
      <c r="AW423" s="6" t="s">
        <v>9785</v>
      </c>
      <c r="AY423" s="6" t="s">
        <v>9786</v>
      </c>
      <c r="AZ423" s="6">
        <v>4751510030</v>
      </c>
      <c r="BB423" s="6" t="s">
        <v>9787</v>
      </c>
      <c r="BD423" s="6" t="s">
        <v>9788</v>
      </c>
      <c r="BE423" s="6" t="str">
        <f t="shared" si="12"/>
        <v>relocation.no</v>
      </c>
      <c r="BF423" s="6" t="str">
        <f t="shared" si="13"/>
        <v>no</v>
      </c>
      <c r="BG423" s="6" t="s">
        <v>101</v>
      </c>
      <c r="BK423" s="6" t="s">
        <v>9789</v>
      </c>
      <c r="BP423" s="6" t="s">
        <v>9790</v>
      </c>
      <c r="BQ423" s="6" t="s">
        <v>9791</v>
      </c>
      <c r="BR423" s="6" t="s">
        <v>105</v>
      </c>
    </row>
    <row r="424" spans="1:70" ht="45" customHeight="1" x14ac:dyDescent="0.25">
      <c r="A424" s="6">
        <v>424</v>
      </c>
      <c r="B424" s="7" t="s">
        <v>9792</v>
      </c>
      <c r="C424" s="8" t="s">
        <v>9793</v>
      </c>
      <c r="D424" s="6" t="s">
        <v>9794</v>
      </c>
      <c r="E424" s="6" t="s">
        <v>9795</v>
      </c>
      <c r="F424" s="8" t="s">
        <v>9796</v>
      </c>
      <c r="G424" s="6" t="s">
        <v>73</v>
      </c>
      <c r="H424" s="6" t="s">
        <v>74</v>
      </c>
      <c r="I424" s="6"/>
      <c r="J424" s="6" t="s">
        <v>3083</v>
      </c>
      <c r="K424" s="9">
        <v>2800</v>
      </c>
      <c r="L424" s="8" t="s">
        <v>9797</v>
      </c>
      <c r="M424" s="9" t="s">
        <v>9798</v>
      </c>
      <c r="N424" s="6">
        <v>55.774830199999997</v>
      </c>
      <c r="O424" s="6">
        <v>12.5002104</v>
      </c>
      <c r="P424" s="6" t="s">
        <v>9799</v>
      </c>
      <c r="Q424" s="6">
        <v>1</v>
      </c>
      <c r="R424" s="6" t="s">
        <v>79</v>
      </c>
      <c r="T424" s="6">
        <v>2499126</v>
      </c>
      <c r="U424" s="6" t="s">
        <v>80</v>
      </c>
      <c r="V424" s="6">
        <v>14</v>
      </c>
      <c r="W424" s="6" t="s">
        <v>167</v>
      </c>
      <c r="X424" s="6" t="s">
        <v>9800</v>
      </c>
      <c r="Y424" s="6" t="s">
        <v>9801</v>
      </c>
      <c r="Z424" s="6" t="s">
        <v>9802</v>
      </c>
      <c r="AA424" s="6" t="s">
        <v>9803</v>
      </c>
      <c r="AB424" s="6" t="s">
        <v>9804</v>
      </c>
      <c r="AC424" s="6">
        <v>541810</v>
      </c>
      <c r="AD424" s="10" t="str">
        <f>_xlfn.XLOOKUP(AC424,[1]Mapping!B:B,[1]Mapping!C:C,"")</f>
        <v>Advertising Agencies</v>
      </c>
      <c r="AE424" s="6" t="s">
        <v>9805</v>
      </c>
      <c r="AF424" s="6" t="s">
        <v>9806</v>
      </c>
      <c r="AG424" s="6" t="s">
        <v>9807</v>
      </c>
      <c r="AH424" s="6" t="s">
        <v>9808</v>
      </c>
      <c r="AI424" s="6" t="s">
        <v>2102</v>
      </c>
      <c r="AJ424" s="6" t="s">
        <v>255</v>
      </c>
      <c r="AK424" s="6" t="s">
        <v>256</v>
      </c>
      <c r="AL424" s="6" t="s">
        <v>257</v>
      </c>
      <c r="AM424" s="6" t="s">
        <v>258</v>
      </c>
      <c r="AN424" s="6" t="s">
        <v>259</v>
      </c>
      <c r="AO424" s="6" t="s">
        <v>260</v>
      </c>
      <c r="AQ424" s="6">
        <v>3993</v>
      </c>
      <c r="AR424" s="6" t="s">
        <v>7940</v>
      </c>
      <c r="AT424" s="6">
        <v>3299</v>
      </c>
      <c r="AU424" s="6" t="s">
        <v>7942</v>
      </c>
      <c r="AV424" s="6">
        <v>32.99</v>
      </c>
      <c r="AW424" s="6" t="s">
        <v>7942</v>
      </c>
      <c r="AY424" s="6" t="s">
        <v>9809</v>
      </c>
      <c r="AZ424" s="6" t="s">
        <v>9810</v>
      </c>
      <c r="BA424" s="6" t="s">
        <v>9811</v>
      </c>
      <c r="BB424" s="6" t="s">
        <v>9811</v>
      </c>
      <c r="BC424" s="6" t="s">
        <v>9812</v>
      </c>
      <c r="BD424" s="6" t="s">
        <v>9813</v>
      </c>
      <c r="BE424" s="6" t="str">
        <f t="shared" si="12"/>
        <v>retailinstitute.dk</v>
      </c>
      <c r="BF424" s="6" t="str">
        <f t="shared" si="13"/>
        <v>dk</v>
      </c>
      <c r="BG424" s="6" t="s">
        <v>123</v>
      </c>
      <c r="BK424" s="6" t="s">
        <v>9814</v>
      </c>
      <c r="BP424" s="6" t="s">
        <v>9815</v>
      </c>
      <c r="BQ424" s="6" t="s">
        <v>9816</v>
      </c>
      <c r="BR424" s="6" t="s">
        <v>105</v>
      </c>
    </row>
    <row r="425" spans="1:70" ht="45" customHeight="1" x14ac:dyDescent="0.25">
      <c r="A425" s="6">
        <v>425</v>
      </c>
      <c r="B425" s="7" t="s">
        <v>9817</v>
      </c>
      <c r="C425" s="8" t="s">
        <v>9818</v>
      </c>
      <c r="D425" s="6" t="s">
        <v>9817</v>
      </c>
      <c r="E425" s="8" t="s">
        <v>9817</v>
      </c>
      <c r="F425" s="8" t="s">
        <v>9817</v>
      </c>
      <c r="G425" s="6" t="e">
        <f>#REF!</f>
        <v>#REF!</v>
      </c>
      <c r="H425" s="6" t="e">
        <f>#REF!</f>
        <v>#REF!</v>
      </c>
      <c r="I425" s="6" t="e">
        <f>#REF!</f>
        <v>#REF!</v>
      </c>
      <c r="J425" s="6" t="e">
        <f>#REF!</f>
        <v>#REF!</v>
      </c>
      <c r="L425" s="8" t="s">
        <v>9819</v>
      </c>
      <c r="M425" s="9">
        <v>1177</v>
      </c>
      <c r="P425" s="6" t="s">
        <v>9820</v>
      </c>
      <c r="Q425" s="6">
        <v>1</v>
      </c>
      <c r="R425" s="6" t="s">
        <v>79</v>
      </c>
      <c r="T425" s="6">
        <v>4163841</v>
      </c>
      <c r="U425" s="6" t="s">
        <v>80</v>
      </c>
      <c r="V425" s="6">
        <v>15</v>
      </c>
      <c r="W425" s="6" t="s">
        <v>80</v>
      </c>
      <c r="X425" s="6" t="s">
        <v>9821</v>
      </c>
      <c r="Y425" s="6" t="s">
        <v>9822</v>
      </c>
      <c r="Z425" s="6" t="s">
        <v>9823</v>
      </c>
      <c r="AA425" s="6" t="s">
        <v>9824</v>
      </c>
      <c r="AB425" s="6" t="s">
        <v>9825</v>
      </c>
      <c r="AC425" s="6">
        <v>541511</v>
      </c>
      <c r="AD425" s="10" t="str">
        <f>_xlfn.XLOOKUP(AC425,[1]Mapping!B:B,[1]Mapping!C:C,"")</f>
        <v xml:space="preserve">Custom Computer Programming Services </v>
      </c>
      <c r="AG425" s="6" t="s">
        <v>990</v>
      </c>
      <c r="AH425" s="6" t="s">
        <v>174</v>
      </c>
      <c r="AI425" s="6" t="s">
        <v>87</v>
      </c>
      <c r="AJ425" s="6" t="s">
        <v>174</v>
      </c>
      <c r="AK425" s="6" t="s">
        <v>175</v>
      </c>
      <c r="AL425" s="6" t="s">
        <v>176</v>
      </c>
      <c r="AM425" s="6" t="s">
        <v>177</v>
      </c>
      <c r="AN425" s="6" t="s">
        <v>91</v>
      </c>
      <c r="AO425" s="6" t="s">
        <v>92</v>
      </c>
      <c r="AQ425" s="6">
        <v>7371</v>
      </c>
      <c r="AR425" s="6" t="s">
        <v>504</v>
      </c>
      <c r="AT425" s="6">
        <v>6201</v>
      </c>
      <c r="AU425" s="6" t="s">
        <v>505</v>
      </c>
      <c r="AV425" s="6">
        <v>62.01</v>
      </c>
      <c r="AW425" s="6" t="s">
        <v>505</v>
      </c>
      <c r="BD425" s="6" t="s">
        <v>9826</v>
      </c>
      <c r="BE425" s="6" t="str">
        <f t="shared" si="12"/>
        <v>aiincx.com</v>
      </c>
      <c r="BF425" s="6" t="str">
        <f t="shared" si="13"/>
        <v>com</v>
      </c>
      <c r="BG425" s="6" t="s">
        <v>101</v>
      </c>
      <c r="BP425" s="6" t="s">
        <v>9827</v>
      </c>
      <c r="BQ425" s="6" t="s">
        <v>9828</v>
      </c>
      <c r="BR425" s="6" t="s">
        <v>105</v>
      </c>
    </row>
    <row r="426" spans="1:70" ht="45" customHeight="1" x14ac:dyDescent="0.25">
      <c r="A426" s="6">
        <v>426</v>
      </c>
      <c r="B426" s="7" t="s">
        <v>9829</v>
      </c>
      <c r="C426" s="8" t="s">
        <v>9830</v>
      </c>
      <c r="D426" s="6" t="s">
        <v>9829</v>
      </c>
      <c r="E426" s="6" t="s">
        <v>9831</v>
      </c>
      <c r="F426" s="8" t="s">
        <v>9832</v>
      </c>
      <c r="G426" s="6" t="s">
        <v>73</v>
      </c>
      <c r="H426" s="6" t="s">
        <v>74</v>
      </c>
      <c r="I426" s="6"/>
      <c r="J426" s="6" t="s">
        <v>76</v>
      </c>
      <c r="K426" s="9">
        <v>9000</v>
      </c>
      <c r="L426" s="8" t="s">
        <v>9833</v>
      </c>
      <c r="M426" s="9">
        <v>2</v>
      </c>
      <c r="N426" s="6">
        <v>57.035410599999999</v>
      </c>
      <c r="O426" s="6">
        <v>9.9651414999999997</v>
      </c>
      <c r="P426" s="6" t="s">
        <v>9834</v>
      </c>
      <c r="Q426" s="6">
        <v>1</v>
      </c>
      <c r="R426" s="6" t="s">
        <v>79</v>
      </c>
      <c r="T426" s="6">
        <v>4619644</v>
      </c>
      <c r="U426" s="6" t="s">
        <v>80</v>
      </c>
      <c r="V426" s="6">
        <v>75</v>
      </c>
      <c r="W426" s="6" t="s">
        <v>80</v>
      </c>
      <c r="X426" s="6" t="s">
        <v>9835</v>
      </c>
      <c r="Y426" s="6" t="s">
        <v>9836</v>
      </c>
      <c r="Z426" s="6" t="s">
        <v>9837</v>
      </c>
      <c r="AA426" s="6" t="s">
        <v>9838</v>
      </c>
      <c r="AB426" s="6" t="s">
        <v>9839</v>
      </c>
      <c r="AC426" s="6">
        <v>561422</v>
      </c>
      <c r="AD426" s="10" t="str">
        <f>_xlfn.XLOOKUP(AC426,[1]Mapping!B:B,[1]Mapping!C:C,"")</f>
        <v xml:space="preserve">Telemarketing Bureaus and Other Contact Centers </v>
      </c>
      <c r="AG426" s="6" t="s">
        <v>9840</v>
      </c>
      <c r="AH426" s="6" t="s">
        <v>9841</v>
      </c>
      <c r="AI426" s="6" t="s">
        <v>3041</v>
      </c>
      <c r="AJ426" s="6" t="s">
        <v>293</v>
      </c>
      <c r="AK426" s="6" t="s">
        <v>294</v>
      </c>
      <c r="AL426" s="6" t="s">
        <v>295</v>
      </c>
      <c r="AM426" s="6" t="s">
        <v>296</v>
      </c>
      <c r="AN426" s="6" t="s">
        <v>297</v>
      </c>
      <c r="AO426" s="6" t="s">
        <v>298</v>
      </c>
      <c r="AQ426" s="6">
        <v>7389</v>
      </c>
      <c r="AR426" s="6" t="s">
        <v>4940</v>
      </c>
      <c r="AT426" s="6">
        <v>8220</v>
      </c>
      <c r="AU426" s="6" t="s">
        <v>2614</v>
      </c>
      <c r="AV426" s="6">
        <v>82.2</v>
      </c>
      <c r="AW426" s="6" t="s">
        <v>2614</v>
      </c>
      <c r="AY426" s="6" t="s">
        <v>9842</v>
      </c>
      <c r="AZ426" s="6" t="s">
        <v>9843</v>
      </c>
      <c r="BA426" s="6" t="s">
        <v>9844</v>
      </c>
      <c r="BB426" s="6" t="s">
        <v>9845</v>
      </c>
      <c r="BC426" s="6" t="s">
        <v>9846</v>
      </c>
      <c r="BD426" s="6" t="s">
        <v>9847</v>
      </c>
      <c r="BE426" s="6" t="str">
        <f t="shared" si="12"/>
        <v>rezponz.dk</v>
      </c>
      <c r="BF426" s="6" t="str">
        <f t="shared" si="13"/>
        <v>dk</v>
      </c>
      <c r="BG426" s="6" t="s">
        <v>123</v>
      </c>
      <c r="BH426" s="6" t="s">
        <v>9848</v>
      </c>
      <c r="BJ426" s="6" t="s">
        <v>9849</v>
      </c>
      <c r="BK426" s="6" t="s">
        <v>9850</v>
      </c>
      <c r="BP426" s="6" t="s">
        <v>9851</v>
      </c>
      <c r="BQ426" s="6" t="s">
        <v>9852</v>
      </c>
      <c r="BR426" s="6" t="s">
        <v>105</v>
      </c>
    </row>
    <row r="427" spans="1:70" ht="45" customHeight="1" x14ac:dyDescent="0.25">
      <c r="A427" s="6">
        <v>427</v>
      </c>
      <c r="B427" s="7" t="s">
        <v>9853</v>
      </c>
      <c r="C427" s="8" t="s">
        <v>9854</v>
      </c>
      <c r="D427" s="6" t="s">
        <v>9855</v>
      </c>
      <c r="E427" s="6" t="s">
        <v>9856</v>
      </c>
      <c r="F427" s="8" t="s">
        <v>9857</v>
      </c>
      <c r="G427" s="6" t="s">
        <v>73</v>
      </c>
      <c r="H427" s="6" t="s">
        <v>74</v>
      </c>
      <c r="I427" s="6"/>
      <c r="J427" s="6" t="s">
        <v>8631</v>
      </c>
      <c r="K427" s="9">
        <v>8700</v>
      </c>
      <c r="L427" s="8" t="s">
        <v>9858</v>
      </c>
      <c r="M427" s="9" t="s">
        <v>9859</v>
      </c>
      <c r="N427" s="6">
        <v>55.9232516</v>
      </c>
      <c r="O427" s="6">
        <v>9.8221607999999989</v>
      </c>
      <c r="P427" s="6" t="s">
        <v>9860</v>
      </c>
      <c r="Q427" s="6">
        <v>7</v>
      </c>
      <c r="R427" s="6" t="s">
        <v>79</v>
      </c>
      <c r="S427" s="6">
        <v>2017</v>
      </c>
      <c r="T427" s="6">
        <v>2510798</v>
      </c>
      <c r="U427" s="6" t="s">
        <v>80</v>
      </c>
      <c r="V427" s="6">
        <v>14</v>
      </c>
      <c r="W427" s="6" t="s">
        <v>167</v>
      </c>
      <c r="X427" s="6" t="s">
        <v>9861</v>
      </c>
      <c r="Y427" s="6" t="s">
        <v>9862</v>
      </c>
      <c r="Z427" s="6" t="s">
        <v>8502</v>
      </c>
      <c r="AA427" s="6" t="s">
        <v>9863</v>
      </c>
      <c r="AB427" s="6" t="s">
        <v>9864</v>
      </c>
      <c r="AC427" s="6">
        <v>541511</v>
      </c>
      <c r="AD427" s="10" t="str">
        <f>_xlfn.XLOOKUP(AC427,[1]Mapping!B:B,[1]Mapping!C:C,"")</f>
        <v xml:space="preserve">Custom Computer Programming Services </v>
      </c>
      <c r="AG427" s="6" t="s">
        <v>990</v>
      </c>
      <c r="AH427" s="6" t="s">
        <v>174</v>
      </c>
      <c r="AI427" s="6" t="s">
        <v>87</v>
      </c>
      <c r="AJ427" s="6" t="s">
        <v>255</v>
      </c>
      <c r="AK427" s="6" t="s">
        <v>256</v>
      </c>
      <c r="AL427" s="6" t="s">
        <v>257</v>
      </c>
      <c r="AM427" s="6" t="s">
        <v>258</v>
      </c>
      <c r="AN427" s="6" t="s">
        <v>259</v>
      </c>
      <c r="AO427" s="6" t="s">
        <v>260</v>
      </c>
      <c r="AQ427" s="6">
        <v>7371</v>
      </c>
      <c r="AR427" s="6" t="s">
        <v>504</v>
      </c>
      <c r="AS427" s="6" t="s">
        <v>9865</v>
      </c>
      <c r="AT427" s="6">
        <v>6201</v>
      </c>
      <c r="AU427" s="6" t="s">
        <v>505</v>
      </c>
      <c r="AV427" s="6">
        <v>62.01</v>
      </c>
      <c r="AW427" s="6" t="s">
        <v>505</v>
      </c>
      <c r="AX427" s="6" t="s">
        <v>9866</v>
      </c>
      <c r="AY427" s="6" t="s">
        <v>9867</v>
      </c>
      <c r="AZ427" s="6" t="s">
        <v>9868</v>
      </c>
      <c r="BA427" s="6" t="s">
        <v>9869</v>
      </c>
      <c r="BD427" s="11" t="s">
        <v>9870</v>
      </c>
      <c r="BE427" s="6" t="str">
        <f t="shared" si="12"/>
        <v>rhenus.group</v>
      </c>
      <c r="BF427" s="6" t="str">
        <f t="shared" si="13"/>
        <v>group</v>
      </c>
      <c r="BG427" s="6" t="s">
        <v>9871</v>
      </c>
      <c r="BH427" s="6" t="s">
        <v>9872</v>
      </c>
      <c r="BJ427" s="6" t="s">
        <v>9873</v>
      </c>
      <c r="BK427" s="6" t="s">
        <v>9874</v>
      </c>
      <c r="BL427" s="6" t="s">
        <v>9875</v>
      </c>
      <c r="BM427" s="6" t="s">
        <v>9876</v>
      </c>
      <c r="BN427" s="6" t="s">
        <v>9877</v>
      </c>
      <c r="BP427" s="6" t="s">
        <v>9878</v>
      </c>
      <c r="BQ427" s="6" t="s">
        <v>9879</v>
      </c>
      <c r="BR427" s="6" t="s">
        <v>105</v>
      </c>
    </row>
    <row r="428" spans="1:70" ht="45" customHeight="1" x14ac:dyDescent="0.25">
      <c r="A428" s="6">
        <v>428</v>
      </c>
      <c r="B428" s="7" t="s">
        <v>9880</v>
      </c>
      <c r="C428" s="8" t="s">
        <v>9881</v>
      </c>
      <c r="D428" s="6" t="s">
        <v>9882</v>
      </c>
      <c r="E428" s="8" t="s">
        <v>9883</v>
      </c>
      <c r="F428" s="8" t="s">
        <v>9883</v>
      </c>
      <c r="G428" s="6" t="s">
        <v>73</v>
      </c>
      <c r="H428" s="6" t="s">
        <v>74</v>
      </c>
      <c r="I428" s="6"/>
      <c r="J428" s="6" t="s">
        <v>9884</v>
      </c>
      <c r="K428" s="9">
        <v>2665</v>
      </c>
      <c r="L428" s="8" t="s">
        <v>9885</v>
      </c>
      <c r="M428" s="9">
        <v>37</v>
      </c>
      <c r="N428" s="6">
        <v>55.628078700000003</v>
      </c>
      <c r="O428" s="6">
        <v>12.387079399999999</v>
      </c>
      <c r="P428" s="6" t="s">
        <v>9886</v>
      </c>
      <c r="Q428" s="6">
        <v>1</v>
      </c>
      <c r="R428" s="6" t="s">
        <v>79</v>
      </c>
      <c r="T428" s="6"/>
      <c r="X428" s="6" t="s">
        <v>9887</v>
      </c>
      <c r="Y428" s="6" t="s">
        <v>9888</v>
      </c>
      <c r="Z428" s="6" t="s">
        <v>9889</v>
      </c>
      <c r="AA428" s="6" t="s">
        <v>9890</v>
      </c>
      <c r="AB428" s="6" t="s">
        <v>9891</v>
      </c>
      <c r="AC428" s="6">
        <v>332322</v>
      </c>
      <c r="AD428" s="10" t="str">
        <f>_xlfn.XLOOKUP(AC428,[1]Mapping!B:B,[1]Mapping!C:C,"")</f>
        <v xml:space="preserve">Sheet Metal Work Manufacturing </v>
      </c>
      <c r="AE428" s="6" t="s">
        <v>9892</v>
      </c>
      <c r="AF428" s="6" t="s">
        <v>5506</v>
      </c>
      <c r="AG428" s="6" t="s">
        <v>9893</v>
      </c>
      <c r="AH428" s="6" t="s">
        <v>9894</v>
      </c>
      <c r="AI428" s="6" t="s">
        <v>431</v>
      </c>
      <c r="AQ428" s="6">
        <v>3444</v>
      </c>
      <c r="AR428" s="6" t="s">
        <v>9895</v>
      </c>
      <c r="AT428" s="6">
        <v>2511</v>
      </c>
      <c r="AU428" s="6" t="s">
        <v>9896</v>
      </c>
      <c r="AV428" s="6">
        <v>25.11</v>
      </c>
      <c r="AW428" s="6" t="s">
        <v>9896</v>
      </c>
      <c r="AY428" s="6" t="s">
        <v>9897</v>
      </c>
      <c r="AZ428" s="6">
        <v>4570255900</v>
      </c>
      <c r="BD428" s="6" t="s">
        <v>9898</v>
      </c>
      <c r="BE428" s="6" t="str">
        <f t="shared" si="12"/>
        <v>rittal.dk</v>
      </c>
      <c r="BF428" s="6" t="str">
        <f t="shared" si="13"/>
        <v>dk</v>
      </c>
      <c r="BG428" s="6" t="s">
        <v>123</v>
      </c>
      <c r="BK428" s="6" t="s">
        <v>9899</v>
      </c>
      <c r="BN428" s="6" t="s">
        <v>9900</v>
      </c>
      <c r="BQ428" s="6" t="s">
        <v>9901</v>
      </c>
      <c r="BR428" s="6" t="s">
        <v>105</v>
      </c>
    </row>
    <row r="429" spans="1:70" ht="45" customHeight="1" x14ac:dyDescent="0.25">
      <c r="A429" s="6">
        <v>429</v>
      </c>
      <c r="B429" s="7" t="s">
        <v>9902</v>
      </c>
      <c r="C429" s="8" t="s">
        <v>9903</v>
      </c>
      <c r="D429" s="6" t="s">
        <v>9904</v>
      </c>
      <c r="E429" s="8" t="s">
        <v>9902</v>
      </c>
      <c r="F429" s="8" t="s">
        <v>9905</v>
      </c>
      <c r="G429" s="6" t="s">
        <v>840</v>
      </c>
      <c r="H429" s="6" t="s">
        <v>841</v>
      </c>
      <c r="I429" s="8" t="s">
        <v>842</v>
      </c>
      <c r="J429" s="6" t="s">
        <v>843</v>
      </c>
      <c r="K429" s="9" t="s">
        <v>9906</v>
      </c>
      <c r="L429" s="8" t="s">
        <v>9907</v>
      </c>
      <c r="N429" s="6">
        <v>51.466256999999999</v>
      </c>
      <c r="O429" s="6">
        <v>-0.19541500000000001</v>
      </c>
      <c r="P429" s="6" t="s">
        <v>9908</v>
      </c>
      <c r="Q429" s="6">
        <v>1</v>
      </c>
      <c r="R429" s="6" t="s">
        <v>79</v>
      </c>
      <c r="T429" s="6"/>
      <c r="X429" s="6" t="s">
        <v>9909</v>
      </c>
      <c r="Y429" s="6" t="s">
        <v>9910</v>
      </c>
      <c r="Z429" s="6" t="s">
        <v>9911</v>
      </c>
      <c r="AA429" s="6" t="s">
        <v>9912</v>
      </c>
      <c r="AB429" s="6" t="s">
        <v>9913</v>
      </c>
      <c r="AC429" s="6">
        <v>449110</v>
      </c>
      <c r="AD429" s="10" t="str">
        <f>_xlfn.XLOOKUP(AC429,[1]Mapping!B:B,[1]Mapping!C:C,"")</f>
        <v xml:space="preserve">Furniture Retailers </v>
      </c>
      <c r="AG429" s="6" t="s">
        <v>9914</v>
      </c>
      <c r="AH429" s="6" t="s">
        <v>9915</v>
      </c>
      <c r="AI429" s="6" t="s">
        <v>9916</v>
      </c>
      <c r="AJ429" s="6" t="s">
        <v>255</v>
      </c>
      <c r="AK429" s="6" t="s">
        <v>256</v>
      </c>
      <c r="AL429" s="6" t="s">
        <v>257</v>
      </c>
      <c r="AM429" s="6" t="s">
        <v>258</v>
      </c>
      <c r="AN429" s="6" t="s">
        <v>259</v>
      </c>
      <c r="AO429" s="6" t="s">
        <v>260</v>
      </c>
      <c r="AQ429" s="6" t="s">
        <v>9917</v>
      </c>
      <c r="AR429" s="6" t="s">
        <v>9918</v>
      </c>
      <c r="AT429" s="6" t="s">
        <v>9919</v>
      </c>
      <c r="AU429" s="6" t="s">
        <v>9920</v>
      </c>
      <c r="AV429" s="6" t="s">
        <v>9921</v>
      </c>
      <c r="AW429" s="6" t="s">
        <v>9922</v>
      </c>
      <c r="AY429" s="6" t="s">
        <v>9923</v>
      </c>
      <c r="BB429" s="6" t="s">
        <v>9924</v>
      </c>
      <c r="BD429" s="6" t="s">
        <v>9925</v>
      </c>
      <c r="BE429" s="6" t="str">
        <f t="shared" si="12"/>
        <v>rtsw.co.uk</v>
      </c>
      <c r="BF429" s="6" t="str">
        <f t="shared" si="13"/>
        <v>uk</v>
      </c>
      <c r="BG429" s="6" t="s">
        <v>337</v>
      </c>
      <c r="BH429" s="6" t="s">
        <v>9926</v>
      </c>
      <c r="BI429" s="6" t="s">
        <v>9927</v>
      </c>
      <c r="BK429" s="6" t="s">
        <v>9928</v>
      </c>
      <c r="BN429" s="6" t="s">
        <v>9929</v>
      </c>
      <c r="BP429" s="6" t="s">
        <v>9930</v>
      </c>
      <c r="BQ429" s="6" t="s">
        <v>9931</v>
      </c>
      <c r="BR429" s="6" t="s">
        <v>105</v>
      </c>
    </row>
    <row r="430" spans="1:70" ht="45" customHeight="1" x14ac:dyDescent="0.25">
      <c r="A430" s="6">
        <v>430</v>
      </c>
      <c r="B430" s="7" t="s">
        <v>9932</v>
      </c>
      <c r="C430" s="8" t="s">
        <v>9933</v>
      </c>
      <c r="D430" s="6" t="s">
        <v>9934</v>
      </c>
      <c r="E430" s="6" t="s">
        <v>9935</v>
      </c>
      <c r="F430" s="8" t="s">
        <v>9936</v>
      </c>
      <c r="G430" s="6" t="s">
        <v>73</v>
      </c>
      <c r="H430" s="6" t="s">
        <v>74</v>
      </c>
      <c r="I430" s="6"/>
      <c r="J430" s="6" t="s">
        <v>3031</v>
      </c>
      <c r="K430" s="9">
        <v>8000</v>
      </c>
      <c r="L430" s="8" t="s">
        <v>9937</v>
      </c>
      <c r="M430" s="9">
        <v>11</v>
      </c>
      <c r="N430" s="6">
        <v>56.150117700000003</v>
      </c>
      <c r="O430" s="6">
        <v>10.1948756</v>
      </c>
      <c r="P430" s="6" t="s">
        <v>9938</v>
      </c>
      <c r="Q430" s="6">
        <v>1</v>
      </c>
      <c r="R430" s="6" t="s">
        <v>79</v>
      </c>
      <c r="S430" s="6">
        <v>2017</v>
      </c>
      <c r="T430" s="6">
        <v>1971545</v>
      </c>
      <c r="U430" s="6" t="s">
        <v>80</v>
      </c>
      <c r="V430" s="6">
        <v>10</v>
      </c>
      <c r="W430" s="6" t="s">
        <v>167</v>
      </c>
      <c r="X430" s="6" t="s">
        <v>9939</v>
      </c>
      <c r="Y430" s="6" t="s">
        <v>9940</v>
      </c>
      <c r="Z430" s="6" t="s">
        <v>9941</v>
      </c>
      <c r="AA430" s="6" t="s">
        <v>9942</v>
      </c>
      <c r="AB430" s="6" t="s">
        <v>9943</v>
      </c>
      <c r="AC430" s="6">
        <v>541611</v>
      </c>
      <c r="AD430" s="10" t="str">
        <f>_xlfn.XLOOKUP(AC430,[1]Mapping!B:B,[1]Mapping!C:C,"")</f>
        <v xml:space="preserve">Administrative Management and General Management Consulting Services </v>
      </c>
      <c r="AG430" s="6" t="s">
        <v>376</v>
      </c>
      <c r="AH430" s="6" t="s">
        <v>376</v>
      </c>
      <c r="AI430" s="6" t="s">
        <v>141</v>
      </c>
      <c r="AJ430" s="6" t="s">
        <v>2001</v>
      </c>
      <c r="AK430" s="6" t="s">
        <v>2002</v>
      </c>
      <c r="AL430" s="6" t="s">
        <v>328</v>
      </c>
      <c r="AM430" s="6" t="s">
        <v>329</v>
      </c>
      <c r="AN430" s="6" t="s">
        <v>297</v>
      </c>
      <c r="AO430" s="6" t="s">
        <v>298</v>
      </c>
      <c r="AQ430" s="6">
        <v>8742</v>
      </c>
      <c r="AR430" s="6" t="s">
        <v>377</v>
      </c>
      <c r="AT430" s="6">
        <v>7020</v>
      </c>
      <c r="AU430" s="6" t="s">
        <v>378</v>
      </c>
      <c r="AV430" s="6" t="s">
        <v>379</v>
      </c>
      <c r="AW430" s="6" t="s">
        <v>380</v>
      </c>
      <c r="AY430" s="6" t="s">
        <v>9944</v>
      </c>
      <c r="AZ430" s="6" t="s">
        <v>9945</v>
      </c>
      <c r="BA430" s="6" t="s">
        <v>9946</v>
      </c>
      <c r="BB430" s="6" t="s">
        <v>9946</v>
      </c>
      <c r="BC430" s="6" t="s">
        <v>9947</v>
      </c>
      <c r="BD430" s="6" t="s">
        <v>9948</v>
      </c>
      <c r="BE430" s="6" t="str">
        <f t="shared" si="12"/>
        <v>sleth.dk</v>
      </c>
      <c r="BF430" s="6" t="str">
        <f t="shared" si="13"/>
        <v>dk</v>
      </c>
      <c r="BG430" s="6" t="s">
        <v>101</v>
      </c>
      <c r="BH430" s="6" t="s">
        <v>9949</v>
      </c>
      <c r="BJ430" s="6" t="s">
        <v>9950</v>
      </c>
      <c r="BK430" s="6" t="s">
        <v>9951</v>
      </c>
      <c r="BP430" s="6" t="s">
        <v>9952</v>
      </c>
      <c r="BQ430" s="6" t="s">
        <v>9953</v>
      </c>
      <c r="BR430" s="6" t="s">
        <v>105</v>
      </c>
    </row>
    <row r="431" spans="1:70" ht="45" customHeight="1" x14ac:dyDescent="0.25">
      <c r="A431" s="6">
        <v>431</v>
      </c>
      <c r="B431" s="7" t="s">
        <v>9954</v>
      </c>
      <c r="C431" s="8" t="s">
        <v>9955</v>
      </c>
      <c r="D431" s="6" t="s">
        <v>9956</v>
      </c>
      <c r="E431" s="8" t="s">
        <v>9957</v>
      </c>
      <c r="F431" s="8" t="s">
        <v>9957</v>
      </c>
      <c r="G431" s="6" t="s">
        <v>418</v>
      </c>
      <c r="H431" s="6" t="s">
        <v>419</v>
      </c>
      <c r="I431" s="6" t="s">
        <v>420</v>
      </c>
      <c r="J431" s="6" t="s">
        <v>9958</v>
      </c>
      <c r="K431" s="9">
        <v>92500</v>
      </c>
      <c r="L431" s="8" t="s">
        <v>9959</v>
      </c>
      <c r="M431" s="9">
        <v>250</v>
      </c>
      <c r="N431" s="6">
        <v>48.8605716</v>
      </c>
      <c r="O431" s="6">
        <v>2.184437</v>
      </c>
      <c r="R431" s="6" t="s">
        <v>79</v>
      </c>
      <c r="S431" s="6">
        <v>2007</v>
      </c>
      <c r="T431" s="6"/>
      <c r="X431" s="6" t="s">
        <v>9960</v>
      </c>
      <c r="Y431" s="6" t="s">
        <v>9961</v>
      </c>
      <c r="AA431" s="6" t="s">
        <v>9962</v>
      </c>
      <c r="AC431" s="6">
        <v>517112</v>
      </c>
      <c r="AD431" s="10" t="str">
        <f>_xlfn.XLOOKUP(AC431,[1]Mapping!B:B,[1]Mapping!C:C,"")</f>
        <v>Wireless Telecommunications Carriers (except Satellite)</v>
      </c>
      <c r="AG431" s="6" t="s">
        <v>85</v>
      </c>
      <c r="AH431" s="6" t="s">
        <v>86</v>
      </c>
      <c r="AI431" s="6" t="s">
        <v>87</v>
      </c>
      <c r="AJ431" s="6" t="s">
        <v>86</v>
      </c>
      <c r="AK431" s="6" t="s">
        <v>88</v>
      </c>
      <c r="AL431" s="6" t="s">
        <v>89</v>
      </c>
      <c r="AM431" s="6" t="s">
        <v>90</v>
      </c>
      <c r="AN431" s="6" t="s">
        <v>91</v>
      </c>
      <c r="AO431" s="6" t="s">
        <v>92</v>
      </c>
      <c r="AQ431" s="6" t="s">
        <v>1697</v>
      </c>
      <c r="AR431" s="6" t="s">
        <v>1698</v>
      </c>
      <c r="AT431" s="6">
        <v>6120</v>
      </c>
      <c r="AU431" s="6" t="s">
        <v>1699</v>
      </c>
      <c r="AV431" s="6">
        <v>61.2</v>
      </c>
      <c r="AW431" s="6" t="s">
        <v>1699</v>
      </c>
      <c r="BD431" s="6" t="s">
        <v>9963</v>
      </c>
      <c r="BE431" s="6" t="str">
        <f t="shared" si="12"/>
        <v>sagemcom.com</v>
      </c>
      <c r="BF431" s="6" t="str">
        <f t="shared" si="13"/>
        <v>com</v>
      </c>
      <c r="BG431" s="6" t="s">
        <v>101</v>
      </c>
      <c r="BH431" s="6" t="s">
        <v>9964</v>
      </c>
      <c r="BI431" s="6" t="s">
        <v>9965</v>
      </c>
      <c r="BJ431" s="6" t="s">
        <v>9966</v>
      </c>
      <c r="BK431" s="6" t="s">
        <v>9967</v>
      </c>
      <c r="BN431" s="6" t="s">
        <v>9968</v>
      </c>
      <c r="BQ431" s="6" t="s">
        <v>9969</v>
      </c>
      <c r="BR431" s="6" t="s">
        <v>105</v>
      </c>
    </row>
    <row r="432" spans="1:70" ht="45" customHeight="1" x14ac:dyDescent="0.25">
      <c r="A432" s="6">
        <v>432</v>
      </c>
      <c r="B432" s="7" t="s">
        <v>9970</v>
      </c>
      <c r="C432" s="8" t="s">
        <v>9971</v>
      </c>
      <c r="D432" s="6" t="s">
        <v>9972</v>
      </c>
      <c r="E432" s="8" t="s">
        <v>9970</v>
      </c>
      <c r="F432" s="8" t="s">
        <v>9973</v>
      </c>
      <c r="G432" s="6" t="s">
        <v>201</v>
      </c>
      <c r="H432" s="6" t="s">
        <v>202</v>
      </c>
      <c r="I432" s="8" t="s">
        <v>2766</v>
      </c>
      <c r="J432" s="6" t="s">
        <v>9974</v>
      </c>
      <c r="K432" s="9">
        <v>78726</v>
      </c>
      <c r="L432" s="8" t="s">
        <v>9975</v>
      </c>
      <c r="M432" s="9">
        <v>11120</v>
      </c>
      <c r="N432" s="6">
        <v>30.405700499999998</v>
      </c>
      <c r="O432" s="6">
        <v>-97.848588699999993</v>
      </c>
      <c r="P432" s="6" t="s">
        <v>9976</v>
      </c>
      <c r="Q432" s="6">
        <v>1</v>
      </c>
      <c r="R432" s="6" t="s">
        <v>79</v>
      </c>
      <c r="T432" s="6"/>
      <c r="X432" s="6" t="s">
        <v>9977</v>
      </c>
      <c r="Y432" s="6" t="s">
        <v>9978</v>
      </c>
      <c r="Z432" s="6" t="s">
        <v>9979</v>
      </c>
      <c r="AA432" s="6" t="s">
        <v>9980</v>
      </c>
      <c r="AB432" s="6" t="s">
        <v>9981</v>
      </c>
      <c r="AC432" s="6">
        <v>513210</v>
      </c>
      <c r="AD432" s="10" t="str">
        <f>_xlfn.XLOOKUP(AC432,[1]Mapping!B:B,[1]Mapping!C:C,"")</f>
        <v>Software Publishers</v>
      </c>
      <c r="AG432" s="6" t="s">
        <v>9982</v>
      </c>
      <c r="AH432" s="6" t="s">
        <v>9983</v>
      </c>
      <c r="AI432" s="6" t="s">
        <v>499</v>
      </c>
      <c r="AJ432" s="6" t="s">
        <v>1467</v>
      </c>
      <c r="AK432" s="6" t="s">
        <v>1468</v>
      </c>
      <c r="AL432" s="6" t="s">
        <v>1469</v>
      </c>
      <c r="AM432" s="6" t="s">
        <v>1470</v>
      </c>
      <c r="AN432" s="6" t="s">
        <v>259</v>
      </c>
      <c r="AO432" s="6" t="s">
        <v>260</v>
      </c>
      <c r="AQ432" s="6">
        <v>7372</v>
      </c>
      <c r="AR432" s="6" t="s">
        <v>2077</v>
      </c>
      <c r="AT432" s="6">
        <v>5820</v>
      </c>
      <c r="AU432" s="6" t="s">
        <v>2028</v>
      </c>
      <c r="AV432" s="6">
        <v>58.29</v>
      </c>
      <c r="AW432" s="6" t="s">
        <v>2078</v>
      </c>
      <c r="AY432" s="6" t="s">
        <v>9984</v>
      </c>
      <c r="AZ432" s="6">
        <v>17139934675</v>
      </c>
      <c r="BA432" s="6" t="s">
        <v>9985</v>
      </c>
      <c r="BD432" s="6" t="s">
        <v>9986</v>
      </c>
      <c r="BE432" s="6" t="str">
        <f t="shared" si="12"/>
        <v>sailpoint.com</v>
      </c>
      <c r="BF432" s="6" t="str">
        <f t="shared" si="13"/>
        <v>com</v>
      </c>
      <c r="BG432" s="6" t="s">
        <v>101</v>
      </c>
      <c r="BH432" s="6" t="s">
        <v>9987</v>
      </c>
      <c r="BI432" s="6" t="s">
        <v>9988</v>
      </c>
      <c r="BJ432" s="6" t="s">
        <v>9989</v>
      </c>
      <c r="BK432" s="6" t="s">
        <v>9990</v>
      </c>
      <c r="BN432" s="6" t="s">
        <v>9991</v>
      </c>
      <c r="BQ432" s="6" t="s">
        <v>9992</v>
      </c>
      <c r="BR432" s="6" t="s">
        <v>105</v>
      </c>
    </row>
    <row r="433" spans="1:70" ht="45" customHeight="1" x14ac:dyDescent="0.25">
      <c r="A433" s="6">
        <v>433</v>
      </c>
      <c r="B433" s="7" t="s">
        <v>9993</v>
      </c>
      <c r="C433" s="8" t="s">
        <v>9994</v>
      </c>
      <c r="D433" s="6" t="s">
        <v>9995</v>
      </c>
      <c r="E433" s="6" t="s">
        <v>9996</v>
      </c>
      <c r="F433" s="8" t="s">
        <v>9997</v>
      </c>
      <c r="G433" s="6" t="s">
        <v>840</v>
      </c>
      <c r="H433" s="6" t="s">
        <v>841</v>
      </c>
      <c r="I433" s="6" t="s">
        <v>842</v>
      </c>
      <c r="J433" s="6" t="s">
        <v>843</v>
      </c>
      <c r="K433" s="9" t="s">
        <v>9998</v>
      </c>
      <c r="L433" s="8" t="s">
        <v>9999</v>
      </c>
      <c r="M433" s="9">
        <v>110</v>
      </c>
      <c r="N433" s="6">
        <v>51.516239800000001</v>
      </c>
      <c r="O433" s="6">
        <v>-8.1111100000000005E-2</v>
      </c>
      <c r="P433" s="6" t="s">
        <v>10000</v>
      </c>
      <c r="Q433" s="6">
        <v>1</v>
      </c>
      <c r="R433" s="6" t="s">
        <v>79</v>
      </c>
      <c r="S433" s="6">
        <v>1983</v>
      </c>
      <c r="T433" s="6">
        <v>143246</v>
      </c>
      <c r="U433" s="6" t="s">
        <v>80</v>
      </c>
      <c r="V433" s="6">
        <v>1</v>
      </c>
      <c r="W433" s="6" t="s">
        <v>167</v>
      </c>
      <c r="X433" s="6" t="s">
        <v>10001</v>
      </c>
      <c r="Y433" s="6" t="s">
        <v>10002</v>
      </c>
      <c r="Z433" s="6" t="s">
        <v>10003</v>
      </c>
      <c r="AA433" s="6" t="s">
        <v>10004</v>
      </c>
      <c r="AB433" s="6" t="s">
        <v>10005</v>
      </c>
      <c r="AC433" s="6">
        <v>541611</v>
      </c>
      <c r="AD433" s="10" t="str">
        <f>_xlfn.XLOOKUP(AC433,[1]Mapping!B:B,[1]Mapping!C:C,"")</f>
        <v xml:space="preserve">Administrative Management and General Management Consulting Services </v>
      </c>
      <c r="AG433" s="6" t="s">
        <v>376</v>
      </c>
      <c r="AH433" s="6" t="s">
        <v>376</v>
      </c>
      <c r="AI433" s="6" t="s">
        <v>141</v>
      </c>
      <c r="AJ433" s="6" t="s">
        <v>174</v>
      </c>
      <c r="AK433" s="6" t="s">
        <v>175</v>
      </c>
      <c r="AL433" s="6" t="s">
        <v>176</v>
      </c>
      <c r="AM433" s="6" t="s">
        <v>177</v>
      </c>
      <c r="AN433" s="6" t="s">
        <v>91</v>
      </c>
      <c r="AO433" s="6" t="s">
        <v>92</v>
      </c>
      <c r="AQ433" s="6">
        <v>8742</v>
      </c>
      <c r="AR433" s="6" t="s">
        <v>377</v>
      </c>
      <c r="AT433" s="6">
        <v>7020</v>
      </c>
      <c r="AU433" s="6" t="s">
        <v>378</v>
      </c>
      <c r="AV433" s="6" t="s">
        <v>379</v>
      </c>
      <c r="AW433" s="6" t="s">
        <v>380</v>
      </c>
      <c r="AY433" s="6">
        <v>447362000000</v>
      </c>
      <c r="AZ433" s="6">
        <v>447362000000</v>
      </c>
      <c r="BA433" s="6" t="s">
        <v>10006</v>
      </c>
      <c r="BD433" s="6" t="s">
        <v>10007</v>
      </c>
      <c r="BE433" s="6" t="str">
        <f t="shared" si="12"/>
        <v>salesforce-tower.com</v>
      </c>
      <c r="BF433" s="6" t="str">
        <f t="shared" si="13"/>
        <v>com</v>
      </c>
      <c r="BG433" s="6" t="s">
        <v>101</v>
      </c>
      <c r="BQ433" s="6" t="s">
        <v>10008</v>
      </c>
      <c r="BR433" s="6" t="s">
        <v>105</v>
      </c>
    </row>
    <row r="434" spans="1:70" ht="45" customHeight="1" x14ac:dyDescent="0.25">
      <c r="A434" s="6">
        <v>434</v>
      </c>
      <c r="B434" s="7" t="s">
        <v>10009</v>
      </c>
      <c r="C434" s="8" t="s">
        <v>10010</v>
      </c>
      <c r="D434" s="6" t="s">
        <v>10011</v>
      </c>
      <c r="E434" s="8" t="s">
        <v>10009</v>
      </c>
      <c r="F434" s="8" t="s">
        <v>10012</v>
      </c>
      <c r="G434" s="6" t="s">
        <v>315</v>
      </c>
      <c r="H434" s="6" t="s">
        <v>316</v>
      </c>
      <c r="J434" s="6" t="s">
        <v>10013</v>
      </c>
      <c r="K434" s="9">
        <v>38985</v>
      </c>
      <c r="L434" s="8" t="s">
        <v>2465</v>
      </c>
      <c r="M434" s="9">
        <v>5</v>
      </c>
      <c r="N434" s="6">
        <v>1.2945169999999999</v>
      </c>
      <c r="O434" s="6">
        <v>103.85808280000001</v>
      </c>
      <c r="P434" s="6" t="s">
        <v>10014</v>
      </c>
      <c r="Q434" s="6">
        <v>1</v>
      </c>
      <c r="R434" s="6" t="s">
        <v>79</v>
      </c>
      <c r="T434" s="6">
        <v>913251</v>
      </c>
      <c r="U434" s="6" t="s">
        <v>80</v>
      </c>
      <c r="V434" s="6">
        <v>4</v>
      </c>
      <c r="W434" s="6" t="s">
        <v>80</v>
      </c>
      <c r="X434" s="6" t="s">
        <v>10015</v>
      </c>
      <c r="Y434" s="6" t="s">
        <v>10016</v>
      </c>
      <c r="Z434" s="6" t="s">
        <v>10017</v>
      </c>
      <c r="AA434" s="6" t="s">
        <v>10018</v>
      </c>
      <c r="AB434" s="6" t="s">
        <v>10019</v>
      </c>
      <c r="AC434" s="6">
        <v>541310</v>
      </c>
      <c r="AD434" s="10" t="str">
        <f>_xlfn.XLOOKUP(AC434,[1]Mapping!B:B,[1]Mapping!C:C,"")</f>
        <v>Architectural Services</v>
      </c>
      <c r="AG434" s="6" t="s">
        <v>4843</v>
      </c>
      <c r="AH434" s="6" t="s">
        <v>4821</v>
      </c>
      <c r="AI434" s="6" t="s">
        <v>4822</v>
      </c>
      <c r="AJ434" s="6" t="s">
        <v>653</v>
      </c>
      <c r="AK434" s="6" t="s">
        <v>654</v>
      </c>
      <c r="AL434" s="6" t="s">
        <v>655</v>
      </c>
      <c r="AM434" s="6" t="s">
        <v>656</v>
      </c>
      <c r="AN434" s="6" t="s">
        <v>655</v>
      </c>
      <c r="AO434" s="6" t="s">
        <v>657</v>
      </c>
      <c r="AQ434" s="6">
        <v>8712</v>
      </c>
      <c r="AR434" s="6" t="s">
        <v>649</v>
      </c>
      <c r="AS434" s="6" t="s">
        <v>10020</v>
      </c>
      <c r="AT434" s="6">
        <v>7110</v>
      </c>
      <c r="AU434" s="6" t="s">
        <v>4844</v>
      </c>
      <c r="AV434" s="6" t="s">
        <v>4845</v>
      </c>
      <c r="AW434" s="6" t="s">
        <v>4846</v>
      </c>
      <c r="AX434" s="6" t="s">
        <v>10021</v>
      </c>
      <c r="AY434" s="6" t="s">
        <v>10022</v>
      </c>
      <c r="BA434" s="6" t="s">
        <v>10023</v>
      </c>
      <c r="BB434" s="6" t="s">
        <v>10023</v>
      </c>
      <c r="BD434" s="6" t="s">
        <v>10024</v>
      </c>
      <c r="BE434" s="6" t="str">
        <f t="shared" si="12"/>
        <v>salesforce.com</v>
      </c>
      <c r="BF434" s="6" t="str">
        <f t="shared" si="13"/>
        <v>com</v>
      </c>
      <c r="BG434" s="6" t="s">
        <v>101</v>
      </c>
      <c r="BJ434" s="6" t="s">
        <v>10025</v>
      </c>
      <c r="BP434" s="6" t="s">
        <v>10026</v>
      </c>
      <c r="BQ434" s="6" t="s">
        <v>10027</v>
      </c>
      <c r="BR434" s="6" t="s">
        <v>105</v>
      </c>
    </row>
    <row r="435" spans="1:70" ht="45" customHeight="1" x14ac:dyDescent="0.25">
      <c r="A435" s="6">
        <v>435</v>
      </c>
      <c r="B435" s="7" t="s">
        <v>10028</v>
      </c>
      <c r="C435" s="8" t="s">
        <v>10029</v>
      </c>
      <c r="D435" s="6" t="s">
        <v>10030</v>
      </c>
      <c r="E435" s="8" t="s">
        <v>10028</v>
      </c>
      <c r="F435" s="8" t="s">
        <v>10031</v>
      </c>
      <c r="G435" s="6" t="s">
        <v>73</v>
      </c>
      <c r="H435" s="6" t="s">
        <v>74</v>
      </c>
      <c r="J435" s="6" t="s">
        <v>10032</v>
      </c>
      <c r="K435" s="9">
        <v>8220</v>
      </c>
      <c r="L435" s="8" t="s">
        <v>10033</v>
      </c>
      <c r="M435" s="9">
        <v>33</v>
      </c>
      <c r="N435" s="6">
        <v>56.1611434</v>
      </c>
      <c r="O435" s="6">
        <v>10.0573119</v>
      </c>
      <c r="P435" s="6" t="s">
        <v>10034</v>
      </c>
      <c r="Q435" s="6">
        <v>1</v>
      </c>
      <c r="R435" s="6" t="s">
        <v>79</v>
      </c>
      <c r="T435" s="6"/>
      <c r="X435" s="6" t="s">
        <v>10035</v>
      </c>
      <c r="Y435" s="6" t="s">
        <v>10036</v>
      </c>
      <c r="Z435" s="6" t="s">
        <v>10037</v>
      </c>
      <c r="AA435" s="6" t="s">
        <v>10038</v>
      </c>
      <c r="AB435" s="6" t="s">
        <v>10039</v>
      </c>
      <c r="AC435" s="6">
        <v>336991</v>
      </c>
      <c r="AD435" s="10" t="str">
        <f>_xlfn.XLOOKUP(AC435,[1]Mapping!B:B,[1]Mapping!C:C,"")</f>
        <v xml:space="preserve">Motorcycle, Bicycle, and Parts Manufacturing </v>
      </c>
      <c r="AG435" s="6" t="s">
        <v>10040</v>
      </c>
      <c r="AH435" s="6" t="s">
        <v>10041</v>
      </c>
      <c r="AI435" s="6" t="s">
        <v>10042</v>
      </c>
      <c r="AJ435" s="6" t="s">
        <v>6486</v>
      </c>
      <c r="AK435" s="6" t="s">
        <v>6487</v>
      </c>
      <c r="AL435" s="6" t="s">
        <v>1582</v>
      </c>
      <c r="AM435" s="6" t="s">
        <v>1583</v>
      </c>
      <c r="AN435" s="6" t="s">
        <v>764</v>
      </c>
      <c r="AO435" s="6" t="s">
        <v>765</v>
      </c>
      <c r="AQ435" s="6" t="s">
        <v>10043</v>
      </c>
      <c r="AR435" s="6" t="s">
        <v>10044</v>
      </c>
      <c r="AS435" s="6" t="s">
        <v>10045</v>
      </c>
      <c r="AT435" s="6" t="s">
        <v>10046</v>
      </c>
      <c r="AU435" s="6" t="s">
        <v>10047</v>
      </c>
      <c r="AV435" s="6" t="s">
        <v>10048</v>
      </c>
      <c r="AW435" s="6" t="s">
        <v>10047</v>
      </c>
      <c r="AX435" s="6" t="s">
        <v>10049</v>
      </c>
      <c r="AY435" s="6" t="s">
        <v>10050</v>
      </c>
      <c r="AZ435" s="6" t="s">
        <v>10051</v>
      </c>
      <c r="BA435" s="6" t="s">
        <v>10052</v>
      </c>
      <c r="BD435" s="6" t="s">
        <v>10053</v>
      </c>
      <c r="BE435" s="6" t="str">
        <f t="shared" si="12"/>
        <v>sallinggroup.com</v>
      </c>
      <c r="BF435" s="6" t="str">
        <f t="shared" si="13"/>
        <v>com</v>
      </c>
      <c r="BG435" s="6" t="s">
        <v>123</v>
      </c>
      <c r="BK435" s="6" t="s">
        <v>10054</v>
      </c>
      <c r="BL435" s="6" t="s">
        <v>10055</v>
      </c>
      <c r="BM435" s="6" t="s">
        <v>10056</v>
      </c>
      <c r="BQ435" s="6" t="s">
        <v>10057</v>
      </c>
      <c r="BR435" s="6" t="s">
        <v>105</v>
      </c>
    </row>
    <row r="436" spans="1:70" ht="45" customHeight="1" x14ac:dyDescent="0.25">
      <c r="A436" s="6">
        <v>436</v>
      </c>
      <c r="B436" s="7" t="s">
        <v>10058</v>
      </c>
      <c r="C436" s="8" t="s">
        <v>10059</v>
      </c>
      <c r="D436" s="6" t="s">
        <v>10060</v>
      </c>
      <c r="E436" s="6" t="s">
        <v>10061</v>
      </c>
      <c r="F436" s="8" t="s">
        <v>10062</v>
      </c>
      <c r="G436" s="6" t="s">
        <v>612</v>
      </c>
      <c r="H436" s="6" t="s">
        <v>613</v>
      </c>
      <c r="I436" s="6" t="s">
        <v>614</v>
      </c>
      <c r="J436" s="6" t="s">
        <v>10063</v>
      </c>
      <c r="K436" s="9">
        <v>68000</v>
      </c>
      <c r="L436" s="8" t="s">
        <v>10064</v>
      </c>
      <c r="M436" s="9" t="s">
        <v>10065</v>
      </c>
      <c r="N436" s="6">
        <v>3.1538710999999999</v>
      </c>
      <c r="O436" s="6">
        <v>101.7747215</v>
      </c>
      <c r="P436" s="6" t="s">
        <v>10066</v>
      </c>
      <c r="Q436" s="6">
        <v>3</v>
      </c>
      <c r="R436" s="6" t="s">
        <v>79</v>
      </c>
      <c r="S436" s="6">
        <v>2022</v>
      </c>
      <c r="T436" s="6"/>
      <c r="X436" s="6" t="s">
        <v>10067</v>
      </c>
      <c r="Y436" s="6" t="s">
        <v>10068</v>
      </c>
      <c r="Z436" s="6" t="s">
        <v>10069</v>
      </c>
      <c r="AA436" s="6" t="s">
        <v>10070</v>
      </c>
      <c r="AC436" s="6">
        <v>484110</v>
      </c>
      <c r="AD436" s="10" t="str">
        <f>_xlfn.XLOOKUP(AC436,[1]Mapping!B:B,[1]Mapping!C:C,"")</f>
        <v xml:space="preserve">General Freight Trucking, Local </v>
      </c>
      <c r="AG436" s="6" t="s">
        <v>4565</v>
      </c>
      <c r="AH436" s="6" t="s">
        <v>4566</v>
      </c>
      <c r="AI436" s="6" t="s">
        <v>4567</v>
      </c>
      <c r="AJ436" s="6" t="s">
        <v>6933</v>
      </c>
      <c r="AK436" s="6" t="s">
        <v>6934</v>
      </c>
      <c r="AL436" s="6" t="s">
        <v>2136</v>
      </c>
      <c r="AM436" s="6" t="s">
        <v>2137</v>
      </c>
      <c r="AN436" s="6" t="s">
        <v>2138</v>
      </c>
      <c r="AO436" s="6" t="s">
        <v>2139</v>
      </c>
      <c r="AQ436" s="6" t="s">
        <v>6935</v>
      </c>
      <c r="AR436" s="6" t="s">
        <v>6936</v>
      </c>
      <c r="AT436" s="6">
        <v>4923</v>
      </c>
      <c r="AU436" s="6" t="s">
        <v>6938</v>
      </c>
      <c r="AV436" s="6" t="s">
        <v>6939</v>
      </c>
      <c r="AW436" s="6" t="s">
        <v>6940</v>
      </c>
      <c r="AY436" s="6" t="s">
        <v>10071</v>
      </c>
      <c r="AZ436" s="6" t="s">
        <v>10072</v>
      </c>
      <c r="BA436" s="6" t="s">
        <v>10073</v>
      </c>
      <c r="BB436" s="6" t="s">
        <v>10073</v>
      </c>
      <c r="BD436" s="6" t="s">
        <v>10074</v>
      </c>
      <c r="BE436" s="6" t="str">
        <f t="shared" si="12"/>
        <v>gnex.com.my</v>
      </c>
      <c r="BF436" s="6" t="str">
        <f t="shared" si="13"/>
        <v>my</v>
      </c>
      <c r="BG436" s="6" t="s">
        <v>10075</v>
      </c>
      <c r="BP436" s="6" t="s">
        <v>10076</v>
      </c>
      <c r="BQ436" s="6" t="s">
        <v>10077</v>
      </c>
      <c r="BR436" s="6" t="s">
        <v>105</v>
      </c>
    </row>
    <row r="437" spans="1:70" ht="45" customHeight="1" x14ac:dyDescent="0.25">
      <c r="A437" s="6">
        <v>437</v>
      </c>
      <c r="B437" s="7" t="s">
        <v>10078</v>
      </c>
      <c r="C437" s="8" t="s">
        <v>10079</v>
      </c>
      <c r="D437" s="6" t="s">
        <v>10080</v>
      </c>
      <c r="E437" s="8" t="s">
        <v>10078</v>
      </c>
      <c r="F437" s="8" t="s">
        <v>10081</v>
      </c>
      <c r="G437" s="6" t="s">
        <v>160</v>
      </c>
      <c r="H437" s="6" t="s">
        <v>161</v>
      </c>
      <c r="I437" s="8" t="s">
        <v>281</v>
      </c>
      <c r="J437" s="6" t="s">
        <v>1543</v>
      </c>
      <c r="K437" s="9" t="s">
        <v>4279</v>
      </c>
      <c r="L437" s="8" t="s">
        <v>4280</v>
      </c>
      <c r="M437" s="9">
        <v>48</v>
      </c>
      <c r="N437" s="6">
        <v>59.409222199999988</v>
      </c>
      <c r="O437" s="6">
        <v>17.949109700000001</v>
      </c>
      <c r="P437" s="6" t="s">
        <v>10082</v>
      </c>
      <c r="Q437" s="6">
        <v>1</v>
      </c>
      <c r="R437" s="6" t="s">
        <v>79</v>
      </c>
      <c r="S437" s="6">
        <v>1995</v>
      </c>
      <c r="T437" s="6">
        <v>5214106</v>
      </c>
      <c r="U437" s="6" t="s">
        <v>80</v>
      </c>
      <c r="V437" s="6">
        <v>75</v>
      </c>
      <c r="W437" s="6" t="s">
        <v>80</v>
      </c>
      <c r="X437" s="6" t="s">
        <v>10083</v>
      </c>
      <c r="Y437" s="6" t="s">
        <v>10084</v>
      </c>
      <c r="Z437" s="6" t="s">
        <v>10085</v>
      </c>
      <c r="AA437" s="6" t="s">
        <v>10086</v>
      </c>
      <c r="AC437" s="6">
        <v>813410</v>
      </c>
      <c r="AD437" s="10" t="str">
        <f>_xlfn.XLOOKUP(AC437,[1]Mapping!B:B,[1]Mapping!C:C,"")</f>
        <v xml:space="preserve">Civic and Social Organizations </v>
      </c>
      <c r="AG437" s="6" t="s">
        <v>10087</v>
      </c>
      <c r="AH437" s="6" t="s">
        <v>10088</v>
      </c>
      <c r="AI437" s="6" t="s">
        <v>3687</v>
      </c>
      <c r="AQ437" s="6" t="s">
        <v>10089</v>
      </c>
      <c r="AR437" s="6" t="s">
        <v>10090</v>
      </c>
      <c r="AT437" s="6">
        <v>9499</v>
      </c>
      <c r="AU437" s="6" t="s">
        <v>10091</v>
      </c>
      <c r="AV437" s="6">
        <v>94.99</v>
      </c>
      <c r="AW437" s="6" t="s">
        <v>10092</v>
      </c>
      <c r="AY437" s="6" t="s">
        <v>10093</v>
      </c>
      <c r="AZ437" s="6" t="s">
        <v>10094</v>
      </c>
      <c r="BA437" s="6" t="s">
        <v>10095</v>
      </c>
      <c r="BB437" s="6" t="s">
        <v>10095</v>
      </c>
      <c r="BD437" s="6" t="s">
        <v>10096</v>
      </c>
      <c r="BE437" s="6" t="str">
        <f t="shared" si="12"/>
        <v>samsung.com</v>
      </c>
      <c r="BF437" s="6" t="str">
        <f t="shared" si="13"/>
        <v>com</v>
      </c>
      <c r="BG437" s="6" t="s">
        <v>308</v>
      </c>
      <c r="BH437" s="6" t="s">
        <v>10097</v>
      </c>
      <c r="BI437" s="6" t="s">
        <v>10098</v>
      </c>
      <c r="BJ437" s="6" t="s">
        <v>10099</v>
      </c>
      <c r="BK437" s="6" t="s">
        <v>10100</v>
      </c>
      <c r="BN437" s="6" t="s">
        <v>10101</v>
      </c>
      <c r="BP437" s="6" t="s">
        <v>10102</v>
      </c>
      <c r="BQ437" s="6" t="s">
        <v>10103</v>
      </c>
      <c r="BR437" s="6" t="s">
        <v>105</v>
      </c>
    </row>
    <row r="438" spans="1:70" ht="45" customHeight="1" x14ac:dyDescent="0.25">
      <c r="A438" s="6">
        <v>438</v>
      </c>
      <c r="B438" s="7" t="s">
        <v>10104</v>
      </c>
      <c r="C438" s="8" t="s">
        <v>10105</v>
      </c>
      <c r="D438" s="6" t="s">
        <v>10106</v>
      </c>
      <c r="E438" s="6" t="s">
        <v>10107</v>
      </c>
      <c r="F438" s="8" t="s">
        <v>10108</v>
      </c>
      <c r="G438" s="6" t="s">
        <v>2781</v>
      </c>
      <c r="H438" s="6" t="s">
        <v>2782</v>
      </c>
      <c r="I438" s="6" t="s">
        <v>2783</v>
      </c>
      <c r="J438" s="6" t="s">
        <v>10109</v>
      </c>
      <c r="K438" s="9">
        <v>131028</v>
      </c>
      <c r="L438" s="8" t="s">
        <v>10110</v>
      </c>
      <c r="M438" s="9">
        <v>79</v>
      </c>
      <c r="N438" s="6">
        <v>28.869948300000001</v>
      </c>
      <c r="O438" s="6">
        <v>77.123893299999992</v>
      </c>
      <c r="P438" s="6" t="s">
        <v>10111</v>
      </c>
      <c r="Q438" s="6">
        <v>1</v>
      </c>
      <c r="R438" s="6" t="s">
        <v>79</v>
      </c>
      <c r="T438" s="6">
        <v>1731436</v>
      </c>
      <c r="U438" s="6" t="s">
        <v>80</v>
      </c>
      <c r="V438" s="6">
        <v>150</v>
      </c>
      <c r="W438" s="6" t="s">
        <v>80</v>
      </c>
      <c r="X438" s="6" t="s">
        <v>10112</v>
      </c>
      <c r="Y438" s="6" t="s">
        <v>10113</v>
      </c>
      <c r="Z438" s="6" t="s">
        <v>10114</v>
      </c>
      <c r="AA438" s="6" t="s">
        <v>10115</v>
      </c>
      <c r="AB438" s="6" t="s">
        <v>10116</v>
      </c>
      <c r="AC438" s="6">
        <v>541512</v>
      </c>
      <c r="AD438" s="10" t="str">
        <f>_xlfn.XLOOKUP(AC438,[1]Mapping!B:B,[1]Mapping!C:C,"")</f>
        <v xml:space="preserve">Computer Systems Design Services </v>
      </c>
      <c r="AE438" s="6" t="s">
        <v>3891</v>
      </c>
      <c r="AF438" s="6" t="s">
        <v>1971</v>
      </c>
      <c r="AG438" s="6" t="s">
        <v>10117</v>
      </c>
      <c r="AH438" s="6" t="s">
        <v>10118</v>
      </c>
      <c r="AI438" s="6" t="s">
        <v>499</v>
      </c>
      <c r="AJ438" s="6" t="s">
        <v>1241</v>
      </c>
      <c r="AK438" s="6" t="s">
        <v>1242</v>
      </c>
      <c r="AL438" s="6" t="s">
        <v>219</v>
      </c>
      <c r="AM438" s="6" t="s">
        <v>220</v>
      </c>
      <c r="AN438" s="6" t="s">
        <v>221</v>
      </c>
      <c r="AO438" s="6" t="s">
        <v>222</v>
      </c>
      <c r="AQ438" s="6">
        <v>7371</v>
      </c>
      <c r="AR438" s="6" t="s">
        <v>504</v>
      </c>
      <c r="AS438" s="6" t="s">
        <v>10119</v>
      </c>
      <c r="AT438" s="6">
        <v>6201</v>
      </c>
      <c r="AU438" s="6" t="s">
        <v>505</v>
      </c>
      <c r="AV438" s="6">
        <v>62.01</v>
      </c>
      <c r="AW438" s="6" t="s">
        <v>505</v>
      </c>
      <c r="AX438" s="6" t="s">
        <v>10120</v>
      </c>
      <c r="AY438" s="6" t="s">
        <v>10121</v>
      </c>
      <c r="AZ438" s="6" t="s">
        <v>10122</v>
      </c>
      <c r="BA438" s="6" t="s">
        <v>10123</v>
      </c>
      <c r="BB438" s="6" t="s">
        <v>10123</v>
      </c>
      <c r="BC438" s="6" t="s">
        <v>10124</v>
      </c>
      <c r="BD438" s="6" t="s">
        <v>10125</v>
      </c>
      <c r="BE438" s="6" t="str">
        <f t="shared" si="12"/>
        <v>sanvaru.com</v>
      </c>
      <c r="BF438" s="6" t="str">
        <f t="shared" si="13"/>
        <v>com</v>
      </c>
      <c r="BG438" s="6" t="s">
        <v>101</v>
      </c>
      <c r="BH438" s="6" t="s">
        <v>10126</v>
      </c>
      <c r="BI438" s="6" t="s">
        <v>10127</v>
      </c>
      <c r="BK438" s="6" t="s">
        <v>10128</v>
      </c>
      <c r="BP438" s="6" t="s">
        <v>10129</v>
      </c>
      <c r="BQ438" s="6" t="s">
        <v>10130</v>
      </c>
      <c r="BR438" s="6" t="s">
        <v>105</v>
      </c>
    </row>
    <row r="439" spans="1:70" ht="45" customHeight="1" x14ac:dyDescent="0.25">
      <c r="A439" s="6">
        <v>439</v>
      </c>
      <c r="B439" s="7" t="s">
        <v>10131</v>
      </c>
      <c r="C439" s="8" t="s">
        <v>10132</v>
      </c>
      <c r="D439" s="6" t="s">
        <v>10133</v>
      </c>
      <c r="E439" s="6" t="s">
        <v>10134</v>
      </c>
      <c r="F439" s="8" t="s">
        <v>10135</v>
      </c>
      <c r="G439" s="6" t="s">
        <v>73</v>
      </c>
      <c r="H439" s="6" t="s">
        <v>74</v>
      </c>
      <c r="I439" s="6"/>
      <c r="J439" s="6" t="s">
        <v>486</v>
      </c>
      <c r="K439" s="9">
        <v>2100</v>
      </c>
      <c r="L439" s="8" t="s">
        <v>10136</v>
      </c>
      <c r="M439" s="9">
        <v>4</v>
      </c>
      <c r="N439" s="6">
        <v>55.703168499999997</v>
      </c>
      <c r="O439" s="6">
        <v>12.593124700000001</v>
      </c>
      <c r="P439" s="6" t="s">
        <v>10137</v>
      </c>
      <c r="Q439" s="6">
        <v>1</v>
      </c>
      <c r="R439" s="6" t="s">
        <v>79</v>
      </c>
      <c r="S439" s="6">
        <v>2018</v>
      </c>
      <c r="T439" s="6">
        <v>1363172</v>
      </c>
      <c r="U439" s="6" t="s">
        <v>80</v>
      </c>
      <c r="V439" s="6">
        <v>14</v>
      </c>
      <c r="W439" s="6" t="s">
        <v>167</v>
      </c>
      <c r="X439" s="6" t="s">
        <v>10138</v>
      </c>
      <c r="Y439" s="6" t="s">
        <v>10139</v>
      </c>
      <c r="Z439" s="6" t="s">
        <v>10140</v>
      </c>
      <c r="AA439" s="6" t="s">
        <v>10141</v>
      </c>
      <c r="AB439" s="6" t="s">
        <v>10142</v>
      </c>
      <c r="AC439" s="6">
        <v>541214</v>
      </c>
      <c r="AD439" s="10" t="str">
        <f>_xlfn.XLOOKUP(AC439,[1]Mapping!B:B,[1]Mapping!C:C,"")</f>
        <v xml:space="preserve">Payroll Services </v>
      </c>
      <c r="AG439" s="6" t="s">
        <v>1094</v>
      </c>
      <c r="AH439" s="6" t="s">
        <v>1095</v>
      </c>
      <c r="AI439" s="6" t="s">
        <v>119</v>
      </c>
      <c r="AJ439" s="6" t="s">
        <v>174</v>
      </c>
      <c r="AK439" s="6" t="s">
        <v>175</v>
      </c>
      <c r="AL439" s="6" t="s">
        <v>176</v>
      </c>
      <c r="AM439" s="6" t="s">
        <v>177</v>
      </c>
      <c r="AN439" s="6" t="s">
        <v>91</v>
      </c>
      <c r="AO439" s="6" t="s">
        <v>92</v>
      </c>
      <c r="AQ439" s="6" t="s">
        <v>5715</v>
      </c>
      <c r="AR439" s="6" t="s">
        <v>5716</v>
      </c>
      <c r="AS439" s="6" t="s">
        <v>10143</v>
      </c>
      <c r="AT439" s="6">
        <v>6920</v>
      </c>
      <c r="AU439" s="6" t="s">
        <v>1098</v>
      </c>
      <c r="AV439" s="6">
        <v>69.2</v>
      </c>
      <c r="AW439" s="6" t="s">
        <v>1098</v>
      </c>
      <c r="AX439" s="6" t="s">
        <v>10144</v>
      </c>
      <c r="AY439" s="6" t="s">
        <v>10145</v>
      </c>
      <c r="AZ439" s="6" t="s">
        <v>10146</v>
      </c>
      <c r="BA439" s="6" t="s">
        <v>10147</v>
      </c>
      <c r="BB439" s="6" t="s">
        <v>10148</v>
      </c>
      <c r="BC439" s="6" t="s">
        <v>10149</v>
      </c>
      <c r="BD439" s="6" t="s">
        <v>10150</v>
      </c>
      <c r="BE439" s="6" t="str">
        <f t="shared" si="12"/>
        <v>sap.com</v>
      </c>
      <c r="BF439" s="6" t="str">
        <f t="shared" si="13"/>
        <v>com</v>
      </c>
      <c r="BG439" s="6" t="s">
        <v>101</v>
      </c>
      <c r="BH439" s="6" t="s">
        <v>10151</v>
      </c>
      <c r="BJ439" s="6" t="s">
        <v>10152</v>
      </c>
      <c r="BK439" s="6" t="s">
        <v>10153</v>
      </c>
      <c r="BP439" s="6" t="s">
        <v>10154</v>
      </c>
      <c r="BQ439" s="6" t="s">
        <v>10155</v>
      </c>
      <c r="BR439" s="6" t="s">
        <v>105</v>
      </c>
    </row>
    <row r="440" spans="1:70" ht="45" customHeight="1" x14ac:dyDescent="0.25">
      <c r="A440" s="6">
        <v>440</v>
      </c>
      <c r="B440" s="7" t="s">
        <v>10156</v>
      </c>
      <c r="C440" s="8" t="s">
        <v>10157</v>
      </c>
      <c r="D440" s="6" t="s">
        <v>10158</v>
      </c>
      <c r="E440" s="8" t="s">
        <v>10156</v>
      </c>
      <c r="F440" s="8" t="s">
        <v>10159</v>
      </c>
      <c r="G440" s="6" t="s">
        <v>130</v>
      </c>
      <c r="H440" s="6" t="s">
        <v>131</v>
      </c>
      <c r="I440" s="8" t="s">
        <v>132</v>
      </c>
      <c r="J440" s="6" t="s">
        <v>132</v>
      </c>
      <c r="K440" s="9">
        <v>256</v>
      </c>
      <c r="L440" s="8" t="s">
        <v>10160</v>
      </c>
      <c r="M440" s="9">
        <v>55</v>
      </c>
      <c r="N440" s="6">
        <v>59.915986699999998</v>
      </c>
      <c r="O440" s="6">
        <v>10.7223945</v>
      </c>
      <c r="P440" s="6" t="s">
        <v>10161</v>
      </c>
      <c r="Q440" s="6">
        <v>3</v>
      </c>
      <c r="R440" s="6" t="s">
        <v>79</v>
      </c>
      <c r="T440" s="6">
        <v>96840336</v>
      </c>
      <c r="U440" s="6" t="s">
        <v>80</v>
      </c>
      <c r="V440" s="6">
        <v>55</v>
      </c>
      <c r="W440" s="6" t="s">
        <v>167</v>
      </c>
      <c r="X440" s="6" t="s">
        <v>10162</v>
      </c>
      <c r="Y440" s="6" t="s">
        <v>10163</v>
      </c>
      <c r="Z440" s="6" t="s">
        <v>10164</v>
      </c>
      <c r="AA440" s="6" t="s">
        <v>10165</v>
      </c>
      <c r="AB440" s="6" t="s">
        <v>10166</v>
      </c>
      <c r="AC440" s="6">
        <v>236116</v>
      </c>
      <c r="AD440" s="10" t="str">
        <f>_xlfn.XLOOKUP(AC440,[1]Mapping!B:B,[1]Mapping!C:C,"")</f>
        <v xml:space="preserve">New Multifamily Housing Construction (except For-Sale Builders) </v>
      </c>
      <c r="AG440" s="6" t="s">
        <v>6137</v>
      </c>
      <c r="AH440" s="6" t="s">
        <v>6138</v>
      </c>
      <c r="AI440" s="6" t="s">
        <v>292</v>
      </c>
      <c r="AJ440" s="6" t="s">
        <v>2321</v>
      </c>
      <c r="AK440" s="6" t="s">
        <v>2322</v>
      </c>
      <c r="AL440" s="6" t="s">
        <v>2321</v>
      </c>
      <c r="AM440" s="6" t="s">
        <v>2323</v>
      </c>
      <c r="AN440" s="6" t="s">
        <v>655</v>
      </c>
      <c r="AO440" s="6" t="s">
        <v>657</v>
      </c>
      <c r="AQ440" s="6" t="s">
        <v>10167</v>
      </c>
      <c r="AR440" s="6" t="s">
        <v>10168</v>
      </c>
      <c r="AS440" s="6" t="s">
        <v>10169</v>
      </c>
      <c r="AT440" s="6">
        <v>4100</v>
      </c>
      <c r="AU440" s="6" t="s">
        <v>6140</v>
      </c>
      <c r="AV440" s="6" t="s">
        <v>6141</v>
      </c>
      <c r="AW440" s="6" t="s">
        <v>6142</v>
      </c>
      <c r="AX440" s="6" t="s">
        <v>10170</v>
      </c>
      <c r="AY440" s="6" t="s">
        <v>10171</v>
      </c>
      <c r="AZ440" s="6" t="s">
        <v>10172</v>
      </c>
      <c r="BA440" s="6" t="s">
        <v>10173</v>
      </c>
      <c r="BD440" s="6" t="s">
        <v>10174</v>
      </c>
      <c r="BE440" s="6" t="str">
        <f t="shared" si="12"/>
        <v>sas.com</v>
      </c>
      <c r="BF440" s="6" t="str">
        <f t="shared" si="13"/>
        <v>com</v>
      </c>
      <c r="BG440" s="6" t="s">
        <v>150</v>
      </c>
      <c r="BH440" s="6" t="s">
        <v>10175</v>
      </c>
      <c r="BK440" s="6" t="s">
        <v>10176</v>
      </c>
      <c r="BP440" s="6" t="s">
        <v>10177</v>
      </c>
      <c r="BQ440" s="6" t="s">
        <v>10178</v>
      </c>
      <c r="BR440" s="6" t="s">
        <v>105</v>
      </c>
    </row>
    <row r="441" spans="1:70" ht="45" customHeight="1" x14ac:dyDescent="0.25">
      <c r="A441" s="6">
        <v>441</v>
      </c>
      <c r="B441" s="7" t="s">
        <v>10179</v>
      </c>
      <c r="C441" s="8" t="s">
        <v>10180</v>
      </c>
      <c r="D441" s="6" t="s">
        <v>10181</v>
      </c>
      <c r="E441" s="6" t="s">
        <v>10182</v>
      </c>
      <c r="F441" s="8" t="s">
        <v>10183</v>
      </c>
      <c r="G441" s="6" t="s">
        <v>73</v>
      </c>
      <c r="H441" s="6" t="s">
        <v>74</v>
      </c>
      <c r="I441" s="6"/>
      <c r="J441" s="6" t="s">
        <v>10184</v>
      </c>
      <c r="K441" s="9">
        <v>2830</v>
      </c>
      <c r="L441" s="8" t="s">
        <v>10185</v>
      </c>
      <c r="M441" s="9">
        <v>5</v>
      </c>
      <c r="N441" s="6">
        <v>55.800095900000002</v>
      </c>
      <c r="O441" s="6">
        <v>12.495448100000001</v>
      </c>
      <c r="P441" s="6" t="s">
        <v>10186</v>
      </c>
      <c r="Q441" s="6">
        <v>1</v>
      </c>
      <c r="R441" s="6" t="s">
        <v>79</v>
      </c>
      <c r="T441" s="6"/>
      <c r="X441" s="6" t="s">
        <v>10187</v>
      </c>
      <c r="Y441" s="6" t="s">
        <v>10188</v>
      </c>
      <c r="Z441" s="6" t="s">
        <v>10189</v>
      </c>
      <c r="AA441" s="6" t="s">
        <v>10190</v>
      </c>
      <c r="AB441" s="6" t="s">
        <v>10191</v>
      </c>
      <c r="AC441" s="6">
        <v>541612</v>
      </c>
      <c r="AD441" s="10" t="str">
        <f>_xlfn.XLOOKUP(AC441,[1]Mapping!B:B,[1]Mapping!C:C,"")</f>
        <v xml:space="preserve">Human Resources Consulting Services </v>
      </c>
      <c r="AG441" s="6" t="s">
        <v>10192</v>
      </c>
      <c r="AH441" s="6" t="s">
        <v>10193</v>
      </c>
      <c r="AI441" s="6" t="s">
        <v>652</v>
      </c>
      <c r="AJ441" s="6" t="s">
        <v>293</v>
      </c>
      <c r="AK441" s="6" t="s">
        <v>294</v>
      </c>
      <c r="AL441" s="6" t="s">
        <v>295</v>
      </c>
      <c r="AM441" s="6" t="s">
        <v>296</v>
      </c>
      <c r="AN441" s="6" t="s">
        <v>297</v>
      </c>
      <c r="AO441" s="6" t="s">
        <v>298</v>
      </c>
      <c r="AQ441" s="6">
        <v>8748</v>
      </c>
      <c r="AR441" s="6" t="s">
        <v>6011</v>
      </c>
      <c r="AS441" s="6" t="s">
        <v>10194</v>
      </c>
      <c r="AT441" s="6">
        <v>7020</v>
      </c>
      <c r="AU441" s="6" t="s">
        <v>378</v>
      </c>
      <c r="AV441" s="6">
        <v>70.22</v>
      </c>
      <c r="AW441" s="6" t="s">
        <v>659</v>
      </c>
      <c r="AX441" s="6" t="s">
        <v>10195</v>
      </c>
      <c r="AY441" s="6" t="s">
        <v>10196</v>
      </c>
      <c r="AZ441" s="6">
        <v>4570221050</v>
      </c>
      <c r="BA441" s="6" t="s">
        <v>10197</v>
      </c>
      <c r="BB441" s="6" t="s">
        <v>10198</v>
      </c>
      <c r="BD441" s="6" t="s">
        <v>10199</v>
      </c>
      <c r="BE441" s="6" t="str">
        <f t="shared" si="12"/>
        <v>savilleconsulting.dk</v>
      </c>
      <c r="BF441" s="6" t="str">
        <f t="shared" si="13"/>
        <v>dk</v>
      </c>
      <c r="BG441" s="6" t="s">
        <v>123</v>
      </c>
      <c r="BI441" s="6" t="s">
        <v>10200</v>
      </c>
      <c r="BK441" s="6" t="s">
        <v>10201</v>
      </c>
      <c r="BN441" s="6" t="s">
        <v>10202</v>
      </c>
      <c r="BP441" s="6" t="s">
        <v>10203</v>
      </c>
      <c r="BQ441" s="6" t="s">
        <v>10204</v>
      </c>
      <c r="BR441" s="6" t="s">
        <v>105</v>
      </c>
    </row>
    <row r="442" spans="1:70" ht="45" customHeight="1" x14ac:dyDescent="0.25">
      <c r="A442" s="6">
        <v>442</v>
      </c>
      <c r="B442" s="7" t="s">
        <v>10205</v>
      </c>
      <c r="C442" s="8" t="s">
        <v>10206</v>
      </c>
      <c r="D442" s="6" t="s">
        <v>10207</v>
      </c>
      <c r="E442" s="8" t="s">
        <v>10208</v>
      </c>
      <c r="F442" s="8" t="s">
        <v>10208</v>
      </c>
      <c r="G442" s="6" t="s">
        <v>73</v>
      </c>
      <c r="H442" s="6" t="s">
        <v>74</v>
      </c>
      <c r="I442" s="6"/>
      <c r="J442" s="6" t="s">
        <v>1494</v>
      </c>
      <c r="K442" s="9">
        <v>2750</v>
      </c>
      <c r="L442" s="8" t="s">
        <v>1495</v>
      </c>
      <c r="M442" s="9">
        <v>1</v>
      </c>
      <c r="N442" s="6">
        <v>55.733059300000001</v>
      </c>
      <c r="O442" s="6">
        <v>12.391457000000001</v>
      </c>
      <c r="P442" s="6" t="s">
        <v>2395</v>
      </c>
      <c r="Q442" s="6">
        <v>1</v>
      </c>
      <c r="R442" s="6" t="s">
        <v>79</v>
      </c>
      <c r="T442" s="6"/>
      <c r="X442" s="6" t="s">
        <v>10209</v>
      </c>
      <c r="Y442" s="6" t="s">
        <v>10210</v>
      </c>
      <c r="Z442" s="6" t="s">
        <v>10211</v>
      </c>
      <c r="AB442" s="6" t="s">
        <v>10212</v>
      </c>
      <c r="AC442" s="6">
        <v>335313</v>
      </c>
      <c r="AD442" s="10" t="str">
        <f>_xlfn.XLOOKUP(AC442,[1]Mapping!B:B,[1]Mapping!C:C,"")</f>
        <v xml:space="preserve">Switchgear and Switchboard Apparatus Manufacturing </v>
      </c>
      <c r="AG442" s="6" t="s">
        <v>732</v>
      </c>
      <c r="AH442" s="6" t="s">
        <v>432</v>
      </c>
      <c r="AI442" s="6" t="s">
        <v>733</v>
      </c>
      <c r="AJ442" s="6" t="s">
        <v>432</v>
      </c>
      <c r="AK442" s="6" t="s">
        <v>433</v>
      </c>
      <c r="AL442" s="6" t="s">
        <v>434</v>
      </c>
      <c r="AM442" s="6" t="s">
        <v>435</v>
      </c>
      <c r="AN442" s="6" t="s">
        <v>436</v>
      </c>
      <c r="AO442" s="6" t="s">
        <v>437</v>
      </c>
      <c r="AQ442" s="6">
        <v>3613</v>
      </c>
      <c r="AR442" s="6" t="s">
        <v>10213</v>
      </c>
      <c r="AS442" s="6" t="s">
        <v>10214</v>
      </c>
      <c r="AT442" s="6">
        <v>2710</v>
      </c>
      <c r="AU442" s="6" t="s">
        <v>737</v>
      </c>
      <c r="AV442" s="6" t="s">
        <v>738</v>
      </c>
      <c r="AW442" s="6" t="s">
        <v>739</v>
      </c>
      <c r="AX442" s="6" t="s">
        <v>10215</v>
      </c>
      <c r="AY442" s="6" t="s">
        <v>10216</v>
      </c>
      <c r="AZ442" s="6">
        <v>4520406080</v>
      </c>
      <c r="BD442" s="6" t="s">
        <v>10217</v>
      </c>
      <c r="BE442" s="6" t="str">
        <f t="shared" si="12"/>
        <v>se.com</v>
      </c>
      <c r="BF442" s="6" t="str">
        <f t="shared" si="13"/>
        <v>com</v>
      </c>
      <c r="BG442" s="6" t="s">
        <v>123</v>
      </c>
      <c r="BH442" s="6" t="s">
        <v>10218</v>
      </c>
      <c r="BI442" s="6" t="s">
        <v>10219</v>
      </c>
      <c r="BJ442" s="6" t="s">
        <v>10220</v>
      </c>
      <c r="BK442" s="6" t="s">
        <v>4081</v>
      </c>
      <c r="BN442" s="6" t="s">
        <v>10221</v>
      </c>
      <c r="BP442" s="6" t="s">
        <v>10222</v>
      </c>
      <c r="BQ442" s="6" t="s">
        <v>10223</v>
      </c>
      <c r="BR442" s="6" t="s">
        <v>105</v>
      </c>
    </row>
    <row r="443" spans="1:70" ht="45" customHeight="1" x14ac:dyDescent="0.25">
      <c r="A443" s="6">
        <v>443</v>
      </c>
      <c r="B443" s="7" t="s">
        <v>10224</v>
      </c>
      <c r="C443" s="8" t="s">
        <v>10225</v>
      </c>
      <c r="D443" s="6" t="s">
        <v>10224</v>
      </c>
      <c r="E443" s="8" t="s">
        <v>10224</v>
      </c>
      <c r="F443" s="8" t="s">
        <v>10226</v>
      </c>
      <c r="G443" s="6" t="s">
        <v>160</v>
      </c>
      <c r="H443" s="6" t="s">
        <v>161</v>
      </c>
      <c r="I443" s="8" t="s">
        <v>281</v>
      </c>
      <c r="J443" s="6" t="s">
        <v>282</v>
      </c>
      <c r="K443" s="9" t="s">
        <v>10227</v>
      </c>
      <c r="L443" s="8" t="s">
        <v>10228</v>
      </c>
      <c r="M443" s="9" t="s">
        <v>10229</v>
      </c>
      <c r="N443" s="6">
        <v>59.336015199999999</v>
      </c>
      <c r="O443" s="6">
        <v>18.0753223</v>
      </c>
      <c r="R443" s="6" t="s">
        <v>79</v>
      </c>
      <c r="T443" s="6"/>
      <c r="X443" s="6" t="s">
        <v>10230</v>
      </c>
      <c r="AA443" s="6" t="s">
        <v>10231</v>
      </c>
      <c r="AC443" s="6">
        <v>513210</v>
      </c>
      <c r="AD443" s="10" t="str">
        <f>_xlfn.XLOOKUP(AC443,[1]Mapping!B:B,[1]Mapping!C:C,"")</f>
        <v>Software Publishers</v>
      </c>
      <c r="AG443" s="6" t="s">
        <v>581</v>
      </c>
      <c r="AH443" s="6" t="s">
        <v>174</v>
      </c>
      <c r="AI443" s="6" t="s">
        <v>87</v>
      </c>
      <c r="AJ443" s="6" t="s">
        <v>174</v>
      </c>
      <c r="AK443" s="6" t="s">
        <v>175</v>
      </c>
      <c r="AL443" s="6" t="s">
        <v>176</v>
      </c>
      <c r="AM443" s="6" t="s">
        <v>177</v>
      </c>
      <c r="AN443" s="6" t="s">
        <v>91</v>
      </c>
      <c r="AO443" s="6" t="s">
        <v>92</v>
      </c>
      <c r="AQ443" s="6">
        <v>7372</v>
      </c>
      <c r="AR443" s="6" t="s">
        <v>2026</v>
      </c>
      <c r="AT443" s="6">
        <v>5820</v>
      </c>
      <c r="AU443" s="6" t="s">
        <v>2028</v>
      </c>
      <c r="AV443" s="6" t="s">
        <v>2029</v>
      </c>
      <c r="AW443" s="6" t="s">
        <v>2030</v>
      </c>
      <c r="AY443" s="6" t="s">
        <v>10232</v>
      </c>
      <c r="BA443" s="6" t="s">
        <v>10233</v>
      </c>
      <c r="BD443" s="6" t="s">
        <v>10234</v>
      </c>
      <c r="BE443" s="6" t="str">
        <f t="shared" si="12"/>
        <v>scrive.com</v>
      </c>
      <c r="BF443" s="6" t="str">
        <f t="shared" si="13"/>
        <v>com</v>
      </c>
      <c r="BG443" s="6" t="s">
        <v>101</v>
      </c>
      <c r="BH443" s="6" t="s">
        <v>10235</v>
      </c>
      <c r="BJ443" s="6" t="s">
        <v>10236</v>
      </c>
      <c r="BK443" s="6" t="s">
        <v>10237</v>
      </c>
      <c r="BN443" s="6" t="s">
        <v>10238</v>
      </c>
      <c r="BQ443" s="6" t="s">
        <v>10239</v>
      </c>
      <c r="BR443" s="6" t="s">
        <v>105</v>
      </c>
    </row>
    <row r="444" spans="1:70" ht="45" customHeight="1" x14ac:dyDescent="0.25">
      <c r="A444" s="6">
        <v>444</v>
      </c>
      <c r="B444" s="7" t="s">
        <v>10240</v>
      </c>
      <c r="C444" s="8" t="s">
        <v>10241</v>
      </c>
      <c r="D444" s="6" t="s">
        <v>10242</v>
      </c>
      <c r="E444" s="8" t="s">
        <v>10243</v>
      </c>
      <c r="F444" s="8" t="s">
        <v>10243</v>
      </c>
      <c r="G444" s="6" t="s">
        <v>1881</v>
      </c>
      <c r="H444" s="6" t="s">
        <v>1882</v>
      </c>
      <c r="I444" s="6" t="s">
        <v>2226</v>
      </c>
      <c r="J444" s="6" t="s">
        <v>2227</v>
      </c>
      <c r="K444" s="9" t="s">
        <v>10244</v>
      </c>
      <c r="L444" s="8" t="s">
        <v>10245</v>
      </c>
      <c r="M444" s="9">
        <v>3</v>
      </c>
      <c r="N444" s="6">
        <v>52.313258300000001</v>
      </c>
      <c r="O444" s="6">
        <v>4.9488332000000002</v>
      </c>
      <c r="P444" s="6" t="s">
        <v>10246</v>
      </c>
      <c r="Q444" s="6">
        <v>1</v>
      </c>
      <c r="R444" s="6" t="s">
        <v>79</v>
      </c>
      <c r="T444" s="6"/>
      <c r="X444" s="6" t="s">
        <v>10247</v>
      </c>
      <c r="Y444" s="6" t="s">
        <v>10248</v>
      </c>
      <c r="Z444" s="6" t="s">
        <v>10249</v>
      </c>
      <c r="AA444" s="6" t="s">
        <v>10250</v>
      </c>
      <c r="AB444" s="6" t="s">
        <v>10251</v>
      </c>
      <c r="AC444" s="6">
        <v>513210</v>
      </c>
      <c r="AD444" s="10" t="str">
        <f>_xlfn.XLOOKUP(AC444,[1]Mapping!B:B,[1]Mapping!C:C,"")</f>
        <v>Software Publishers</v>
      </c>
      <c r="AG444" s="6" t="s">
        <v>10252</v>
      </c>
      <c r="AH444" s="6" t="s">
        <v>10253</v>
      </c>
      <c r="AI444" s="6" t="s">
        <v>499</v>
      </c>
      <c r="AQ444" s="6">
        <v>7372</v>
      </c>
      <c r="AR444" s="6" t="s">
        <v>2077</v>
      </c>
      <c r="AS444" s="6" t="s">
        <v>1973</v>
      </c>
      <c r="AT444" s="6">
        <v>5820</v>
      </c>
      <c r="AU444" s="6" t="s">
        <v>2028</v>
      </c>
      <c r="AV444" s="6">
        <v>58.29</v>
      </c>
      <c r="AW444" s="6" t="s">
        <v>2078</v>
      </c>
      <c r="AX444" s="6" t="s">
        <v>1974</v>
      </c>
      <c r="AY444" s="6" t="s">
        <v>10254</v>
      </c>
      <c r="AZ444" s="6">
        <v>31205655500</v>
      </c>
      <c r="BD444" s="6" t="s">
        <v>10255</v>
      </c>
      <c r="BE444" s="6" t="str">
        <f t="shared" si="12"/>
        <v>servicenow.nl</v>
      </c>
      <c r="BF444" s="6" t="str">
        <f t="shared" si="13"/>
        <v>nl</v>
      </c>
      <c r="BG444" s="6" t="s">
        <v>101</v>
      </c>
      <c r="BH444" s="6" t="s">
        <v>10256</v>
      </c>
      <c r="BP444" s="6" t="s">
        <v>10257</v>
      </c>
      <c r="BQ444" s="6" t="s">
        <v>10258</v>
      </c>
      <c r="BR444" s="6" t="s">
        <v>105</v>
      </c>
    </row>
    <row r="445" spans="1:70" ht="45" customHeight="1" x14ac:dyDescent="0.25">
      <c r="A445" s="6">
        <v>445</v>
      </c>
      <c r="B445" s="7" t="s">
        <v>10259</v>
      </c>
      <c r="C445" s="8" t="s">
        <v>10260</v>
      </c>
      <c r="D445" s="6" t="s">
        <v>10261</v>
      </c>
      <c r="E445" s="6" t="s">
        <v>10262</v>
      </c>
      <c r="F445" s="8" t="s">
        <v>10263</v>
      </c>
      <c r="G445" s="6" t="s">
        <v>570</v>
      </c>
      <c r="H445" s="6" t="s">
        <v>571</v>
      </c>
      <c r="I445" s="6" t="s">
        <v>572</v>
      </c>
      <c r="J445" s="6" t="s">
        <v>2367</v>
      </c>
      <c r="K445" s="9" t="s">
        <v>10264</v>
      </c>
      <c r="L445" s="8" t="s">
        <v>10265</v>
      </c>
      <c r="N445" s="6">
        <v>53.347637599999999</v>
      </c>
      <c r="O445" s="6">
        <v>-6.2358797999999993</v>
      </c>
      <c r="P445" s="6" t="s">
        <v>10266</v>
      </c>
      <c r="Q445" s="6">
        <v>1</v>
      </c>
      <c r="R445" s="6" t="s">
        <v>79</v>
      </c>
      <c r="S445" s="6">
        <v>1981</v>
      </c>
      <c r="T445" s="6">
        <v>201486</v>
      </c>
      <c r="U445" s="6" t="s">
        <v>167</v>
      </c>
      <c r="V445" s="6">
        <v>1</v>
      </c>
      <c r="W445" s="6" t="s">
        <v>167</v>
      </c>
      <c r="X445" s="6" t="s">
        <v>10015</v>
      </c>
      <c r="Y445" s="6" t="s">
        <v>10267</v>
      </c>
      <c r="Z445" s="6" t="s">
        <v>10268</v>
      </c>
      <c r="AA445" s="6" t="s">
        <v>10269</v>
      </c>
      <c r="AC445" s="6">
        <v>925120</v>
      </c>
      <c r="AD445" s="10" t="str">
        <f>_xlfn.XLOOKUP(AC445,[1]Mapping!B:B,[1]Mapping!C:C,"")</f>
        <v xml:space="preserve">Administration of Urban Planning and Community and Rural Development </v>
      </c>
      <c r="AG445" s="6" t="s">
        <v>10270</v>
      </c>
      <c r="AH445" s="6" t="s">
        <v>10271</v>
      </c>
      <c r="AI445" s="6" t="s">
        <v>10271</v>
      </c>
      <c r="AQ445" s="6">
        <v>9532</v>
      </c>
      <c r="AR445" s="6" t="s">
        <v>10272</v>
      </c>
      <c r="AT445" s="6">
        <v>8413</v>
      </c>
      <c r="AU445" s="6" t="s">
        <v>10273</v>
      </c>
      <c r="AV445" s="6">
        <v>84.13</v>
      </c>
      <c r="AW445" s="6" t="s">
        <v>10273</v>
      </c>
      <c r="AY445" s="6">
        <v>17034953118</v>
      </c>
      <c r="AZ445" s="6" t="s">
        <v>10274</v>
      </c>
      <c r="BA445" s="6" t="s">
        <v>10275</v>
      </c>
      <c r="BB445" s="6" t="s">
        <v>10275</v>
      </c>
      <c r="BD445" s="6" t="s">
        <v>10276</v>
      </c>
      <c r="BE445" s="6" t="str">
        <f t="shared" si="12"/>
        <v>salesforce.com</v>
      </c>
      <c r="BF445" s="6" t="str">
        <f t="shared" si="13"/>
        <v>com</v>
      </c>
      <c r="BG445" s="6" t="s">
        <v>101</v>
      </c>
      <c r="BH445" s="6" t="s">
        <v>10277</v>
      </c>
      <c r="BI445" s="6" t="s">
        <v>10278</v>
      </c>
      <c r="BJ445" s="6" t="s">
        <v>10279</v>
      </c>
      <c r="BK445" s="6" t="s">
        <v>10280</v>
      </c>
      <c r="BP445" s="6" t="s">
        <v>10281</v>
      </c>
      <c r="BQ445" s="6" t="s">
        <v>10282</v>
      </c>
      <c r="BR445" s="6" t="s">
        <v>105</v>
      </c>
    </row>
    <row r="446" spans="1:70" ht="45" customHeight="1" x14ac:dyDescent="0.25">
      <c r="A446" s="6">
        <v>446</v>
      </c>
      <c r="B446" s="7" t="s">
        <v>10283</v>
      </c>
      <c r="C446" s="8" t="s">
        <v>10284</v>
      </c>
      <c r="D446" s="6" t="s">
        <v>10285</v>
      </c>
      <c r="E446" s="8" t="s">
        <v>10283</v>
      </c>
      <c r="F446" s="8" t="s">
        <v>10286</v>
      </c>
      <c r="G446" s="6" t="s">
        <v>10287</v>
      </c>
      <c r="H446" s="6" t="s">
        <v>10288</v>
      </c>
      <c r="I446" s="8" t="s">
        <v>10289</v>
      </c>
      <c r="J446" s="6" t="s">
        <v>10289</v>
      </c>
      <c r="L446" s="8" t="s">
        <v>10290</v>
      </c>
      <c r="M446" s="9">
        <v>1768</v>
      </c>
      <c r="N446" s="6">
        <v>24.9853773</v>
      </c>
      <c r="O446" s="6">
        <v>55.090084099999999</v>
      </c>
      <c r="P446" s="6" t="s">
        <v>10291</v>
      </c>
      <c r="Q446" s="6">
        <v>1</v>
      </c>
      <c r="R446" s="6" t="s">
        <v>79</v>
      </c>
      <c r="T446" s="6">
        <v>204504</v>
      </c>
      <c r="U446" s="6" t="s">
        <v>80</v>
      </c>
      <c r="V446" s="6">
        <v>3</v>
      </c>
      <c r="W446" s="6" t="s">
        <v>167</v>
      </c>
      <c r="X446" s="6" t="s">
        <v>10292</v>
      </c>
      <c r="Y446" s="6" t="s">
        <v>10293</v>
      </c>
      <c r="Z446" s="6" t="s">
        <v>10294</v>
      </c>
      <c r="AA446" s="6" t="s">
        <v>10295</v>
      </c>
      <c r="AB446" s="6" t="s">
        <v>10296</v>
      </c>
      <c r="AC446" s="6">
        <v>711211</v>
      </c>
      <c r="AD446" s="1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
      </c>
      <c r="AO446" s="6" t="s">
        <v>298</v>
      </c>
      <c r="AQ446" s="6">
        <v>7941</v>
      </c>
      <c r="AR446" s="6" t="s">
        <v>10299</v>
      </c>
      <c r="AS446" s="6" t="s">
        <v>10300</v>
      </c>
      <c r="AT446" s="6">
        <v>9312</v>
      </c>
      <c r="AU446" s="6" t="s">
        <v>10301</v>
      </c>
      <c r="AV446" s="6">
        <v>93.12</v>
      </c>
      <c r="AW446" s="6" t="s">
        <v>10301</v>
      </c>
      <c r="AX446" s="6" t="s">
        <v>10302</v>
      </c>
      <c r="AY446" s="6" t="s">
        <v>10303</v>
      </c>
      <c r="AZ446" s="6">
        <v>8615150000000</v>
      </c>
      <c r="BA446" s="6" t="s">
        <v>10304</v>
      </c>
      <c r="BD446" s="6" t="s">
        <v>10305</v>
      </c>
      <c r="BE446" s="6" t="str">
        <f t="shared" si="12"/>
        <v>sacredsun.com</v>
      </c>
      <c r="BF446" s="6" t="str">
        <f t="shared" si="13"/>
        <v>com</v>
      </c>
      <c r="BG446" s="6" t="s">
        <v>101</v>
      </c>
      <c r="BH446" s="6" t="s">
        <v>10306</v>
      </c>
      <c r="BJ446" s="6" t="s">
        <v>10307</v>
      </c>
      <c r="BN446" s="6" t="s">
        <v>10308</v>
      </c>
      <c r="BP446" s="6" t="s">
        <v>10309</v>
      </c>
      <c r="BQ446" s="6" t="s">
        <v>10310</v>
      </c>
      <c r="BR446" s="6" t="s">
        <v>105</v>
      </c>
    </row>
    <row r="447" spans="1:70" ht="45" customHeight="1" x14ac:dyDescent="0.25">
      <c r="A447" s="6">
        <v>447</v>
      </c>
      <c r="B447" s="7" t="s">
        <v>10311</v>
      </c>
      <c r="C447" s="8" t="s">
        <v>10312</v>
      </c>
      <c r="D447" s="6" t="s">
        <v>10313</v>
      </c>
      <c r="E447" s="8" t="s">
        <v>10314</v>
      </c>
      <c r="F447" s="8" t="s">
        <v>10314</v>
      </c>
      <c r="G447" s="6" t="s">
        <v>452</v>
      </c>
      <c r="H447" s="6" t="s">
        <v>453</v>
      </c>
      <c r="I447" s="6" t="s">
        <v>10315</v>
      </c>
      <c r="J447" s="6" t="s">
        <v>10316</v>
      </c>
      <c r="K447" s="9">
        <v>518118</v>
      </c>
      <c r="L447" s="8" t="s">
        <v>10317</v>
      </c>
      <c r="M447" s="9" t="s">
        <v>10318</v>
      </c>
      <c r="N447" s="6">
        <v>22.685512800000001</v>
      </c>
      <c r="O447" s="6">
        <v>114.3836774</v>
      </c>
      <c r="P447" s="6" t="s">
        <v>10319</v>
      </c>
      <c r="Q447" s="6">
        <v>1</v>
      </c>
      <c r="R447" s="6" t="s">
        <v>79</v>
      </c>
      <c r="T447" s="6">
        <v>4832129</v>
      </c>
      <c r="U447" s="6" t="s">
        <v>80</v>
      </c>
      <c r="V447" s="6">
        <v>75</v>
      </c>
      <c r="W447" s="6" t="s">
        <v>80</v>
      </c>
      <c r="X447" s="6" t="s">
        <v>10320</v>
      </c>
      <c r="Y447" s="6" t="s">
        <v>10321</v>
      </c>
      <c r="Z447" s="6" t="s">
        <v>10322</v>
      </c>
      <c r="AA447" s="6" t="s">
        <v>10323</v>
      </c>
      <c r="AB447" s="6" t="s">
        <v>10324</v>
      </c>
      <c r="AC447" s="6">
        <v>33591</v>
      </c>
      <c r="AD447" s="10" t="str">
        <f>_xlfn.XLOOKUP(AC447,[1]Mapping!B:B,[1]Mapping!C:C,"")</f>
        <v xml:space="preserve">Battery ManufacturingT </v>
      </c>
      <c r="AG447" s="6" t="s">
        <v>10325</v>
      </c>
      <c r="AH447" s="6" t="s">
        <v>10326</v>
      </c>
      <c r="AI447" s="6" t="s">
        <v>431</v>
      </c>
      <c r="AJ447" s="6" t="s">
        <v>1241</v>
      </c>
      <c r="AK447" s="6" t="s">
        <v>1242</v>
      </c>
      <c r="AL447" s="6" t="s">
        <v>219</v>
      </c>
      <c r="AM447" s="6" t="s">
        <v>220</v>
      </c>
      <c r="AN447" s="6" t="s">
        <v>221</v>
      </c>
      <c r="AO447" s="6" t="s">
        <v>222</v>
      </c>
      <c r="AQ447" s="6">
        <v>3691</v>
      </c>
      <c r="AR447" s="6" t="s">
        <v>10327</v>
      </c>
      <c r="AS447" s="6" t="s">
        <v>10328</v>
      </c>
      <c r="AT447" s="6">
        <v>2720</v>
      </c>
      <c r="AU447" s="6" t="s">
        <v>1246</v>
      </c>
      <c r="AV447" s="6">
        <v>27.2</v>
      </c>
      <c r="AW447" s="6" t="s">
        <v>1246</v>
      </c>
      <c r="AX447" s="6" t="s">
        <v>10329</v>
      </c>
      <c r="AY447" s="6" t="s">
        <v>10330</v>
      </c>
      <c r="AZ447" s="6">
        <v>8619520000000</v>
      </c>
      <c r="BA447" s="6" t="s">
        <v>10331</v>
      </c>
      <c r="BD447" s="6" t="s">
        <v>10332</v>
      </c>
      <c r="BE447" s="6" t="str">
        <f t="shared" si="12"/>
        <v>smachpower.com</v>
      </c>
      <c r="BF447" s="6" t="str">
        <f t="shared" si="13"/>
        <v>com</v>
      </c>
      <c r="BG447" s="6" t="s">
        <v>101</v>
      </c>
      <c r="BP447" s="6" t="s">
        <v>10333</v>
      </c>
      <c r="BQ447" s="6" t="s">
        <v>10334</v>
      </c>
      <c r="BR447" s="6" t="s">
        <v>105</v>
      </c>
    </row>
    <row r="448" spans="1:70" ht="45" customHeight="1" x14ac:dyDescent="0.25">
      <c r="A448" s="6">
        <v>448</v>
      </c>
      <c r="B448" s="7" t="s">
        <v>10335</v>
      </c>
      <c r="C448" s="8" t="s">
        <v>10336</v>
      </c>
      <c r="D448" s="6" t="s">
        <v>10335</v>
      </c>
      <c r="E448" s="8" t="s">
        <v>10335</v>
      </c>
      <c r="F448" s="8" t="s">
        <v>10335</v>
      </c>
      <c r="G448" s="6" t="e">
        <f>#REF!</f>
        <v>#REF!</v>
      </c>
      <c r="H448" s="6" t="e">
        <f>#REF!</f>
        <v>#REF!</v>
      </c>
      <c r="I448" s="6" t="e">
        <f>#REF!</f>
        <v>#REF!</v>
      </c>
      <c r="J448" s="6" t="e">
        <f>#REF!</f>
        <v>#REF!</v>
      </c>
      <c r="K448" s="9" t="e">
        <f>#REF!</f>
        <v>#REF!</v>
      </c>
      <c r="L448" s="8" t="s">
        <v>10337</v>
      </c>
      <c r="P448" s="6" t="s">
        <v>10338</v>
      </c>
      <c r="Q448" s="6">
        <v>1</v>
      </c>
      <c r="R448" s="6" t="s">
        <v>79</v>
      </c>
      <c r="S448" s="6">
        <v>2013</v>
      </c>
      <c r="T448" s="6">
        <v>1622301</v>
      </c>
      <c r="U448" s="6" t="s">
        <v>80</v>
      </c>
      <c r="V448" s="6">
        <v>31</v>
      </c>
      <c r="W448" s="6" t="s">
        <v>80</v>
      </c>
      <c r="X448" s="6" t="s">
        <v>10339</v>
      </c>
      <c r="Y448" s="6" t="s">
        <v>10340</v>
      </c>
      <c r="Z448" s="6" t="s">
        <v>10341</v>
      </c>
      <c r="AA448" s="6" t="s">
        <v>10342</v>
      </c>
      <c r="AB448" s="6" t="s">
        <v>10343</v>
      </c>
      <c r="AC448" s="6">
        <v>334310</v>
      </c>
      <c r="AD448" s="10" t="str">
        <f>_xlfn.XLOOKUP(AC448,[1]Mapping!B:B,[1]Mapping!C:C,"")</f>
        <v>Audio and Video Equipment Manufacturing</v>
      </c>
      <c r="AG448" s="6" t="s">
        <v>10344</v>
      </c>
      <c r="AH448" s="6" t="s">
        <v>965</v>
      </c>
      <c r="AI448" s="6" t="s">
        <v>733</v>
      </c>
      <c r="AJ448" s="6" t="s">
        <v>1467</v>
      </c>
      <c r="AK448" s="6" t="s">
        <v>1468</v>
      </c>
      <c r="AL448" s="6" t="s">
        <v>1469</v>
      </c>
      <c r="AM448" s="6" t="s">
        <v>1470</v>
      </c>
      <c r="AN448" s="6" t="s">
        <v>259</v>
      </c>
      <c r="AO448" s="6" t="s">
        <v>260</v>
      </c>
      <c r="AQ448" s="6" t="s">
        <v>4096</v>
      </c>
      <c r="AR448" s="6" t="s">
        <v>4097</v>
      </c>
      <c r="AT448" s="6">
        <v>2640</v>
      </c>
      <c r="AU448" s="6" t="s">
        <v>4099</v>
      </c>
      <c r="AV448" s="6">
        <v>26.4</v>
      </c>
      <c r="AW448" s="6" t="s">
        <v>4099</v>
      </c>
      <c r="BA448" s="6" t="s">
        <v>10345</v>
      </c>
      <c r="BD448" s="6" t="s">
        <v>10346</v>
      </c>
      <c r="BE448" s="6" t="str">
        <f t="shared" si="12"/>
        <v>aomiou.en.alibaba.com</v>
      </c>
      <c r="BF448" s="6" t="str">
        <f t="shared" si="13"/>
        <v>com</v>
      </c>
      <c r="BG448" s="6" t="s">
        <v>101</v>
      </c>
      <c r="BL448" s="6" t="s">
        <v>10347</v>
      </c>
      <c r="BM448" s="6" t="s">
        <v>10348</v>
      </c>
      <c r="BP448" s="6" t="s">
        <v>10349</v>
      </c>
      <c r="BQ448" s="6" t="s">
        <v>10350</v>
      </c>
      <c r="BR448" s="6" t="s">
        <v>105</v>
      </c>
    </row>
    <row r="449" spans="1:70" ht="45" customHeight="1" x14ac:dyDescent="0.25">
      <c r="A449" s="6">
        <v>449</v>
      </c>
      <c r="B449" s="7" t="s">
        <v>10351</v>
      </c>
      <c r="C449" s="8" t="s">
        <v>10352</v>
      </c>
      <c r="D449" s="6" t="s">
        <v>10353</v>
      </c>
      <c r="E449" s="8" t="s">
        <v>10351</v>
      </c>
      <c r="F449" s="8" t="s">
        <v>10354</v>
      </c>
      <c r="G449" s="6" t="s">
        <v>452</v>
      </c>
      <c r="H449" s="6" t="s">
        <v>453</v>
      </c>
      <c r="I449" s="8" t="s">
        <v>10315</v>
      </c>
      <c r="J449" s="6" t="s">
        <v>10316</v>
      </c>
      <c r="K449" s="9">
        <v>518071</v>
      </c>
      <c r="L449" s="8" t="s">
        <v>10355</v>
      </c>
      <c r="N449" s="6">
        <v>22.6180001</v>
      </c>
      <c r="O449" s="6">
        <v>113.976849</v>
      </c>
      <c r="P449" s="6" t="s">
        <v>10356</v>
      </c>
      <c r="Q449" s="6">
        <v>1</v>
      </c>
      <c r="R449" s="6" t="s">
        <v>79</v>
      </c>
      <c r="S449" s="6">
        <v>2003</v>
      </c>
      <c r="T449" s="6"/>
      <c r="X449" s="6" t="s">
        <v>10357</v>
      </c>
      <c r="Y449" s="6" t="s">
        <v>10358</v>
      </c>
      <c r="Z449" s="6" t="s">
        <v>10359</v>
      </c>
      <c r="AA449" s="6" t="s">
        <v>10360</v>
      </c>
      <c r="AB449" s="6" t="s">
        <v>10361</v>
      </c>
      <c r="AC449" s="6">
        <v>334220</v>
      </c>
      <c r="AD449" s="10" t="str">
        <f>_xlfn.XLOOKUP(AC449,[1]Mapping!B:B,[1]Mapping!C:C,"")</f>
        <v>Radio and Television Broadcasting and Wireless Communications Equipment Manufacturing</v>
      </c>
      <c r="AE449" s="6">
        <v>516210</v>
      </c>
      <c r="AF449" s="6" t="s">
        <v>7653</v>
      </c>
      <c r="AG449" s="6" t="s">
        <v>964</v>
      </c>
      <c r="AH449" s="6" t="s">
        <v>965</v>
      </c>
      <c r="AI449" s="6" t="s">
        <v>733</v>
      </c>
      <c r="AJ449" s="6" t="s">
        <v>1502</v>
      </c>
      <c r="AK449" s="6" t="s">
        <v>1503</v>
      </c>
      <c r="AL449" s="6" t="s">
        <v>176</v>
      </c>
      <c r="AM449" s="6" t="s">
        <v>177</v>
      </c>
      <c r="AN449" s="6" t="s">
        <v>91</v>
      </c>
      <c r="AO449" s="6" t="s">
        <v>92</v>
      </c>
      <c r="AQ449" s="6" t="s">
        <v>1720</v>
      </c>
      <c r="AR449" s="6" t="s">
        <v>1721</v>
      </c>
      <c r="AS449" s="6" t="s">
        <v>10362</v>
      </c>
      <c r="AT449" s="6" t="s">
        <v>1722</v>
      </c>
      <c r="AU449" s="6" t="s">
        <v>1723</v>
      </c>
      <c r="AV449" s="6" t="s">
        <v>1724</v>
      </c>
      <c r="AW449" s="6" t="s">
        <v>1725</v>
      </c>
      <c r="AX449" s="6" t="s">
        <v>10363</v>
      </c>
      <c r="AY449" s="6">
        <v>8618930000000</v>
      </c>
      <c r="AZ449" s="6" t="s">
        <v>10364</v>
      </c>
      <c r="BA449" s="6" t="s">
        <v>10365</v>
      </c>
      <c r="BD449" s="6" t="s">
        <v>10366</v>
      </c>
      <c r="BE449" s="6" t="str">
        <f t="shared" si="12"/>
        <v>sdmcdevice.com</v>
      </c>
      <c r="BF449" s="6" t="str">
        <f t="shared" si="13"/>
        <v>com</v>
      </c>
      <c r="BG449" s="6" t="s">
        <v>101</v>
      </c>
      <c r="BH449" s="6" t="s">
        <v>10367</v>
      </c>
      <c r="BI449" s="6" t="s">
        <v>10368</v>
      </c>
      <c r="BK449" s="6" t="s">
        <v>10369</v>
      </c>
      <c r="BN449" s="6" t="s">
        <v>10370</v>
      </c>
      <c r="BP449" s="6" t="s">
        <v>10371</v>
      </c>
      <c r="BQ449" s="6" t="s">
        <v>10372</v>
      </c>
      <c r="BR449" s="6" t="s">
        <v>105</v>
      </c>
    </row>
    <row r="450" spans="1:70" ht="45" customHeight="1" x14ac:dyDescent="0.25">
      <c r="A450" s="6">
        <v>450</v>
      </c>
      <c r="B450" s="7" t="s">
        <v>10373</v>
      </c>
      <c r="C450" s="8" t="s">
        <v>10374</v>
      </c>
      <c r="D450" s="6" t="s">
        <v>10375</v>
      </c>
      <c r="E450" s="8" t="s">
        <v>10376</v>
      </c>
      <c r="F450" s="8" t="s">
        <v>10376</v>
      </c>
      <c r="G450" s="6" t="s">
        <v>452</v>
      </c>
      <c r="H450" s="6" t="s">
        <v>453</v>
      </c>
      <c r="I450" s="6" t="s">
        <v>10315</v>
      </c>
      <c r="J450" s="6" t="s">
        <v>10316</v>
      </c>
      <c r="K450" s="9">
        <v>518028</v>
      </c>
      <c r="L450" s="8" t="s">
        <v>10377</v>
      </c>
      <c r="M450" s="9">
        <v>4019</v>
      </c>
      <c r="N450" s="6">
        <v>22.542282</v>
      </c>
      <c r="O450" s="6">
        <v>114.08895800000001</v>
      </c>
      <c r="P450" s="6" t="s">
        <v>10378</v>
      </c>
      <c r="Q450" s="6">
        <v>1</v>
      </c>
      <c r="R450" s="6" t="s">
        <v>79</v>
      </c>
      <c r="T450" s="6"/>
      <c r="X450" s="6" t="s">
        <v>10379</v>
      </c>
      <c r="Y450" s="6" t="s">
        <v>10380</v>
      </c>
      <c r="Z450" s="6" t="s">
        <v>10381</v>
      </c>
      <c r="AC450" s="10">
        <f>_xlfn.XLOOKUP(AH450,[1]Mapping!C:C,[1]Mapping!B:B,"",1)</f>
        <v>532210</v>
      </c>
      <c r="AD450" s="10" t="str">
        <f>_xlfn.XLOOKUP(AC450,[1]Mapping!B:B,[1]Mapping!C:C,"")</f>
        <v>Consumer Electronics and Appliances Rental</v>
      </c>
      <c r="AG450" s="6" t="s">
        <v>964</v>
      </c>
      <c r="AH450" s="6" t="s">
        <v>965</v>
      </c>
      <c r="AI450" s="6" t="s">
        <v>733</v>
      </c>
      <c r="AY450" s="6" t="s">
        <v>10382</v>
      </c>
      <c r="AZ450" s="6">
        <v>8675580000000</v>
      </c>
      <c r="BD450" s="6" t="s">
        <v>10383</v>
      </c>
      <c r="BE450" s="6" t="str">
        <f t="shared" si="12"/>
        <v>skyworthdigital.com</v>
      </c>
      <c r="BF450" s="6" t="str">
        <f t="shared" si="13"/>
        <v>com</v>
      </c>
      <c r="BG450" s="6" t="s">
        <v>101</v>
      </c>
      <c r="BI450" s="6" t="s">
        <v>10384</v>
      </c>
      <c r="BQ450" s="6" t="s">
        <v>10385</v>
      </c>
      <c r="BR450" s="6" t="s">
        <v>105</v>
      </c>
    </row>
    <row r="451" spans="1:70" ht="45" customHeight="1" x14ac:dyDescent="0.25">
      <c r="A451" s="6">
        <v>451</v>
      </c>
      <c r="B451" s="7" t="s">
        <v>10386</v>
      </c>
      <c r="C451" s="8" t="s">
        <v>10387</v>
      </c>
      <c r="D451" s="6" t="s">
        <v>10388</v>
      </c>
      <c r="E451" s="6" t="s">
        <v>10389</v>
      </c>
      <c r="F451" s="8" t="s">
        <v>10390</v>
      </c>
      <c r="G451" s="6" t="s">
        <v>840</v>
      </c>
      <c r="H451" s="6" t="s">
        <v>841</v>
      </c>
      <c r="I451" s="6" t="s">
        <v>842</v>
      </c>
      <c r="J451" s="6" t="s">
        <v>10391</v>
      </c>
      <c r="K451" s="9" t="s">
        <v>10392</v>
      </c>
      <c r="L451" s="8" t="s">
        <v>10393</v>
      </c>
      <c r="N451" s="6">
        <v>51.495407099999987</v>
      </c>
      <c r="O451" s="6">
        <v>0.230494</v>
      </c>
      <c r="P451" s="6" t="s">
        <v>10394</v>
      </c>
      <c r="Q451" s="6">
        <v>1</v>
      </c>
      <c r="R451" s="6" t="s">
        <v>79</v>
      </c>
      <c r="T451" s="6">
        <v>11527679</v>
      </c>
      <c r="U451" s="6" t="s">
        <v>80</v>
      </c>
      <c r="V451" s="6">
        <v>75</v>
      </c>
      <c r="W451" s="6" t="s">
        <v>80</v>
      </c>
      <c r="X451" s="6" t="s">
        <v>10395</v>
      </c>
      <c r="Y451" s="6" t="s">
        <v>10396</v>
      </c>
      <c r="Z451" s="6" t="s">
        <v>10397</v>
      </c>
      <c r="AA451" s="6" t="s">
        <v>10398</v>
      </c>
      <c r="AB451" s="6" t="s">
        <v>10399</v>
      </c>
      <c r="AC451" s="6">
        <v>332999</v>
      </c>
      <c r="AD451" s="10" t="str">
        <f>_xlfn.XLOOKUP(AC451,[1]Mapping!B:B,[1]Mapping!C:C,"")</f>
        <v xml:space="preserve">All Other Miscellaneous Fabricated Metal Product Manufacturing </v>
      </c>
      <c r="AE451" s="6">
        <v>332312</v>
      </c>
      <c r="AF451" s="6" t="s">
        <v>10400</v>
      </c>
      <c r="AG451" s="6" t="s">
        <v>10401</v>
      </c>
      <c r="AH451" s="6" t="s">
        <v>10402</v>
      </c>
      <c r="AI451" s="6" t="s">
        <v>8399</v>
      </c>
      <c r="AJ451" s="6" t="s">
        <v>10403</v>
      </c>
      <c r="AK451" s="6" t="s">
        <v>10404</v>
      </c>
      <c r="AL451" s="6" t="s">
        <v>10405</v>
      </c>
      <c r="AM451" s="6" t="s">
        <v>10406</v>
      </c>
      <c r="AN451" s="6" t="s">
        <v>4342</v>
      </c>
      <c r="AO451" s="6" t="s">
        <v>4343</v>
      </c>
      <c r="AQ451" s="6" t="s">
        <v>10407</v>
      </c>
      <c r="AR451" s="6" t="s">
        <v>10408</v>
      </c>
      <c r="AT451" s="6" t="s">
        <v>10409</v>
      </c>
      <c r="AU451" s="6" t="s">
        <v>10410</v>
      </c>
      <c r="AV451" s="6" t="s">
        <v>10411</v>
      </c>
      <c r="AW451" s="6" t="s">
        <v>10412</v>
      </c>
      <c r="AY451" s="6" t="s">
        <v>10413</v>
      </c>
      <c r="AZ451" s="6">
        <v>442034000000</v>
      </c>
      <c r="BA451" s="6" t="s">
        <v>10414</v>
      </c>
      <c r="BB451" s="6" t="s">
        <v>10415</v>
      </c>
      <c r="BD451" s="6" t="s">
        <v>10416</v>
      </c>
      <c r="BE451" s="6" t="str">
        <f t="shared" ref="BE451:BE514" si="14">LEFT(
  SUBSTITUTE(SUBSTITUTE(SUBSTITUTE(BD451,"https://",""),"http://",""),"www.",""),
  IFERROR(
    FIND("/",SUBSTITUTE(SUBSTITUTE(SUBSTITUTE(BD451,"https://",""),"http://",""),"www.","")&amp;"/")-1,
    LEN(SUBSTITUTE(SUBSTITUTE(SUBSTITUTE(BD451,"https://",""),"http://",""),"www.",""))
  )
)</f>
        <v>shields-e.com</v>
      </c>
      <c r="BF451" s="6" t="str">
        <f t="shared" ref="BF451:BF514" si="15">_xlfn.TEXTAFTER(BE451,".",-1)</f>
        <v>com</v>
      </c>
      <c r="BG451" s="6" t="s">
        <v>101</v>
      </c>
      <c r="BJ451" s="6" t="s">
        <v>10417</v>
      </c>
      <c r="BP451" s="6" t="s">
        <v>10418</v>
      </c>
      <c r="BQ451" s="6" t="s">
        <v>10419</v>
      </c>
      <c r="BR451" s="6" t="s">
        <v>105</v>
      </c>
    </row>
    <row r="452" spans="1:70" ht="45" customHeight="1" x14ac:dyDescent="0.25">
      <c r="A452" s="6">
        <v>452</v>
      </c>
      <c r="B452" s="7" t="s">
        <v>10420</v>
      </c>
      <c r="C452" s="8" t="s">
        <v>10421</v>
      </c>
      <c r="D452" s="6" t="s">
        <v>10422</v>
      </c>
      <c r="E452" s="8" t="s">
        <v>10420</v>
      </c>
      <c r="F452" s="8" t="s">
        <v>10423</v>
      </c>
      <c r="G452" s="6" t="s">
        <v>452</v>
      </c>
      <c r="H452" s="6" t="s">
        <v>453</v>
      </c>
      <c r="I452" s="8" t="s">
        <v>10424</v>
      </c>
      <c r="J452" s="6" t="s">
        <v>10425</v>
      </c>
      <c r="K452" s="9">
        <v>225511</v>
      </c>
      <c r="L452" s="8" t="s">
        <v>10426</v>
      </c>
      <c r="M452" s="9">
        <v>999</v>
      </c>
      <c r="N452" s="6">
        <v>32.520679999999999</v>
      </c>
      <c r="O452" s="6">
        <v>120.07086</v>
      </c>
      <c r="P452" s="6" t="s">
        <v>10427</v>
      </c>
      <c r="Q452" s="6">
        <v>17</v>
      </c>
      <c r="R452" s="6" t="s">
        <v>79</v>
      </c>
      <c r="T452" s="6"/>
      <c r="X452" s="6" t="s">
        <v>10428</v>
      </c>
      <c r="Y452" s="6" t="s">
        <v>10429</v>
      </c>
      <c r="Z452" s="6" t="s">
        <v>10430</v>
      </c>
      <c r="AA452" s="6" t="s">
        <v>10431</v>
      </c>
      <c r="AB452" s="6" t="s">
        <v>10432</v>
      </c>
      <c r="AC452" s="6">
        <v>335910</v>
      </c>
      <c r="AD452" s="10" t="str">
        <f>_xlfn.XLOOKUP(AC452,[1]Mapping!B:B,[1]Mapping!C:C,"")</f>
        <v xml:space="preserve">Battery Manufacturing </v>
      </c>
      <c r="AG452" s="6" t="s">
        <v>1239</v>
      </c>
      <c r="AH452" s="6" t="s">
        <v>1240</v>
      </c>
      <c r="AI452" s="6" t="s">
        <v>1240</v>
      </c>
      <c r="AJ452" s="6" t="s">
        <v>1241</v>
      </c>
      <c r="AK452" s="6" t="s">
        <v>1242</v>
      </c>
      <c r="AL452" s="6" t="s">
        <v>219</v>
      </c>
      <c r="AM452" s="6" t="s">
        <v>220</v>
      </c>
      <c r="AN452" s="6" t="s">
        <v>221</v>
      </c>
      <c r="AO452" s="6" t="s">
        <v>222</v>
      </c>
      <c r="AQ452" s="6" t="s">
        <v>1243</v>
      </c>
      <c r="AR452" s="6" t="s">
        <v>1244</v>
      </c>
      <c r="AT452" s="6">
        <v>2720</v>
      </c>
      <c r="AU452" s="6" t="s">
        <v>1246</v>
      </c>
      <c r="AV452" s="6">
        <v>27.2</v>
      </c>
      <c r="AW452" s="6" t="s">
        <v>1246</v>
      </c>
      <c r="AY452" s="6">
        <v>8613770000000</v>
      </c>
      <c r="AZ452" s="6" t="s">
        <v>10433</v>
      </c>
      <c r="BA452" s="6" t="s">
        <v>10434</v>
      </c>
      <c r="BD452" s="6" t="s">
        <v>10435</v>
      </c>
      <c r="BE452" s="6" t="str">
        <f t="shared" si="14"/>
        <v>shuangdeng.com.cn</v>
      </c>
      <c r="BF452" s="6" t="str">
        <f t="shared" si="15"/>
        <v>cn</v>
      </c>
      <c r="BG452" s="6" t="s">
        <v>744</v>
      </c>
      <c r="BP452" s="6" t="s">
        <v>10436</v>
      </c>
      <c r="BQ452" s="6" t="s">
        <v>10437</v>
      </c>
      <c r="BR452" s="6" t="s">
        <v>105</v>
      </c>
    </row>
    <row r="453" spans="1:70" ht="45" customHeight="1" x14ac:dyDescent="0.25">
      <c r="A453" s="6">
        <v>453</v>
      </c>
      <c r="B453" s="7" t="s">
        <v>10438</v>
      </c>
      <c r="C453" s="8" t="s">
        <v>10439</v>
      </c>
      <c r="D453" s="6" t="s">
        <v>10438</v>
      </c>
      <c r="E453" s="6" t="s">
        <v>10440</v>
      </c>
      <c r="F453" s="8" t="s">
        <v>10441</v>
      </c>
      <c r="G453" s="6" t="s">
        <v>612</v>
      </c>
      <c r="H453" s="6" t="s">
        <v>613</v>
      </c>
      <c r="I453" s="6" t="s">
        <v>614</v>
      </c>
      <c r="J453" s="6" t="s">
        <v>1763</v>
      </c>
      <c r="K453" s="9">
        <v>47800</v>
      </c>
      <c r="L453" s="8" t="s">
        <v>10442</v>
      </c>
      <c r="N453" s="6">
        <v>3.1353437</v>
      </c>
      <c r="O453" s="6">
        <v>101.6052013</v>
      </c>
      <c r="P453" s="6" t="s">
        <v>10443</v>
      </c>
      <c r="Q453" s="6">
        <v>1</v>
      </c>
      <c r="R453" s="6" t="s">
        <v>79</v>
      </c>
      <c r="T453" s="6">
        <v>5111336</v>
      </c>
      <c r="U453" s="6" t="s">
        <v>80</v>
      </c>
      <c r="V453" s="6">
        <v>75</v>
      </c>
      <c r="W453" s="6" t="s">
        <v>80</v>
      </c>
      <c r="X453" s="6" t="s">
        <v>10444</v>
      </c>
      <c r="Y453" s="6" t="s">
        <v>10445</v>
      </c>
      <c r="Z453" s="6" t="s">
        <v>10446</v>
      </c>
      <c r="AA453" s="6" t="s">
        <v>10447</v>
      </c>
      <c r="AC453" s="6">
        <v>517112</v>
      </c>
      <c r="AD453" s="10" t="str">
        <f>_xlfn.XLOOKUP(AC453,[1]Mapping!B:B,[1]Mapping!C:C,"")</f>
        <v>Wireless Telecommunications Carriers (except Satellite)</v>
      </c>
      <c r="AE453" s="6">
        <v>237130</v>
      </c>
      <c r="AF453" s="6" t="s">
        <v>1846</v>
      </c>
      <c r="AG453" s="6" t="s">
        <v>89</v>
      </c>
      <c r="AH453" s="6" t="s">
        <v>86</v>
      </c>
      <c r="AI453" s="6" t="s">
        <v>87</v>
      </c>
      <c r="AJ453" s="6" t="s">
        <v>86</v>
      </c>
      <c r="AK453" s="6" t="s">
        <v>88</v>
      </c>
      <c r="AL453" s="6" t="s">
        <v>89</v>
      </c>
      <c r="AM453" s="6" t="s">
        <v>90</v>
      </c>
      <c r="AN453" s="6" t="s">
        <v>91</v>
      </c>
      <c r="AO453" s="6" t="s">
        <v>92</v>
      </c>
      <c r="AQ453" s="6" t="s">
        <v>1697</v>
      </c>
      <c r="AR453" s="6" t="s">
        <v>1698</v>
      </c>
      <c r="AS453" s="6" t="s">
        <v>10448</v>
      </c>
      <c r="AT453" s="6">
        <v>6120</v>
      </c>
      <c r="AU453" s="6" t="s">
        <v>1699</v>
      </c>
      <c r="AV453" s="6">
        <v>61.2</v>
      </c>
      <c r="AW453" s="6" t="s">
        <v>1699</v>
      </c>
      <c r="AX453" s="6" t="s">
        <v>10449</v>
      </c>
      <c r="AY453" s="6" t="s">
        <v>10450</v>
      </c>
      <c r="AZ453" s="6" t="s">
        <v>10451</v>
      </c>
      <c r="BA453" s="6" t="s">
        <v>10452</v>
      </c>
      <c r="BB453" s="6" t="s">
        <v>10452</v>
      </c>
      <c r="BD453" s="6" t="s">
        <v>10453</v>
      </c>
      <c r="BE453" s="6" t="str">
        <f t="shared" si="14"/>
        <v>siaemic.com</v>
      </c>
      <c r="BF453" s="6" t="str">
        <f t="shared" si="15"/>
        <v>com</v>
      </c>
      <c r="BG453" s="6" t="s">
        <v>101</v>
      </c>
      <c r="BH453" s="6" t="s">
        <v>10454</v>
      </c>
      <c r="BP453" s="6" t="s">
        <v>5763</v>
      </c>
      <c r="BQ453" s="6" t="s">
        <v>10455</v>
      </c>
      <c r="BR453" s="6" t="s">
        <v>105</v>
      </c>
    </row>
    <row r="454" spans="1:70" ht="45" customHeight="1" x14ac:dyDescent="0.25">
      <c r="A454" s="6">
        <v>454</v>
      </c>
      <c r="B454" s="7" t="s">
        <v>10456</v>
      </c>
      <c r="C454" s="8" t="s">
        <v>10457</v>
      </c>
      <c r="D454" s="6" t="s">
        <v>10458</v>
      </c>
      <c r="E454" s="8" t="s">
        <v>10459</v>
      </c>
      <c r="F454" s="8" t="s">
        <v>10460</v>
      </c>
      <c r="G454" s="6" t="s">
        <v>10461</v>
      </c>
      <c r="H454" s="6" t="s">
        <v>10462</v>
      </c>
      <c r="I454" s="8" t="s">
        <v>10463</v>
      </c>
      <c r="J454" s="6" t="s">
        <v>10464</v>
      </c>
      <c r="K454" s="9">
        <v>20093</v>
      </c>
      <c r="L454" s="8" t="s">
        <v>10465</v>
      </c>
      <c r="M454" s="9">
        <v>1</v>
      </c>
      <c r="N454" s="6">
        <v>45.534193500000001</v>
      </c>
      <c r="O454" s="6">
        <v>9.2741959999999999</v>
      </c>
      <c r="P454" s="6" t="s">
        <v>10466</v>
      </c>
      <c r="Q454" s="6">
        <v>8</v>
      </c>
      <c r="R454" s="6" t="s">
        <v>79</v>
      </c>
      <c r="S454" s="6">
        <v>1952</v>
      </c>
      <c r="T454" s="6">
        <v>255000000</v>
      </c>
      <c r="U454" s="6" t="s">
        <v>167</v>
      </c>
      <c r="V454" s="6">
        <v>1500</v>
      </c>
      <c r="W454" s="6" t="s">
        <v>167</v>
      </c>
      <c r="X454" s="6" t="s">
        <v>10467</v>
      </c>
      <c r="Y454" s="6" t="s">
        <v>10468</v>
      </c>
      <c r="Z454" s="6" t="s">
        <v>10469</v>
      </c>
      <c r="AA454" s="6" t="s">
        <v>10470</v>
      </c>
      <c r="AB454" s="6" t="s">
        <v>10471</v>
      </c>
      <c r="AC454" s="6">
        <v>334220</v>
      </c>
      <c r="AD454" s="10" t="str">
        <f>_xlfn.XLOOKUP(AC454,[1]Mapping!B:B,[1]Mapping!C:C,"")</f>
        <v>Radio and Television Broadcasting and Wireless Communications Equipment Manufacturing</v>
      </c>
      <c r="AE454" s="6">
        <v>334210</v>
      </c>
      <c r="AF454" s="6" t="s">
        <v>10472</v>
      </c>
      <c r="AG454" s="6" t="s">
        <v>1184</v>
      </c>
      <c r="AH454" s="6" t="s">
        <v>432</v>
      </c>
      <c r="AI454" s="6" t="s">
        <v>733</v>
      </c>
      <c r="AJ454" s="6" t="s">
        <v>86</v>
      </c>
      <c r="AK454" s="6" t="s">
        <v>88</v>
      </c>
      <c r="AL454" s="6" t="s">
        <v>89</v>
      </c>
      <c r="AM454" s="6" t="s">
        <v>90</v>
      </c>
      <c r="AN454" s="6" t="s">
        <v>91</v>
      </c>
      <c r="AO454" s="6" t="s">
        <v>92</v>
      </c>
      <c r="AQ454" s="6" t="s">
        <v>1720</v>
      </c>
      <c r="AR454" s="6" t="s">
        <v>1721</v>
      </c>
      <c r="AS454" s="6" t="s">
        <v>10473</v>
      </c>
      <c r="AT454" s="6" t="s">
        <v>1722</v>
      </c>
      <c r="AU454" s="6" t="s">
        <v>1723</v>
      </c>
      <c r="AV454" s="6" t="s">
        <v>1724</v>
      </c>
      <c r="AW454" s="6" t="s">
        <v>1725</v>
      </c>
      <c r="AX454" s="6" t="s">
        <v>10474</v>
      </c>
      <c r="AY454" s="6" t="s">
        <v>10475</v>
      </c>
      <c r="AZ454" s="6" t="s">
        <v>10476</v>
      </c>
      <c r="BA454" s="6" t="s">
        <v>10477</v>
      </c>
      <c r="BD454" s="6" t="s">
        <v>10478</v>
      </c>
      <c r="BE454" s="6" t="str">
        <f t="shared" si="14"/>
        <v>siaemic.com</v>
      </c>
      <c r="BF454" s="6" t="str">
        <f t="shared" si="15"/>
        <v>com</v>
      </c>
      <c r="BG454" s="6" t="s">
        <v>101</v>
      </c>
      <c r="BI454" s="6" t="s">
        <v>10479</v>
      </c>
      <c r="BK454" s="6" t="s">
        <v>10480</v>
      </c>
      <c r="BP454" s="6" t="s">
        <v>10481</v>
      </c>
      <c r="BQ454" s="6" t="s">
        <v>10482</v>
      </c>
      <c r="BR454" s="6" t="s">
        <v>105</v>
      </c>
    </row>
    <row r="455" spans="1:70" ht="45" customHeight="1" x14ac:dyDescent="0.25">
      <c r="A455" s="6">
        <v>455</v>
      </c>
      <c r="B455" s="7" t="s">
        <v>10483</v>
      </c>
      <c r="C455" s="8" t="s">
        <v>10484</v>
      </c>
      <c r="D455" s="6" t="s">
        <v>10485</v>
      </c>
      <c r="E455" s="6" t="s">
        <v>10486</v>
      </c>
      <c r="F455" s="8" t="s">
        <v>10487</v>
      </c>
      <c r="G455" s="6" t="s">
        <v>243</v>
      </c>
      <c r="H455" s="6" t="s">
        <v>244</v>
      </c>
      <c r="I455" s="6" t="s">
        <v>245</v>
      </c>
      <c r="J455" s="6" t="s">
        <v>246</v>
      </c>
      <c r="K455" s="9">
        <v>100</v>
      </c>
      <c r="L455" s="8" t="s">
        <v>10488</v>
      </c>
      <c r="M455" s="9" t="s">
        <v>10489</v>
      </c>
      <c r="N455" s="6">
        <v>60.171066600000003</v>
      </c>
      <c r="O455" s="6">
        <v>24.9455682</v>
      </c>
      <c r="P455" s="6" t="s">
        <v>10490</v>
      </c>
      <c r="Q455" s="6">
        <v>3</v>
      </c>
      <c r="R455" s="6" t="s">
        <v>79</v>
      </c>
      <c r="T455" s="6">
        <v>30581256</v>
      </c>
      <c r="U455" s="6" t="s">
        <v>80</v>
      </c>
      <c r="V455" s="6">
        <v>125</v>
      </c>
      <c r="W455" s="6" t="s">
        <v>80</v>
      </c>
      <c r="X455" s="6" t="s">
        <v>10491</v>
      </c>
      <c r="Y455" s="6" t="s">
        <v>10492</v>
      </c>
      <c r="Z455" s="6" t="s">
        <v>10493</v>
      </c>
      <c r="AA455" s="6" t="s">
        <v>10494</v>
      </c>
      <c r="AB455" s="6" t="s">
        <v>10495</v>
      </c>
      <c r="AC455" s="6">
        <v>513210</v>
      </c>
      <c r="AD455" s="10" t="str">
        <f>_xlfn.XLOOKUP(AC455,[1]Mapping!B:B,[1]Mapping!C:C,"")</f>
        <v>Software Publishers</v>
      </c>
      <c r="AG455" s="6" t="s">
        <v>10496</v>
      </c>
      <c r="AH455" s="6" t="s">
        <v>10497</v>
      </c>
      <c r="AI455" s="6" t="s">
        <v>499</v>
      </c>
      <c r="AJ455" s="6" t="s">
        <v>174</v>
      </c>
      <c r="AK455" s="6" t="s">
        <v>175</v>
      </c>
      <c r="AL455" s="6" t="s">
        <v>176</v>
      </c>
      <c r="AM455" s="6" t="s">
        <v>177</v>
      </c>
      <c r="AN455" s="6" t="s">
        <v>91</v>
      </c>
      <c r="AO455" s="6" t="s">
        <v>92</v>
      </c>
      <c r="AQ455" s="6">
        <v>7372</v>
      </c>
      <c r="AR455" s="6" t="s">
        <v>2077</v>
      </c>
      <c r="AS455" s="6" t="s">
        <v>10498</v>
      </c>
      <c r="AT455" s="6">
        <v>5820</v>
      </c>
      <c r="AU455" s="6" t="s">
        <v>2028</v>
      </c>
      <c r="AV455" s="6">
        <v>58.29</v>
      </c>
      <c r="AW455" s="6" t="s">
        <v>2078</v>
      </c>
      <c r="AX455" s="6" t="s">
        <v>10499</v>
      </c>
      <c r="AY455" s="6">
        <v>358505000000</v>
      </c>
      <c r="AZ455" s="6" t="s">
        <v>10500</v>
      </c>
      <c r="BA455" s="6" t="s">
        <v>10501</v>
      </c>
      <c r="BB455" s="6" t="s">
        <v>10501</v>
      </c>
      <c r="BC455" s="6" t="s">
        <v>10502</v>
      </c>
      <c r="BD455" s="6" t="s">
        <v>10503</v>
      </c>
      <c r="BE455" s="6" t="str">
        <f t="shared" si="14"/>
        <v>sievo.com</v>
      </c>
      <c r="BF455" s="6" t="str">
        <f t="shared" si="15"/>
        <v>com</v>
      </c>
      <c r="BG455" s="6" t="s">
        <v>101</v>
      </c>
      <c r="BH455" s="6" t="s">
        <v>10504</v>
      </c>
      <c r="BI455" s="6" t="s">
        <v>10505</v>
      </c>
      <c r="BJ455" s="6" t="s">
        <v>10506</v>
      </c>
      <c r="BK455" s="6" t="s">
        <v>10507</v>
      </c>
      <c r="BN455" s="6" t="s">
        <v>10508</v>
      </c>
      <c r="BP455" s="6" t="s">
        <v>10509</v>
      </c>
      <c r="BQ455" s="6" t="s">
        <v>10510</v>
      </c>
      <c r="BR455" s="6" t="s">
        <v>105</v>
      </c>
    </row>
    <row r="456" spans="1:70" ht="45" customHeight="1" x14ac:dyDescent="0.25">
      <c r="A456" s="6">
        <v>456</v>
      </c>
      <c r="B456" s="7" t="s">
        <v>10511</v>
      </c>
      <c r="C456" s="8" t="s">
        <v>10512</v>
      </c>
      <c r="D456" s="6" t="s">
        <v>10513</v>
      </c>
      <c r="E456" s="6" t="s">
        <v>10514</v>
      </c>
      <c r="F456" s="8" t="s">
        <v>10515</v>
      </c>
      <c r="G456" s="6" t="s">
        <v>130</v>
      </c>
      <c r="H456" s="6" t="s">
        <v>131</v>
      </c>
      <c r="I456" s="6" t="s">
        <v>2603</v>
      </c>
      <c r="J456" s="6" t="s">
        <v>2604</v>
      </c>
      <c r="K456" s="9">
        <v>7042</v>
      </c>
      <c r="L456" s="8" t="s">
        <v>10516</v>
      </c>
      <c r="M456" s="9">
        <v>16</v>
      </c>
      <c r="N456" s="6">
        <v>63.435788100000003</v>
      </c>
      <c r="O456" s="6">
        <v>10.4097306</v>
      </c>
      <c r="P456" s="6" t="s">
        <v>10517</v>
      </c>
      <c r="Q456" s="6">
        <v>15</v>
      </c>
      <c r="R456" s="6" t="s">
        <v>79</v>
      </c>
      <c r="S456" s="6">
        <v>2006</v>
      </c>
      <c r="T456" s="6">
        <v>27763690</v>
      </c>
      <c r="U456" s="6" t="s">
        <v>80</v>
      </c>
      <c r="V456" s="6">
        <v>300</v>
      </c>
      <c r="W456" s="6" t="s">
        <v>80</v>
      </c>
      <c r="X456" s="6" t="s">
        <v>10518</v>
      </c>
      <c r="Y456" s="6" t="s">
        <v>10519</v>
      </c>
      <c r="Z456" s="6" t="s">
        <v>10520</v>
      </c>
      <c r="AA456" s="6" t="s">
        <v>10521</v>
      </c>
      <c r="AB456" s="6" t="s">
        <v>10522</v>
      </c>
      <c r="AC456" s="6">
        <v>541512</v>
      </c>
      <c r="AD456" s="10" t="str">
        <f>_xlfn.XLOOKUP(AC456,[1]Mapping!B:B,[1]Mapping!C:C,"")</f>
        <v xml:space="preserve">Computer Systems Design Services </v>
      </c>
      <c r="AG456" s="6" t="s">
        <v>581</v>
      </c>
      <c r="AH456" s="6" t="s">
        <v>174</v>
      </c>
      <c r="AI456" s="6" t="s">
        <v>87</v>
      </c>
      <c r="AJ456" s="6" t="s">
        <v>174</v>
      </c>
      <c r="AK456" s="6" t="s">
        <v>175</v>
      </c>
      <c r="AL456" s="6" t="s">
        <v>176</v>
      </c>
      <c r="AM456" s="6" t="s">
        <v>177</v>
      </c>
      <c r="AN456" s="6" t="s">
        <v>91</v>
      </c>
      <c r="AO456" s="6" t="s">
        <v>92</v>
      </c>
      <c r="AQ456" s="6" t="s">
        <v>582</v>
      </c>
      <c r="AR456" s="6" t="s">
        <v>583</v>
      </c>
      <c r="AT456" s="6">
        <v>6202</v>
      </c>
      <c r="AU456" s="6" t="s">
        <v>584</v>
      </c>
      <c r="AV456" s="6" t="s">
        <v>585</v>
      </c>
      <c r="AW456" s="6" t="s">
        <v>586</v>
      </c>
      <c r="AY456" s="6" t="s">
        <v>10523</v>
      </c>
      <c r="AZ456" s="6" t="s">
        <v>10524</v>
      </c>
      <c r="BA456" s="6" t="s">
        <v>10525</v>
      </c>
      <c r="BB456" s="6" t="s">
        <v>10526</v>
      </c>
      <c r="BC456" s="6" t="s">
        <v>10527</v>
      </c>
      <c r="BD456" s="6" t="s">
        <v>10528</v>
      </c>
      <c r="BE456" s="6" t="str">
        <f t="shared" si="14"/>
        <v>signicat.com</v>
      </c>
      <c r="BF456" s="6" t="str">
        <f t="shared" si="15"/>
        <v>com</v>
      </c>
      <c r="BG456" s="6" t="s">
        <v>101</v>
      </c>
      <c r="BH456" s="6" t="s">
        <v>10529</v>
      </c>
      <c r="BI456" s="6" t="s">
        <v>10530</v>
      </c>
      <c r="BK456" s="6" t="s">
        <v>10531</v>
      </c>
      <c r="BN456" s="6" t="s">
        <v>10532</v>
      </c>
      <c r="BP456" s="6" t="s">
        <v>10533</v>
      </c>
      <c r="BQ456" s="6" t="s">
        <v>10534</v>
      </c>
      <c r="BR456" s="6" t="s">
        <v>105</v>
      </c>
    </row>
    <row r="457" spans="1:70" ht="45" customHeight="1" x14ac:dyDescent="0.25">
      <c r="A457" s="6">
        <v>457</v>
      </c>
      <c r="B457" s="7" t="s">
        <v>10535</v>
      </c>
      <c r="C457" s="8" t="s">
        <v>10536</v>
      </c>
      <c r="D457" s="6" t="s">
        <v>10537</v>
      </c>
      <c r="E457" s="8" t="s">
        <v>10535</v>
      </c>
      <c r="F457" s="8" t="s">
        <v>10538</v>
      </c>
      <c r="G457" s="6" t="s">
        <v>73</v>
      </c>
      <c r="H457" s="6" t="s">
        <v>74</v>
      </c>
      <c r="J457" s="6" t="s">
        <v>10539</v>
      </c>
      <c r="K457" s="9">
        <v>4500</v>
      </c>
      <c r="L457" s="8" t="s">
        <v>10540</v>
      </c>
      <c r="M457" s="9">
        <v>42</v>
      </c>
      <c r="N457" s="6">
        <v>55.922287900000008</v>
      </c>
      <c r="O457" s="6">
        <v>11.670688699999999</v>
      </c>
      <c r="P457" s="6" t="s">
        <v>10541</v>
      </c>
      <c r="Q457" s="6">
        <v>1</v>
      </c>
      <c r="R457" s="6" t="s">
        <v>79</v>
      </c>
      <c r="T457" s="6">
        <v>1194369</v>
      </c>
      <c r="U457" s="6" t="s">
        <v>80</v>
      </c>
      <c r="V457" s="6">
        <v>13</v>
      </c>
      <c r="W457" s="6" t="s">
        <v>80</v>
      </c>
      <c r="X457" s="6" t="s">
        <v>10542</v>
      </c>
      <c r="Y457" s="6" t="s">
        <v>10543</v>
      </c>
      <c r="Z457" s="6" t="s">
        <v>10544</v>
      </c>
      <c r="AA457" s="6" t="s">
        <v>10545</v>
      </c>
      <c r="AB457" s="6" t="s">
        <v>10546</v>
      </c>
      <c r="AC457" s="6">
        <v>721110</v>
      </c>
      <c r="AD457" s="10" t="str">
        <f>_xlfn.XLOOKUP(AC457,[1]Mapping!B:B,[1]Mapping!C:C,"")</f>
        <v xml:space="preserve">Hotels (except Casino Hotels) and Motels </v>
      </c>
      <c r="AG457" s="6" t="s">
        <v>1614</v>
      </c>
      <c r="AH457" s="6" t="s">
        <v>324</v>
      </c>
      <c r="AI457" s="6" t="s">
        <v>325</v>
      </c>
      <c r="AJ457" s="6" t="s">
        <v>326</v>
      </c>
      <c r="AK457" s="6" t="s">
        <v>327</v>
      </c>
      <c r="AL457" s="6" t="s">
        <v>328</v>
      </c>
      <c r="AM457" s="6" t="s">
        <v>329</v>
      </c>
      <c r="AN457" s="6" t="s">
        <v>297</v>
      </c>
      <c r="AO457" s="6" t="s">
        <v>298</v>
      </c>
      <c r="AQ457" s="6" t="s">
        <v>1615</v>
      </c>
      <c r="AR457" s="6" t="s">
        <v>1616</v>
      </c>
      <c r="AS457" s="6" t="s">
        <v>10547</v>
      </c>
      <c r="AT457" s="6" t="s">
        <v>1617</v>
      </c>
      <c r="AU457" s="6" t="s">
        <v>1618</v>
      </c>
      <c r="AV457" s="6" t="s">
        <v>1619</v>
      </c>
      <c r="AW457" s="6" t="s">
        <v>1620</v>
      </c>
      <c r="AX457" s="6" t="s">
        <v>10548</v>
      </c>
      <c r="AY457" s="6" t="s">
        <v>10549</v>
      </c>
      <c r="AZ457" s="6">
        <v>4559932309</v>
      </c>
      <c r="BA457" s="6" t="s">
        <v>10550</v>
      </c>
      <c r="BB457" s="6" t="s">
        <v>10550</v>
      </c>
      <c r="BD457" s="6" t="s">
        <v>10551</v>
      </c>
      <c r="BE457" s="6" t="str">
        <f t="shared" si="14"/>
        <v>toejeksperten.dk</v>
      </c>
      <c r="BF457" s="6" t="str">
        <f t="shared" si="15"/>
        <v>dk</v>
      </c>
      <c r="BG457" s="6" t="s">
        <v>123</v>
      </c>
      <c r="BH457" s="6" t="s">
        <v>10552</v>
      </c>
      <c r="BJ457" s="6" t="s">
        <v>10553</v>
      </c>
      <c r="BP457" s="6" t="s">
        <v>10554</v>
      </c>
      <c r="BQ457" s="6" t="s">
        <v>10555</v>
      </c>
      <c r="BR457" s="6" t="s">
        <v>105</v>
      </c>
    </row>
    <row r="458" spans="1:70" ht="45" customHeight="1" x14ac:dyDescent="0.25">
      <c r="A458" s="6">
        <v>458</v>
      </c>
      <c r="B458" s="7" t="s">
        <v>10556</v>
      </c>
      <c r="C458" s="8" t="s">
        <v>10557</v>
      </c>
      <c r="D458" s="6" t="s">
        <v>10558</v>
      </c>
      <c r="E458" s="6" t="s">
        <v>10559</v>
      </c>
      <c r="F458" s="8" t="s">
        <v>10560</v>
      </c>
      <c r="G458" s="6" t="s">
        <v>315</v>
      </c>
      <c r="H458" s="6" t="s">
        <v>316</v>
      </c>
      <c r="I458" s="6"/>
      <c r="J458" s="6" t="s">
        <v>316</v>
      </c>
      <c r="K458" s="9">
        <v>139951</v>
      </c>
      <c r="L458" s="8" t="s">
        <v>10561</v>
      </c>
      <c r="M458" s="9">
        <v>71</v>
      </c>
      <c r="N458" s="6">
        <v>1.2965933999999999</v>
      </c>
      <c r="O458" s="6">
        <v>103.7872141</v>
      </c>
      <c r="P458" s="6" t="s">
        <v>10562</v>
      </c>
      <c r="Q458" s="6">
        <v>1</v>
      </c>
      <c r="R458" s="6" t="s">
        <v>79</v>
      </c>
      <c r="S458" s="6">
        <v>2023</v>
      </c>
      <c r="T458" s="6">
        <v>9503745</v>
      </c>
      <c r="U458" s="6" t="s">
        <v>80</v>
      </c>
      <c r="V458" s="6">
        <v>75</v>
      </c>
      <c r="W458" s="6" t="s">
        <v>80</v>
      </c>
      <c r="X458" s="6" t="s">
        <v>10563</v>
      </c>
      <c r="Y458" s="6" t="s">
        <v>10564</v>
      </c>
      <c r="Z458" s="6" t="s">
        <v>10565</v>
      </c>
      <c r="AA458" s="6" t="s">
        <v>10566</v>
      </c>
      <c r="AB458" s="6" t="s">
        <v>10567</v>
      </c>
      <c r="AC458" s="6">
        <v>713990</v>
      </c>
      <c r="AD458" s="10" t="str">
        <f>_xlfn.XLOOKUP(AC458,[1]Mapping!B:B,[1]Mapping!C:C,"")</f>
        <v xml:space="preserve">All Other Amusement and Recreation Industries </v>
      </c>
      <c r="AG458" s="6" t="s">
        <v>10568</v>
      </c>
      <c r="AH458" s="6" t="s">
        <v>10569</v>
      </c>
      <c r="AI458" s="6" t="s">
        <v>3610</v>
      </c>
      <c r="AJ458" s="6" t="s">
        <v>326</v>
      </c>
      <c r="AK458" s="6" t="s">
        <v>327</v>
      </c>
      <c r="AL458" s="6" t="s">
        <v>328</v>
      </c>
      <c r="AM458" s="6" t="s">
        <v>329</v>
      </c>
      <c r="AN458" s="6" t="s">
        <v>297</v>
      </c>
      <c r="AO458" s="6" t="s">
        <v>298</v>
      </c>
      <c r="AQ458" s="6" t="s">
        <v>10570</v>
      </c>
      <c r="AR458" s="6" t="s">
        <v>10571</v>
      </c>
      <c r="AS458" s="6" t="s">
        <v>10572</v>
      </c>
      <c r="AT458" s="6" t="s">
        <v>10573</v>
      </c>
      <c r="AU458" s="6" t="s">
        <v>10574</v>
      </c>
      <c r="AV458" s="6" t="s">
        <v>10575</v>
      </c>
      <c r="AW458" s="6" t="s">
        <v>10576</v>
      </c>
      <c r="AX458" s="6" t="s">
        <v>10577</v>
      </c>
      <c r="AY458" s="6" t="s">
        <v>10578</v>
      </c>
      <c r="AZ458" s="6">
        <v>6583990484</v>
      </c>
      <c r="BA458" s="6" t="s">
        <v>10579</v>
      </c>
      <c r="BB458" s="6" t="s">
        <v>10580</v>
      </c>
      <c r="BD458" s="6" t="s">
        <v>10581</v>
      </c>
      <c r="BE458" s="6" t="str">
        <f t="shared" si="14"/>
        <v>innov8.singtel.com</v>
      </c>
      <c r="BF458" s="6" t="str">
        <f t="shared" si="15"/>
        <v>com</v>
      </c>
      <c r="BG458" s="6" t="s">
        <v>101</v>
      </c>
      <c r="BJ458" s="6" t="s">
        <v>10582</v>
      </c>
      <c r="BK458" s="6" t="s">
        <v>10583</v>
      </c>
      <c r="BQ458" s="6" t="s">
        <v>10584</v>
      </c>
      <c r="BR458" s="6" t="s">
        <v>105</v>
      </c>
    </row>
    <row r="459" spans="1:70" ht="45" customHeight="1" x14ac:dyDescent="0.25">
      <c r="A459" s="6">
        <v>459</v>
      </c>
      <c r="B459" s="7" t="s">
        <v>10585</v>
      </c>
      <c r="C459" s="8" t="s">
        <v>10586</v>
      </c>
      <c r="D459" s="6" t="s">
        <v>10587</v>
      </c>
      <c r="E459" s="8" t="s">
        <v>10587</v>
      </c>
      <c r="F459" s="8" t="s">
        <v>10588</v>
      </c>
      <c r="G459" s="6" t="s">
        <v>10589</v>
      </c>
      <c r="H459" s="6" t="s">
        <v>10590</v>
      </c>
      <c r="I459" s="8" t="s">
        <v>10591</v>
      </c>
      <c r="J459" s="6" t="s">
        <v>10592</v>
      </c>
      <c r="K459" s="9">
        <v>3500</v>
      </c>
      <c r="L459" s="8" t="s">
        <v>10593</v>
      </c>
      <c r="M459" s="9">
        <v>305</v>
      </c>
      <c r="N459" s="6">
        <v>50.952009999999987</v>
      </c>
      <c r="O459" s="6">
        <v>5.3503194999999986</v>
      </c>
      <c r="P459" s="6" t="s">
        <v>10594</v>
      </c>
      <c r="Q459" s="6">
        <v>1</v>
      </c>
      <c r="R459" s="6" t="s">
        <v>79</v>
      </c>
      <c r="S459" s="6">
        <v>2011</v>
      </c>
      <c r="T459" s="6">
        <v>29160844</v>
      </c>
      <c r="U459" s="6" t="s">
        <v>80</v>
      </c>
      <c r="V459" s="6">
        <v>75</v>
      </c>
      <c r="W459" s="6" t="s">
        <v>80</v>
      </c>
      <c r="X459" s="6" t="s">
        <v>10595</v>
      </c>
      <c r="Y459" s="6" t="s">
        <v>10596</v>
      </c>
      <c r="Z459" s="6" t="s">
        <v>10597</v>
      </c>
      <c r="AA459" s="6" t="s">
        <v>10598</v>
      </c>
      <c r="AB459" s="6" t="s">
        <v>10599</v>
      </c>
      <c r="AC459" s="6">
        <v>236115</v>
      </c>
      <c r="AD459" s="10" t="str">
        <f>_xlfn.XLOOKUP(AC459,[1]Mapping!B:B,[1]Mapping!C:C,"")</f>
        <v xml:space="preserve">New Single-Family Housing Construction (except For-Sale Builders) </v>
      </c>
      <c r="AG459" s="6" t="s">
        <v>9154</v>
      </c>
      <c r="AH459" s="6" t="s">
        <v>6138</v>
      </c>
      <c r="AI459" s="6" t="s">
        <v>292</v>
      </c>
      <c r="AJ459" s="6" t="s">
        <v>2321</v>
      </c>
      <c r="AK459" s="6" t="s">
        <v>2322</v>
      </c>
      <c r="AL459" s="6" t="s">
        <v>2321</v>
      </c>
      <c r="AM459" s="6" t="s">
        <v>2323</v>
      </c>
      <c r="AN459" s="6" t="s">
        <v>655</v>
      </c>
      <c r="AO459" s="6" t="s">
        <v>657</v>
      </c>
      <c r="AQ459" s="6" t="s">
        <v>10600</v>
      </c>
      <c r="AR459" s="6" t="s">
        <v>10601</v>
      </c>
      <c r="AT459" s="6">
        <v>4100</v>
      </c>
      <c r="AU459" s="6" t="s">
        <v>6140</v>
      </c>
      <c r="AV459" s="6" t="s">
        <v>6141</v>
      </c>
      <c r="AW459" s="6" t="s">
        <v>6142</v>
      </c>
      <c r="AY459" s="6" t="s">
        <v>10602</v>
      </c>
      <c r="AZ459" s="6" t="s">
        <v>10603</v>
      </c>
      <c r="BA459" s="6" t="s">
        <v>10604</v>
      </c>
      <c r="BB459" s="6" t="s">
        <v>10604</v>
      </c>
      <c r="BD459" s="6" t="s">
        <v>10605</v>
      </c>
      <c r="BE459" s="6" t="str">
        <f t="shared" si="14"/>
        <v>sipm.com</v>
      </c>
      <c r="BF459" s="6" t="str">
        <f t="shared" si="15"/>
        <v>com</v>
      </c>
      <c r="BG459" s="6" t="s">
        <v>101</v>
      </c>
      <c r="BQ459" s="6" t="s">
        <v>10606</v>
      </c>
      <c r="BR459" s="6" t="s">
        <v>105</v>
      </c>
    </row>
    <row r="460" spans="1:70" ht="45" customHeight="1" x14ac:dyDescent="0.25">
      <c r="A460" s="6">
        <v>460</v>
      </c>
      <c r="B460" s="7" t="s">
        <v>10607</v>
      </c>
      <c r="C460" s="8" t="s">
        <v>10608</v>
      </c>
      <c r="D460" s="6" t="s">
        <v>10609</v>
      </c>
      <c r="E460" s="6" t="s">
        <v>10610</v>
      </c>
      <c r="F460" s="8" t="s">
        <v>10611</v>
      </c>
      <c r="G460" s="6" t="s">
        <v>1324</v>
      </c>
      <c r="H460" s="6" t="s">
        <v>1325</v>
      </c>
      <c r="I460" s="6" t="s">
        <v>1326</v>
      </c>
      <c r="J460" s="6" t="s">
        <v>1327</v>
      </c>
      <c r="K460" s="9">
        <v>10500</v>
      </c>
      <c r="L460" s="8" t="s">
        <v>10612</v>
      </c>
      <c r="M460" s="9">
        <v>323</v>
      </c>
      <c r="N460" s="6">
        <v>13.7268436</v>
      </c>
      <c r="O460" s="6">
        <v>100.53145720000001</v>
      </c>
      <c r="P460" s="6" t="s">
        <v>10613</v>
      </c>
      <c r="Q460" s="6">
        <v>3</v>
      </c>
      <c r="R460" s="6" t="s">
        <v>79</v>
      </c>
      <c r="S460" s="6">
        <v>2007</v>
      </c>
      <c r="T460" s="6">
        <v>1499469</v>
      </c>
      <c r="U460" s="6" t="s">
        <v>80</v>
      </c>
      <c r="V460" s="6">
        <v>75</v>
      </c>
      <c r="W460" s="6" t="s">
        <v>80</v>
      </c>
      <c r="X460" s="6" t="s">
        <v>10614</v>
      </c>
      <c r="Y460" s="6" t="s">
        <v>10615</v>
      </c>
      <c r="Z460" s="6" t="s">
        <v>10616</v>
      </c>
      <c r="AA460" s="6" t="s">
        <v>10617</v>
      </c>
      <c r="AC460" s="6">
        <v>484110</v>
      </c>
      <c r="AD460" s="10" t="str">
        <f>_xlfn.XLOOKUP(AC460,[1]Mapping!B:B,[1]Mapping!C:C,"")</f>
        <v xml:space="preserve">General Freight Trucking, Local </v>
      </c>
      <c r="AE460" s="6">
        <v>488510</v>
      </c>
      <c r="AF460" s="6" t="s">
        <v>4564</v>
      </c>
      <c r="AG460" s="6" t="s">
        <v>4565</v>
      </c>
      <c r="AH460" s="6" t="s">
        <v>4566</v>
      </c>
      <c r="AI460" s="6" t="s">
        <v>4567</v>
      </c>
      <c r="AJ460" s="6" t="s">
        <v>6933</v>
      </c>
      <c r="AK460" s="6" t="s">
        <v>6934</v>
      </c>
      <c r="AL460" s="6" t="s">
        <v>2136</v>
      </c>
      <c r="AM460" s="6" t="s">
        <v>2137</v>
      </c>
      <c r="AN460" s="6" t="s">
        <v>2138</v>
      </c>
      <c r="AO460" s="6" t="s">
        <v>2139</v>
      </c>
      <c r="AQ460" s="6" t="s">
        <v>6935</v>
      </c>
      <c r="AR460" s="6" t="s">
        <v>6936</v>
      </c>
      <c r="AS460" s="6" t="s">
        <v>10618</v>
      </c>
      <c r="AT460" s="6">
        <v>4923</v>
      </c>
      <c r="AU460" s="6" t="s">
        <v>6938</v>
      </c>
      <c r="AV460" s="6" t="s">
        <v>6939</v>
      </c>
      <c r="AW460" s="6" t="s">
        <v>6940</v>
      </c>
      <c r="AX460" s="6" t="s">
        <v>10619</v>
      </c>
      <c r="AY460" s="6">
        <v>66923978822</v>
      </c>
      <c r="AZ460" s="6" t="s">
        <v>10620</v>
      </c>
      <c r="BA460" s="6" t="s">
        <v>10621</v>
      </c>
      <c r="BD460" s="6" t="s">
        <v>10622</v>
      </c>
      <c r="BE460" s="6" t="str">
        <f t="shared" si="14"/>
        <v>first-classlogistics.com</v>
      </c>
      <c r="BF460" s="6" t="str">
        <f t="shared" si="15"/>
        <v>com</v>
      </c>
      <c r="BG460" s="6" t="s">
        <v>101</v>
      </c>
      <c r="BP460" s="6" t="s">
        <v>10623</v>
      </c>
      <c r="BQ460" s="6" t="s">
        <v>10624</v>
      </c>
      <c r="BR460" s="6" t="s">
        <v>105</v>
      </c>
    </row>
    <row r="461" spans="1:70" ht="45" customHeight="1" x14ac:dyDescent="0.25">
      <c r="A461" s="6">
        <v>461</v>
      </c>
      <c r="B461" s="7" t="s">
        <v>10625</v>
      </c>
      <c r="C461" s="8" t="s">
        <v>10626</v>
      </c>
      <c r="D461" s="6" t="s">
        <v>10627</v>
      </c>
      <c r="E461" s="8" t="s">
        <v>10625</v>
      </c>
      <c r="F461" s="8" t="s">
        <v>10627</v>
      </c>
      <c r="G461" s="6" t="s">
        <v>130</v>
      </c>
      <c r="H461" s="6" t="s">
        <v>131</v>
      </c>
      <c r="I461" s="8" t="s">
        <v>2572</v>
      </c>
      <c r="J461" s="6" t="s">
        <v>2573</v>
      </c>
      <c r="K461" s="9">
        <v>1366</v>
      </c>
      <c r="L461" s="8" t="s">
        <v>10628</v>
      </c>
      <c r="M461" s="9">
        <v>13</v>
      </c>
      <c r="N461" s="6">
        <v>59.911684399999999</v>
      </c>
      <c r="O461" s="6">
        <v>10.6377848</v>
      </c>
      <c r="P461" s="6" t="s">
        <v>10629</v>
      </c>
      <c r="Q461" s="6">
        <v>1</v>
      </c>
      <c r="R461" s="6" t="s">
        <v>79</v>
      </c>
      <c r="T461" s="6">
        <v>3224044</v>
      </c>
      <c r="U461" s="6" t="s">
        <v>80</v>
      </c>
      <c r="V461" s="6">
        <v>35</v>
      </c>
      <c r="W461" s="6" t="s">
        <v>80</v>
      </c>
      <c r="X461" s="6" t="s">
        <v>10630</v>
      </c>
      <c r="Y461" s="6" t="s">
        <v>10631</v>
      </c>
      <c r="Z461" s="6" t="s">
        <v>10632</v>
      </c>
      <c r="AA461" s="6" t="s">
        <v>10633</v>
      </c>
      <c r="AB461" s="6" t="s">
        <v>10634</v>
      </c>
      <c r="AC461" s="6">
        <v>561422</v>
      </c>
      <c r="AD461" s="10" t="str">
        <f>_xlfn.XLOOKUP(AC461,[1]Mapping!B:B,[1]Mapping!C:C,"")</f>
        <v xml:space="preserve">Telemarketing Bureaus and Other Contact Centers </v>
      </c>
      <c r="AG461" s="6" t="s">
        <v>10635</v>
      </c>
      <c r="AH461" s="6" t="s">
        <v>10636</v>
      </c>
      <c r="AI461" s="6" t="s">
        <v>3041</v>
      </c>
      <c r="AQ461" s="6">
        <v>7389</v>
      </c>
      <c r="AR461" s="6" t="s">
        <v>4940</v>
      </c>
      <c r="AT461" s="6">
        <v>8220</v>
      </c>
      <c r="AU461" s="6" t="s">
        <v>2614</v>
      </c>
      <c r="AV461" s="6">
        <v>82.2</v>
      </c>
      <c r="AW461" s="6" t="s">
        <v>2614</v>
      </c>
      <c r="AY461" s="6" t="s">
        <v>10637</v>
      </c>
      <c r="AZ461" s="6">
        <v>4745807467</v>
      </c>
      <c r="BD461" s="6" t="s">
        <v>10638</v>
      </c>
      <c r="BE461" s="6" t="str">
        <f t="shared" si="14"/>
        <v>skycallas.no</v>
      </c>
      <c r="BF461" s="6" t="str">
        <f t="shared" si="15"/>
        <v>no</v>
      </c>
      <c r="BG461" s="6" t="s">
        <v>150</v>
      </c>
      <c r="BJ461" s="6" t="s">
        <v>10639</v>
      </c>
      <c r="BP461" s="6" t="s">
        <v>10640</v>
      </c>
      <c r="BQ461" s="6" t="s">
        <v>10641</v>
      </c>
      <c r="BR461" s="6" t="s">
        <v>105</v>
      </c>
    </row>
    <row r="462" spans="1:70" ht="45" customHeight="1" x14ac:dyDescent="0.25">
      <c r="A462" s="6">
        <v>462</v>
      </c>
      <c r="B462" s="7" t="s">
        <v>10642</v>
      </c>
      <c r="C462" s="8" t="s">
        <v>10643</v>
      </c>
      <c r="D462" s="6" t="s">
        <v>10644</v>
      </c>
      <c r="E462" s="8" t="s">
        <v>10642</v>
      </c>
      <c r="F462" s="8" t="s">
        <v>10645</v>
      </c>
      <c r="G462" s="6" t="s">
        <v>315</v>
      </c>
      <c r="H462" s="6" t="s">
        <v>316</v>
      </c>
      <c r="J462" s="6" t="s">
        <v>316</v>
      </c>
      <c r="L462" s="8" t="s">
        <v>10646</v>
      </c>
      <c r="M462" s="9">
        <v>2</v>
      </c>
      <c r="N462" s="6">
        <v>1.330109</v>
      </c>
      <c r="O462" s="6">
        <v>103.744756</v>
      </c>
      <c r="P462" s="6" t="s">
        <v>10647</v>
      </c>
      <c r="Q462" s="6">
        <v>1</v>
      </c>
      <c r="R462" s="6" t="s">
        <v>79</v>
      </c>
      <c r="S462" s="6">
        <v>2017</v>
      </c>
      <c r="T462" s="6"/>
      <c r="V462" s="6">
        <v>1000</v>
      </c>
      <c r="W462" s="6" t="s">
        <v>167</v>
      </c>
      <c r="X462" s="6" t="s">
        <v>10648</v>
      </c>
      <c r="Y462" s="6" t="s">
        <v>10649</v>
      </c>
      <c r="Z462" s="6" t="s">
        <v>10650</v>
      </c>
      <c r="AA462" s="6" t="s">
        <v>10651</v>
      </c>
      <c r="AB462" s="6" t="s">
        <v>10652</v>
      </c>
      <c r="AC462" s="6">
        <v>511210</v>
      </c>
      <c r="AD462" s="10" t="s">
        <v>4619</v>
      </c>
      <c r="AE462" s="6" t="s">
        <v>10653</v>
      </c>
      <c r="AF462" s="6" t="s">
        <v>10654</v>
      </c>
      <c r="AG462" s="6" t="s">
        <v>10655</v>
      </c>
      <c r="AH462" s="6" t="s">
        <v>10656</v>
      </c>
      <c r="AI462" s="6" t="s">
        <v>1290</v>
      </c>
      <c r="AJ462" s="6" t="s">
        <v>10656</v>
      </c>
      <c r="AK462" s="6">
        <v>45103010</v>
      </c>
      <c r="AL462" s="6" t="s">
        <v>10657</v>
      </c>
      <c r="AM462" s="6">
        <v>4510</v>
      </c>
      <c r="AN462" s="6" t="s">
        <v>1290</v>
      </c>
      <c r="AO462" s="6">
        <v>45</v>
      </c>
      <c r="AQ462" s="6" t="s">
        <v>10658</v>
      </c>
      <c r="AR462" s="6" t="s">
        <v>10659</v>
      </c>
      <c r="AT462" s="6" t="s">
        <v>10660</v>
      </c>
      <c r="AU462" s="6" t="s">
        <v>10661</v>
      </c>
      <c r="AV462" s="6" t="s">
        <v>10662</v>
      </c>
      <c r="AW462" s="6" t="s">
        <v>10663</v>
      </c>
      <c r="AY462" s="6" t="s">
        <v>10664</v>
      </c>
      <c r="AZ462" s="6" t="s">
        <v>10664</v>
      </c>
      <c r="BA462" s="6" t="s">
        <v>10665</v>
      </c>
      <c r="BB462" s="6" t="s">
        <v>10666</v>
      </c>
      <c r="BD462" s="11" t="s">
        <v>10667</v>
      </c>
      <c r="BE462" s="6" t="str">
        <f t="shared" si="14"/>
        <v>ushareit.com</v>
      </c>
      <c r="BF462" s="6" t="str">
        <f t="shared" si="15"/>
        <v>com</v>
      </c>
      <c r="BG462" s="6" t="s">
        <v>101</v>
      </c>
      <c r="BH462" s="6" t="s">
        <v>10668</v>
      </c>
      <c r="BI462" s="6" t="s">
        <v>10669</v>
      </c>
      <c r="BJ462" s="6" t="s">
        <v>10670</v>
      </c>
      <c r="BK462" s="6" t="s">
        <v>10671</v>
      </c>
      <c r="BL462" s="6" t="s">
        <v>10672</v>
      </c>
      <c r="BM462" s="6" t="s">
        <v>10673</v>
      </c>
      <c r="BN462" s="6" t="s">
        <v>10674</v>
      </c>
      <c r="BP462" s="6" t="s">
        <v>2473</v>
      </c>
      <c r="BQ462" s="6" t="s">
        <v>10675</v>
      </c>
      <c r="BR462" s="6" t="s">
        <v>105</v>
      </c>
    </row>
    <row r="463" spans="1:70" ht="45" customHeight="1" x14ac:dyDescent="0.25">
      <c r="A463" s="6">
        <v>463</v>
      </c>
      <c r="B463" s="7" t="s">
        <v>10676</v>
      </c>
      <c r="C463" s="8" t="s">
        <v>10677</v>
      </c>
      <c r="D463" s="6" t="s">
        <v>10678</v>
      </c>
      <c r="E463" s="8" t="s">
        <v>10676</v>
      </c>
      <c r="F463" s="8" t="s">
        <v>10679</v>
      </c>
      <c r="G463" s="6" t="s">
        <v>1659</v>
      </c>
      <c r="H463" s="6" t="s">
        <v>1660</v>
      </c>
      <c r="I463" s="8" t="s">
        <v>1661</v>
      </c>
      <c r="J463" s="6" t="s">
        <v>1662</v>
      </c>
      <c r="L463" s="8" t="s">
        <v>10680</v>
      </c>
      <c r="N463" s="6">
        <v>23.813413499999999</v>
      </c>
      <c r="O463" s="6">
        <v>90.424384399999994</v>
      </c>
      <c r="P463" s="6" t="s">
        <v>10681</v>
      </c>
      <c r="Q463" s="6">
        <v>8</v>
      </c>
      <c r="R463" s="6" t="s">
        <v>79</v>
      </c>
      <c r="S463" s="6">
        <v>1998</v>
      </c>
      <c r="T463" s="6"/>
      <c r="X463" s="6" t="s">
        <v>10682</v>
      </c>
      <c r="Y463" s="6" t="s">
        <v>10683</v>
      </c>
      <c r="Z463" s="6" t="s">
        <v>10684</v>
      </c>
      <c r="AA463" s="6" t="s">
        <v>10685</v>
      </c>
      <c r="AB463" s="6" t="s">
        <v>10686</v>
      </c>
      <c r="AC463" s="6">
        <v>423430</v>
      </c>
      <c r="AD463" s="10" t="str">
        <f>_xlfn.XLOOKUP(AC463,[1]Mapping!B:B,[1]Mapping!C:C,"")</f>
        <v xml:space="preserve">Computer and Computer Peripheral Equipment and Software Merchant Wholesalers </v>
      </c>
      <c r="AE463" s="6" t="s">
        <v>1313</v>
      </c>
      <c r="AF463" s="6" t="s">
        <v>964</v>
      </c>
      <c r="AG463" s="6" t="s">
        <v>10687</v>
      </c>
      <c r="AH463" s="6" t="s">
        <v>10688</v>
      </c>
      <c r="AI463" s="6" t="s">
        <v>1316</v>
      </c>
      <c r="AJ463" s="6" t="s">
        <v>1502</v>
      </c>
      <c r="AK463" s="6" t="s">
        <v>1503</v>
      </c>
      <c r="AL463" s="6" t="s">
        <v>176</v>
      </c>
      <c r="AM463" s="6" t="s">
        <v>177</v>
      </c>
      <c r="AN463" s="6" t="s">
        <v>91</v>
      </c>
      <c r="AO463" s="6" t="s">
        <v>92</v>
      </c>
      <c r="AQ463" s="6">
        <v>5045</v>
      </c>
      <c r="AR463" s="6" t="s">
        <v>1294</v>
      </c>
      <c r="AS463" s="6" t="s">
        <v>10689</v>
      </c>
      <c r="AT463" s="6">
        <v>4651</v>
      </c>
      <c r="AU463" s="6" t="s">
        <v>1296</v>
      </c>
      <c r="AV463" s="6">
        <v>46.51</v>
      </c>
      <c r="AW463" s="6" t="s">
        <v>1296</v>
      </c>
      <c r="AX463" s="6" t="s">
        <v>10690</v>
      </c>
      <c r="AY463" s="6" t="s">
        <v>10691</v>
      </c>
      <c r="AZ463" s="6" t="s">
        <v>10692</v>
      </c>
      <c r="BA463" s="6" t="s">
        <v>10693</v>
      </c>
      <c r="BB463" s="6" t="s">
        <v>10693</v>
      </c>
      <c r="BD463" s="6" t="s">
        <v>10694</v>
      </c>
      <c r="BE463" s="6" t="str">
        <f t="shared" si="14"/>
        <v>smartbd.com</v>
      </c>
      <c r="BF463" s="6" t="str">
        <f t="shared" si="15"/>
        <v>com</v>
      </c>
      <c r="BG463" s="6" t="s">
        <v>101</v>
      </c>
      <c r="BH463" s="6" t="s">
        <v>10695</v>
      </c>
      <c r="BI463" s="6" t="s">
        <v>10696</v>
      </c>
      <c r="BJ463" s="6" t="s">
        <v>10697</v>
      </c>
      <c r="BN463" s="6" t="s">
        <v>10698</v>
      </c>
      <c r="BP463" s="6" t="s">
        <v>10699</v>
      </c>
      <c r="BQ463" s="6" t="s">
        <v>10700</v>
      </c>
      <c r="BR463" s="6" t="s">
        <v>105</v>
      </c>
    </row>
    <row r="464" spans="1:70" ht="45" customHeight="1" x14ac:dyDescent="0.25">
      <c r="A464" s="6">
        <v>464</v>
      </c>
      <c r="B464" s="7" t="s">
        <v>10701</v>
      </c>
      <c r="C464" s="8" t="s">
        <v>10702</v>
      </c>
      <c r="D464" s="6" t="s">
        <v>10703</v>
      </c>
      <c r="E464" s="6" t="s">
        <v>10704</v>
      </c>
      <c r="F464" s="8" t="s">
        <v>10705</v>
      </c>
      <c r="G464" s="6" t="s">
        <v>243</v>
      </c>
      <c r="H464" s="6" t="s">
        <v>244</v>
      </c>
      <c r="I464" s="6" t="s">
        <v>245</v>
      </c>
      <c r="J464" s="6" t="s">
        <v>246</v>
      </c>
      <c r="K464" s="9">
        <v>100</v>
      </c>
      <c r="L464" s="8" t="s">
        <v>10706</v>
      </c>
      <c r="M464" s="9" t="s">
        <v>10707</v>
      </c>
      <c r="N464" s="6">
        <v>60.171585099999987</v>
      </c>
      <c r="O464" s="6">
        <v>24.938481700000001</v>
      </c>
      <c r="P464" s="6" t="s">
        <v>10708</v>
      </c>
      <c r="Q464" s="6">
        <v>2</v>
      </c>
      <c r="R464" s="6" t="s">
        <v>79</v>
      </c>
      <c r="S464" s="6">
        <v>1998</v>
      </c>
      <c r="T464" s="6">
        <v>13200000</v>
      </c>
      <c r="U464" s="6" t="s">
        <v>167</v>
      </c>
      <c r="V464" s="6">
        <v>75</v>
      </c>
      <c r="W464" s="6" t="s">
        <v>80</v>
      </c>
      <c r="X464" s="6" t="s">
        <v>10709</v>
      </c>
      <c r="Y464" s="6" t="s">
        <v>10710</v>
      </c>
      <c r="Z464" s="6" t="s">
        <v>10711</v>
      </c>
      <c r="AA464" s="6" t="s">
        <v>10712</v>
      </c>
      <c r="AB464" s="6" t="s">
        <v>10713</v>
      </c>
      <c r="AC464" s="6">
        <v>111419</v>
      </c>
      <c r="AD464" s="10" t="str">
        <f>_xlfn.XLOOKUP(AC464,[1]Mapping!B:B,[1]Mapping!C:C,"")</f>
        <v xml:space="preserve">Other Food Crops Grown Under Cover </v>
      </c>
      <c r="AG464" s="6" t="s">
        <v>10714</v>
      </c>
      <c r="AH464" s="6" t="s">
        <v>10715</v>
      </c>
      <c r="AI464" s="6" t="s">
        <v>10716</v>
      </c>
      <c r="AJ464" s="6" t="s">
        <v>10717</v>
      </c>
      <c r="AK464" s="6" t="s">
        <v>10718</v>
      </c>
      <c r="AL464" s="6" t="s">
        <v>1025</v>
      </c>
      <c r="AM464" s="6" t="s">
        <v>1026</v>
      </c>
      <c r="AN464" s="6" t="s">
        <v>1027</v>
      </c>
      <c r="AO464" s="6" t="s">
        <v>1028</v>
      </c>
      <c r="AQ464" s="6">
        <v>182</v>
      </c>
      <c r="AR464" s="6" t="s">
        <v>10719</v>
      </c>
      <c r="AS464" s="6" t="s">
        <v>10720</v>
      </c>
      <c r="AT464" s="6" t="s">
        <v>10721</v>
      </c>
      <c r="AU464" s="6" t="s">
        <v>10722</v>
      </c>
      <c r="AV464" s="6" t="s">
        <v>10723</v>
      </c>
      <c r="AW464" s="6" t="s">
        <v>10724</v>
      </c>
      <c r="AX464" s="6" t="s">
        <v>10725</v>
      </c>
      <c r="AY464" s="6">
        <v>358284000000</v>
      </c>
      <c r="AZ464" s="6" t="s">
        <v>10726</v>
      </c>
      <c r="BA464" s="6" t="s">
        <v>10727</v>
      </c>
      <c r="BD464" s="6" t="s">
        <v>10728</v>
      </c>
      <c r="BE464" s="6" t="str">
        <f t="shared" si="14"/>
        <v>smartly.io</v>
      </c>
      <c r="BF464" s="6" t="str">
        <f t="shared" si="15"/>
        <v>io</v>
      </c>
      <c r="BG464" s="6" t="s">
        <v>3638</v>
      </c>
      <c r="BH464" s="6" t="s">
        <v>10729</v>
      </c>
      <c r="BJ464" s="6" t="s">
        <v>10730</v>
      </c>
      <c r="BK464" s="6" t="s">
        <v>10731</v>
      </c>
      <c r="BN464" s="6" t="s">
        <v>10732</v>
      </c>
      <c r="BP464" s="6" t="s">
        <v>10733</v>
      </c>
      <c r="BQ464" s="6" t="s">
        <v>10734</v>
      </c>
      <c r="BR464" s="6" t="s">
        <v>105</v>
      </c>
    </row>
    <row r="465" spans="1:70" ht="45" customHeight="1" x14ac:dyDescent="0.25">
      <c r="A465" s="6">
        <v>465</v>
      </c>
      <c r="B465" s="7" t="s">
        <v>10735</v>
      </c>
      <c r="C465" s="8" t="s">
        <v>10736</v>
      </c>
      <c r="D465" s="6" t="s">
        <v>10737</v>
      </c>
      <c r="E465" s="6" t="s">
        <v>10738</v>
      </c>
      <c r="F465" s="8" t="s">
        <v>10739</v>
      </c>
      <c r="G465" s="6" t="s">
        <v>160</v>
      </c>
      <c r="H465" s="6" t="s">
        <v>161</v>
      </c>
      <c r="I465" s="6" t="s">
        <v>281</v>
      </c>
      <c r="J465" s="6" t="s">
        <v>1350</v>
      </c>
      <c r="K465" s="9" t="s">
        <v>10740</v>
      </c>
      <c r="L465" s="8" t="s">
        <v>10741</v>
      </c>
      <c r="M465" s="9">
        <v>7</v>
      </c>
      <c r="N465" s="6">
        <v>59.359863399999988</v>
      </c>
      <c r="O465" s="6">
        <v>17.9793862</v>
      </c>
      <c r="P465" s="6" t="s">
        <v>10742</v>
      </c>
      <c r="Q465" s="6">
        <v>12</v>
      </c>
      <c r="R465" s="6" t="s">
        <v>79</v>
      </c>
      <c r="S465" s="6">
        <v>1997</v>
      </c>
      <c r="T465" s="6">
        <v>30530578</v>
      </c>
      <c r="U465" s="6" t="s">
        <v>80</v>
      </c>
      <c r="V465" s="6">
        <v>150</v>
      </c>
      <c r="W465" s="6" t="s">
        <v>80</v>
      </c>
      <c r="X465" s="6" t="s">
        <v>10743</v>
      </c>
      <c r="Y465" s="6" t="s">
        <v>10744</v>
      </c>
      <c r="Z465" s="6" t="s">
        <v>10745</v>
      </c>
      <c r="AA465" s="6" t="s">
        <v>10746</v>
      </c>
      <c r="AB465" s="6" t="s">
        <v>10747</v>
      </c>
      <c r="AC465" s="6">
        <v>518210</v>
      </c>
      <c r="AD465" s="10" t="str">
        <f>_xlfn.XLOOKUP(AC465,[1]Mapping!B:B,[1]Mapping!C:C,"")</f>
        <v>Computing Infrastructure Providers, Data Processing, Web Hosting, and Related Services</v>
      </c>
      <c r="AE465" s="6">
        <v>541511</v>
      </c>
      <c r="AF465" s="6" t="s">
        <v>1971</v>
      </c>
      <c r="AG465" s="6" t="s">
        <v>581</v>
      </c>
      <c r="AH465" s="6" t="s">
        <v>174</v>
      </c>
      <c r="AI465" s="6" t="s">
        <v>87</v>
      </c>
      <c r="AJ465" s="6" t="s">
        <v>174</v>
      </c>
      <c r="AK465" s="6" t="s">
        <v>175</v>
      </c>
      <c r="AL465" s="6" t="s">
        <v>176</v>
      </c>
      <c r="AM465" s="6" t="s">
        <v>177</v>
      </c>
      <c r="AN465" s="6" t="s">
        <v>91</v>
      </c>
      <c r="AO465" s="6" t="s">
        <v>92</v>
      </c>
      <c r="AQ465" s="6" t="s">
        <v>178</v>
      </c>
      <c r="AR465" s="6" t="s">
        <v>179</v>
      </c>
      <c r="AS465" s="6" t="s">
        <v>10748</v>
      </c>
      <c r="AT465" s="6" t="s">
        <v>181</v>
      </c>
      <c r="AU465" s="6" t="s">
        <v>182</v>
      </c>
      <c r="AV465" s="6" t="s">
        <v>183</v>
      </c>
      <c r="AW465" s="6" t="s">
        <v>184</v>
      </c>
      <c r="AX465" s="6" t="s">
        <v>10749</v>
      </c>
      <c r="AY465" s="6" t="s">
        <v>10750</v>
      </c>
      <c r="BA465" s="6" t="s">
        <v>10751</v>
      </c>
      <c r="BB465" s="6" t="s">
        <v>10752</v>
      </c>
      <c r="BD465" s="6" t="s">
        <v>10753</v>
      </c>
      <c r="BE465" s="6" t="str">
        <f t="shared" si="14"/>
        <v>snowsoftware.com</v>
      </c>
      <c r="BF465" s="6" t="str">
        <f t="shared" si="15"/>
        <v>com</v>
      </c>
      <c r="BG465" s="6" t="s">
        <v>101</v>
      </c>
      <c r="BI465" s="6" t="s">
        <v>10754</v>
      </c>
      <c r="BJ465" s="6" t="s">
        <v>10755</v>
      </c>
      <c r="BK465" s="6" t="s">
        <v>10756</v>
      </c>
      <c r="BN465" s="6" t="s">
        <v>10757</v>
      </c>
      <c r="BP465" s="6" t="s">
        <v>10758</v>
      </c>
      <c r="BQ465" s="6" t="s">
        <v>10759</v>
      </c>
      <c r="BR465" s="6" t="s">
        <v>105</v>
      </c>
    </row>
    <row r="466" spans="1:70" ht="45" customHeight="1" x14ac:dyDescent="0.25">
      <c r="A466" s="6">
        <v>466</v>
      </c>
      <c r="B466" s="7" t="s">
        <v>10760</v>
      </c>
      <c r="C466" s="8" t="s">
        <v>10761</v>
      </c>
      <c r="D466" s="6" t="s">
        <v>10762</v>
      </c>
      <c r="E466" s="8" t="s">
        <v>10763</v>
      </c>
      <c r="F466" s="8" t="s">
        <v>10763</v>
      </c>
      <c r="G466" s="6" t="s">
        <v>73</v>
      </c>
      <c r="H466" s="6" t="s">
        <v>74</v>
      </c>
      <c r="I466" s="6"/>
      <c r="J466" s="6" t="s">
        <v>1738</v>
      </c>
      <c r="K466" s="9">
        <v>2670</v>
      </c>
      <c r="L466" s="8" t="s">
        <v>10764</v>
      </c>
      <c r="M466" s="9">
        <v>6</v>
      </c>
      <c r="N466" s="6">
        <v>55.587816399999987</v>
      </c>
      <c r="O466" s="6">
        <v>12.2489712</v>
      </c>
      <c r="P466" s="6" t="s">
        <v>2395</v>
      </c>
      <c r="Q466" s="6">
        <v>1</v>
      </c>
      <c r="R466" s="6" t="s">
        <v>79</v>
      </c>
      <c r="T466" s="6"/>
      <c r="X466" s="6" t="s">
        <v>10743</v>
      </c>
      <c r="Y466" s="6" t="s">
        <v>10765</v>
      </c>
      <c r="Z466" s="6" t="s">
        <v>10766</v>
      </c>
      <c r="AA466" s="6" t="s">
        <v>10767</v>
      </c>
      <c r="AB466" s="6" t="s">
        <v>10768</v>
      </c>
      <c r="AC466" s="6">
        <v>513210</v>
      </c>
      <c r="AD466" s="10" t="str">
        <f>_xlfn.XLOOKUP(AC466,[1]Mapping!B:B,[1]Mapping!C:C,"")</f>
        <v>Software Publishers</v>
      </c>
      <c r="AG466" s="6" t="s">
        <v>10769</v>
      </c>
      <c r="AH466" s="6" t="s">
        <v>10770</v>
      </c>
      <c r="AI466" s="6" t="s">
        <v>499</v>
      </c>
      <c r="AJ466" s="6" t="s">
        <v>174</v>
      </c>
      <c r="AK466" s="6" t="s">
        <v>175</v>
      </c>
      <c r="AL466" s="6" t="s">
        <v>176</v>
      </c>
      <c r="AM466" s="6" t="s">
        <v>177</v>
      </c>
      <c r="AN466" s="6" t="s">
        <v>91</v>
      </c>
      <c r="AO466" s="6" t="s">
        <v>92</v>
      </c>
      <c r="AQ466" s="6">
        <v>7372</v>
      </c>
      <c r="AR466" s="6" t="s">
        <v>2077</v>
      </c>
      <c r="AT466" s="6">
        <v>5820</v>
      </c>
      <c r="AU466" s="6" t="s">
        <v>2028</v>
      </c>
      <c r="AV466" s="6">
        <v>58.29</v>
      </c>
      <c r="AW466" s="6" t="s">
        <v>2078</v>
      </c>
      <c r="AY466" s="6" t="s">
        <v>10771</v>
      </c>
      <c r="AZ466" s="6">
        <v>4571677469</v>
      </c>
      <c r="BA466" s="6" t="s">
        <v>10772</v>
      </c>
      <c r="BB466" s="6" t="s">
        <v>10772</v>
      </c>
      <c r="BD466" s="6" t="s">
        <v>10753</v>
      </c>
      <c r="BE466" s="6" t="str">
        <f t="shared" si="14"/>
        <v>snowsoftware.com</v>
      </c>
      <c r="BF466" s="6" t="str">
        <f t="shared" si="15"/>
        <v>com</v>
      </c>
      <c r="BG466" s="6" t="s">
        <v>101</v>
      </c>
      <c r="BI466" s="6" t="s">
        <v>10754</v>
      </c>
      <c r="BJ466" s="6" t="s">
        <v>10755</v>
      </c>
      <c r="BK466" s="6" t="s">
        <v>10756</v>
      </c>
      <c r="BN466" s="6" t="s">
        <v>10757</v>
      </c>
      <c r="BP466" s="6" t="s">
        <v>10773</v>
      </c>
      <c r="BQ466" s="6" t="s">
        <v>10774</v>
      </c>
      <c r="BR466" s="6" t="s">
        <v>105</v>
      </c>
    </row>
    <row r="467" spans="1:70" ht="45" customHeight="1" x14ac:dyDescent="0.25">
      <c r="A467" s="6">
        <v>467</v>
      </c>
      <c r="B467" s="7" t="s">
        <v>10775</v>
      </c>
      <c r="C467" s="8" t="s">
        <v>10776</v>
      </c>
      <c r="D467" s="6" t="s">
        <v>10775</v>
      </c>
      <c r="E467" s="8" t="s">
        <v>10775</v>
      </c>
      <c r="F467" s="8" t="s">
        <v>10777</v>
      </c>
      <c r="G467" s="6" t="e">
        <f>#REF!</f>
        <v>#REF!</v>
      </c>
      <c r="H467" s="6" t="e">
        <f>#REF!</f>
        <v>#REF!</v>
      </c>
      <c r="I467" s="6" t="e">
        <f>#REF!</f>
        <v>#REF!</v>
      </c>
      <c r="J467" s="6" t="e">
        <f>#REF!</f>
        <v>#REF!</v>
      </c>
      <c r="K467" s="9" t="e">
        <f>#REF!</f>
        <v>#REF!</v>
      </c>
      <c r="L467" s="8" t="s">
        <v>10778</v>
      </c>
      <c r="M467" s="9" t="e">
        <f>#REF!</f>
        <v>#REF!</v>
      </c>
      <c r="P467" s="6" t="s">
        <v>10779</v>
      </c>
      <c r="Q467" s="6">
        <v>1</v>
      </c>
      <c r="R467" s="6" t="s">
        <v>79</v>
      </c>
      <c r="S467" s="6">
        <v>2001</v>
      </c>
      <c r="T467" s="6">
        <v>38199664</v>
      </c>
      <c r="U467" s="6" t="s">
        <v>80</v>
      </c>
      <c r="V467" s="6">
        <v>75</v>
      </c>
      <c r="W467" s="6" t="s">
        <v>80</v>
      </c>
      <c r="X467" s="6" t="s">
        <v>10780</v>
      </c>
      <c r="Y467" s="6" t="s">
        <v>10781</v>
      </c>
      <c r="Z467" s="6" t="s">
        <v>10782</v>
      </c>
      <c r="AA467" s="6" t="s">
        <v>10783</v>
      </c>
      <c r="AB467" s="6" t="s">
        <v>10784</v>
      </c>
      <c r="AC467" s="6">
        <v>711212</v>
      </c>
      <c r="AD467" s="10" t="str">
        <f>_xlfn.XLOOKUP(AC467,[1]Mapping!B:B,[1]Mapping!C:C,"")</f>
        <v xml:space="preserve">Racetracks </v>
      </c>
      <c r="AG467" s="6" t="s">
        <v>10785</v>
      </c>
      <c r="AH467" s="6" t="s">
        <v>10298</v>
      </c>
      <c r="AI467" s="6" t="s">
        <v>3610</v>
      </c>
      <c r="AJ467" s="6" t="s">
        <v>326</v>
      </c>
      <c r="AK467" s="6" t="s">
        <v>327</v>
      </c>
      <c r="AL467" s="6" t="s">
        <v>328</v>
      </c>
      <c r="AM467" s="6" t="s">
        <v>329</v>
      </c>
      <c r="AN467" s="6" t="s">
        <v>297</v>
      </c>
      <c r="AO467" s="6" t="s">
        <v>298</v>
      </c>
      <c r="AQ467" s="6">
        <v>7948</v>
      </c>
      <c r="AR467" s="6" t="s">
        <v>10786</v>
      </c>
      <c r="AT467" s="6">
        <v>9311</v>
      </c>
      <c r="AU467" s="6" t="s">
        <v>10787</v>
      </c>
      <c r="AV467" s="6" t="s">
        <v>10788</v>
      </c>
      <c r="AW467" s="6" t="s">
        <v>10789</v>
      </c>
      <c r="AY467" s="6">
        <v>4791595268</v>
      </c>
      <c r="AZ467" s="6" t="s">
        <v>10790</v>
      </c>
      <c r="BA467" s="6" t="s">
        <v>10791</v>
      </c>
      <c r="BB467" s="6" t="s">
        <v>10791</v>
      </c>
      <c r="BD467" s="6" t="s">
        <v>10792</v>
      </c>
      <c r="BE467" s="6" t="str">
        <f t="shared" si="14"/>
        <v>snowstock.no</v>
      </c>
      <c r="BF467" s="6" t="str">
        <f t="shared" si="15"/>
        <v>no</v>
      </c>
      <c r="BG467" s="6" t="s">
        <v>150</v>
      </c>
      <c r="BH467" s="6" t="s">
        <v>10793</v>
      </c>
      <c r="BJ467" s="6" t="s">
        <v>10794</v>
      </c>
      <c r="BN467" s="6" t="s">
        <v>10795</v>
      </c>
      <c r="BP467" s="6" t="s">
        <v>10796</v>
      </c>
      <c r="BQ467" s="6" t="s">
        <v>10797</v>
      </c>
      <c r="BR467" s="6" t="s">
        <v>105</v>
      </c>
    </row>
    <row r="468" spans="1:70" ht="45" customHeight="1" x14ac:dyDescent="0.25">
      <c r="A468" s="6">
        <v>468</v>
      </c>
      <c r="B468" s="7" t="s">
        <v>10798</v>
      </c>
      <c r="C468" s="8" t="s">
        <v>10799</v>
      </c>
      <c r="D468" s="6" t="s">
        <v>10800</v>
      </c>
      <c r="E468" s="8" t="s">
        <v>10801</v>
      </c>
      <c r="F468" s="8" t="s">
        <v>10801</v>
      </c>
      <c r="G468" s="6" t="s">
        <v>1324</v>
      </c>
      <c r="H468" s="6" t="s">
        <v>1325</v>
      </c>
      <c r="I468" s="6" t="s">
        <v>10802</v>
      </c>
      <c r="K468" s="9">
        <v>10330</v>
      </c>
      <c r="L468" s="8" t="s">
        <v>10803</v>
      </c>
      <c r="N468" s="6">
        <v>13.744643399999999</v>
      </c>
      <c r="O468" s="6">
        <v>100.5478854</v>
      </c>
      <c r="P468" s="6" t="s">
        <v>10804</v>
      </c>
      <c r="Q468" s="6">
        <v>2</v>
      </c>
      <c r="R468" s="6" t="s">
        <v>79</v>
      </c>
      <c r="S468" s="6">
        <v>1983</v>
      </c>
      <c r="T468" s="6">
        <v>14018800</v>
      </c>
      <c r="U468" s="6" t="s">
        <v>80</v>
      </c>
      <c r="V468" s="6">
        <v>75</v>
      </c>
      <c r="W468" s="6" t="s">
        <v>80</v>
      </c>
      <c r="X468" s="6" t="s">
        <v>10805</v>
      </c>
      <c r="Y468" s="6" t="s">
        <v>10806</v>
      </c>
      <c r="Z468" s="6" t="s">
        <v>10807</v>
      </c>
      <c r="AA468" s="6" t="s">
        <v>10808</v>
      </c>
      <c r="AC468" s="6">
        <v>541511</v>
      </c>
      <c r="AD468" s="10" t="str">
        <f>_xlfn.XLOOKUP(AC468,[1]Mapping!B:B,[1]Mapping!C:C,"")</f>
        <v xml:space="preserve">Custom Computer Programming Services </v>
      </c>
      <c r="AG468" s="6" t="s">
        <v>990</v>
      </c>
      <c r="AH468" s="6" t="s">
        <v>174</v>
      </c>
      <c r="AI468" s="6" t="s">
        <v>87</v>
      </c>
      <c r="AJ468" s="6" t="s">
        <v>174</v>
      </c>
      <c r="AK468" s="6" t="s">
        <v>175</v>
      </c>
      <c r="AL468" s="6" t="s">
        <v>176</v>
      </c>
      <c r="AM468" s="6" t="s">
        <v>177</v>
      </c>
      <c r="AN468" s="6" t="s">
        <v>91</v>
      </c>
      <c r="AO468" s="6" t="s">
        <v>92</v>
      </c>
      <c r="AQ468" s="6">
        <v>7371</v>
      </c>
      <c r="AR468" s="6" t="s">
        <v>504</v>
      </c>
      <c r="AS468" s="6" t="s">
        <v>10809</v>
      </c>
      <c r="AT468" s="6">
        <v>6201</v>
      </c>
      <c r="AU468" s="6" t="s">
        <v>505</v>
      </c>
      <c r="AV468" s="6">
        <v>62.01</v>
      </c>
      <c r="AW468" s="6" t="s">
        <v>505</v>
      </c>
      <c r="AX468" s="6" t="s">
        <v>10810</v>
      </c>
      <c r="AY468" s="6" t="s">
        <v>10811</v>
      </c>
      <c r="AZ468" s="6" t="s">
        <v>10812</v>
      </c>
      <c r="BD468" s="6" t="s">
        <v>10813</v>
      </c>
      <c r="BE468" s="6" t="str">
        <f t="shared" si="14"/>
        <v>softwareone.com</v>
      </c>
      <c r="BF468" s="6" t="str">
        <f t="shared" si="15"/>
        <v>com</v>
      </c>
      <c r="BG468" s="6" t="s">
        <v>101</v>
      </c>
      <c r="BP468" s="6" t="s">
        <v>10814</v>
      </c>
      <c r="BQ468" s="6" t="s">
        <v>10815</v>
      </c>
      <c r="BR468" s="6" t="s">
        <v>105</v>
      </c>
    </row>
    <row r="469" spans="1:70" ht="45" customHeight="1" x14ac:dyDescent="0.25">
      <c r="A469" s="6">
        <v>469</v>
      </c>
      <c r="B469" s="7" t="s">
        <v>10816</v>
      </c>
      <c r="C469" s="8" t="s">
        <v>10817</v>
      </c>
      <c r="D469" s="6" t="s">
        <v>10818</v>
      </c>
      <c r="E469" s="8" t="s">
        <v>10816</v>
      </c>
      <c r="F469" s="8" t="s">
        <v>10818</v>
      </c>
      <c r="G469" s="6" t="s">
        <v>130</v>
      </c>
      <c r="H469" s="6" t="s">
        <v>131</v>
      </c>
      <c r="I469" s="8" t="s">
        <v>132</v>
      </c>
      <c r="J469" s="6" t="s">
        <v>132</v>
      </c>
      <c r="K469" s="9">
        <v>667</v>
      </c>
      <c r="L469" s="8" t="s">
        <v>10819</v>
      </c>
      <c r="M469" s="9" t="s">
        <v>10820</v>
      </c>
      <c r="N469" s="6">
        <v>59.9126257</v>
      </c>
      <c r="O469" s="6">
        <v>10.810817399999999</v>
      </c>
      <c r="P469" s="6" t="s">
        <v>10821</v>
      </c>
      <c r="Q469" s="6">
        <v>1</v>
      </c>
      <c r="R469" s="6" t="s">
        <v>79</v>
      </c>
      <c r="T469" s="6"/>
      <c r="X469" s="6" t="s">
        <v>10822</v>
      </c>
      <c r="Y469" s="6" t="s">
        <v>10823</v>
      </c>
      <c r="Z469" s="6" t="s">
        <v>10824</v>
      </c>
      <c r="AC469" s="6">
        <v>541512</v>
      </c>
      <c r="AD469" s="10" t="str">
        <f>_xlfn.XLOOKUP(AC469,[1]Mapping!B:B,[1]Mapping!C:C,"")</f>
        <v xml:space="preserve">Computer Systems Design Services </v>
      </c>
      <c r="AG469" s="6" t="s">
        <v>581</v>
      </c>
      <c r="AH469" s="6" t="s">
        <v>174</v>
      </c>
      <c r="AI469" s="6" t="s">
        <v>87</v>
      </c>
      <c r="AQ469" s="6" t="s">
        <v>582</v>
      </c>
      <c r="AR469" s="6" t="s">
        <v>583</v>
      </c>
      <c r="AT469" s="6">
        <v>6202</v>
      </c>
      <c r="AU469" s="6" t="s">
        <v>584</v>
      </c>
      <c r="AV469" s="6" t="s">
        <v>585</v>
      </c>
      <c r="AW469" s="6" t="s">
        <v>586</v>
      </c>
      <c r="AY469" s="6" t="s">
        <v>10825</v>
      </c>
      <c r="BE469" s="6" t="str">
        <f t="shared" si="14"/>
        <v/>
      </c>
      <c r="BF469" s="6" t="e">
        <f t="shared" si="15"/>
        <v>#VALUE!</v>
      </c>
      <c r="BQ469" s="6" t="s">
        <v>10826</v>
      </c>
      <c r="BR469" s="6" t="s">
        <v>105</v>
      </c>
    </row>
    <row r="470" spans="1:70" ht="45" customHeight="1" x14ac:dyDescent="0.25">
      <c r="A470" s="6">
        <v>470</v>
      </c>
      <c r="B470" s="7" t="s">
        <v>10827</v>
      </c>
      <c r="C470" s="8" t="s">
        <v>10799</v>
      </c>
      <c r="D470" s="6" t="s">
        <v>10828</v>
      </c>
      <c r="E470" s="8" t="s">
        <v>10801</v>
      </c>
      <c r="F470" s="8" t="s">
        <v>10801</v>
      </c>
      <c r="G470" s="6" t="s">
        <v>315</v>
      </c>
      <c r="H470" s="6" t="s">
        <v>316</v>
      </c>
      <c r="I470" s="6"/>
      <c r="J470" s="6" t="s">
        <v>316</v>
      </c>
      <c r="K470" s="9">
        <v>189720</v>
      </c>
      <c r="L470" s="8" t="s">
        <v>7300</v>
      </c>
      <c r="M470" s="9">
        <v>150</v>
      </c>
      <c r="N470" s="6">
        <v>1.2984040999999999</v>
      </c>
      <c r="O470" s="6">
        <v>103.8589041</v>
      </c>
      <c r="P470" s="6" t="s">
        <v>10804</v>
      </c>
      <c r="Q470" s="6">
        <v>2</v>
      </c>
      <c r="R470" s="6" t="s">
        <v>79</v>
      </c>
      <c r="S470" s="6">
        <v>1983</v>
      </c>
      <c r="T470" s="6">
        <v>14018800</v>
      </c>
      <c r="U470" s="6" t="s">
        <v>80</v>
      </c>
      <c r="V470" s="6">
        <v>75</v>
      </c>
      <c r="W470" s="6" t="s">
        <v>80</v>
      </c>
      <c r="X470" s="6" t="s">
        <v>10805</v>
      </c>
      <c r="Y470" s="6" t="s">
        <v>10806</v>
      </c>
      <c r="Z470" s="6" t="s">
        <v>10807</v>
      </c>
      <c r="AA470" s="6" t="s">
        <v>10808</v>
      </c>
      <c r="AC470" s="6">
        <v>541511</v>
      </c>
      <c r="AD470" s="10" t="str">
        <f>_xlfn.XLOOKUP(AC470,[1]Mapping!B:B,[1]Mapping!C:C,"")</f>
        <v xml:space="preserve">Custom Computer Programming Services </v>
      </c>
      <c r="AG470" s="6" t="s">
        <v>990</v>
      </c>
      <c r="AH470" s="6" t="s">
        <v>174</v>
      </c>
      <c r="AI470" s="6" t="s">
        <v>87</v>
      </c>
      <c r="AJ470" s="6" t="s">
        <v>174</v>
      </c>
      <c r="AK470" s="6" t="s">
        <v>175</v>
      </c>
      <c r="AL470" s="6" t="s">
        <v>176</v>
      </c>
      <c r="AM470" s="6" t="s">
        <v>177</v>
      </c>
      <c r="AN470" s="6" t="s">
        <v>91</v>
      </c>
      <c r="AO470" s="6" t="s">
        <v>92</v>
      </c>
      <c r="AQ470" s="6">
        <v>7371</v>
      </c>
      <c r="AR470" s="6" t="s">
        <v>504</v>
      </c>
      <c r="AS470" s="6" t="s">
        <v>10809</v>
      </c>
      <c r="AT470" s="6">
        <v>6201</v>
      </c>
      <c r="AU470" s="6" t="s">
        <v>505</v>
      </c>
      <c r="AV470" s="6">
        <v>62.01</v>
      </c>
      <c r="AW470" s="6" t="s">
        <v>505</v>
      </c>
      <c r="AX470" s="6" t="s">
        <v>10810</v>
      </c>
      <c r="AY470" s="6" t="s">
        <v>10829</v>
      </c>
      <c r="AZ470" s="6" t="s">
        <v>10812</v>
      </c>
      <c r="BD470" s="6" t="s">
        <v>10830</v>
      </c>
      <c r="BE470" s="6" t="str">
        <f t="shared" si="14"/>
        <v>softwareone.com</v>
      </c>
      <c r="BF470" s="6" t="str">
        <f t="shared" si="15"/>
        <v>com</v>
      </c>
      <c r="BG470" s="6" t="s">
        <v>101</v>
      </c>
      <c r="BP470" s="6" t="s">
        <v>10814</v>
      </c>
      <c r="BQ470" s="6" t="s">
        <v>10815</v>
      </c>
      <c r="BR470" s="6" t="s">
        <v>105</v>
      </c>
    </row>
    <row r="471" spans="1:70" ht="45" customHeight="1" x14ac:dyDescent="0.25">
      <c r="A471" s="6">
        <v>471</v>
      </c>
      <c r="B471" s="7" t="s">
        <v>10831</v>
      </c>
      <c r="C471" s="8" t="s">
        <v>10832</v>
      </c>
      <c r="D471" s="6" t="s">
        <v>10833</v>
      </c>
      <c r="E471" s="6" t="s">
        <v>934</v>
      </c>
      <c r="F471" s="8" t="s">
        <v>10834</v>
      </c>
      <c r="G471" s="6" t="s">
        <v>160</v>
      </c>
      <c r="H471" s="6" t="s">
        <v>161</v>
      </c>
      <c r="I471" s="6" t="s">
        <v>9585</v>
      </c>
      <c r="J471" s="6" t="s">
        <v>9586</v>
      </c>
      <c r="K471" s="9" t="s">
        <v>10835</v>
      </c>
      <c r="L471" s="8" t="s">
        <v>10836</v>
      </c>
      <c r="N471" s="6">
        <v>55.718411400000001</v>
      </c>
      <c r="O471" s="6">
        <v>13.2253942</v>
      </c>
      <c r="P471" s="6" t="s">
        <v>10837</v>
      </c>
      <c r="Q471" s="6">
        <v>1</v>
      </c>
      <c r="R471" s="6" t="s">
        <v>79</v>
      </c>
      <c r="S471" s="6">
        <v>2001</v>
      </c>
      <c r="T471" s="12">
        <v>773200000</v>
      </c>
      <c r="V471" s="6">
        <v>8659</v>
      </c>
      <c r="X471" s="6" t="s">
        <v>10838</v>
      </c>
      <c r="Y471" s="6" t="s">
        <v>10839</v>
      </c>
      <c r="AC471" s="10">
        <f>_xlfn.XLOOKUP(AH471,[1]Mapping!C:C,[1]Mapping!B:B,"",1)</f>
        <v>722330</v>
      </c>
      <c r="AD471" s="10" t="s">
        <v>6227</v>
      </c>
      <c r="AE471" s="6">
        <v>334220</v>
      </c>
      <c r="AF471" s="6" t="s">
        <v>10840</v>
      </c>
      <c r="AG471" s="6" t="s">
        <v>176</v>
      </c>
      <c r="AH471" s="6" t="s">
        <v>10841</v>
      </c>
      <c r="AI471" s="6" t="s">
        <v>1290</v>
      </c>
      <c r="AJ471" s="6" t="s">
        <v>6229</v>
      </c>
      <c r="AK471" s="6">
        <v>3669</v>
      </c>
      <c r="AL471" s="6" t="s">
        <v>8422</v>
      </c>
      <c r="AM471" s="6">
        <v>3600</v>
      </c>
      <c r="AN471" s="6" t="s">
        <v>176</v>
      </c>
      <c r="AO471" s="6">
        <v>4500</v>
      </c>
      <c r="AQ471" s="6">
        <v>3663</v>
      </c>
      <c r="AR471" s="6" t="s">
        <v>10842</v>
      </c>
      <c r="AT471" s="6">
        <v>2630</v>
      </c>
      <c r="AU471" s="6" t="s">
        <v>2684</v>
      </c>
      <c r="AV471" s="6">
        <v>26.3</v>
      </c>
      <c r="AW471" s="6" t="s">
        <v>10843</v>
      </c>
      <c r="AX471" s="6">
        <v>2600</v>
      </c>
      <c r="AY471" s="6" t="s">
        <v>10844</v>
      </c>
      <c r="AZ471" s="6">
        <v>46703129139</v>
      </c>
      <c r="BD471" s="6" t="s">
        <v>10845</v>
      </c>
      <c r="BE471" s="6" t="str">
        <f t="shared" si="14"/>
        <v>sony.com</v>
      </c>
      <c r="BF471" s="6" t="str">
        <f t="shared" si="15"/>
        <v>com</v>
      </c>
      <c r="BG471" s="6" t="s">
        <v>101</v>
      </c>
      <c r="BQ471" s="6" t="s">
        <v>10846</v>
      </c>
      <c r="BR471" s="6" t="s">
        <v>105</v>
      </c>
    </row>
    <row r="472" spans="1:70" ht="45" customHeight="1" x14ac:dyDescent="0.25">
      <c r="A472" s="6">
        <v>472</v>
      </c>
      <c r="B472" s="7" t="s">
        <v>10847</v>
      </c>
      <c r="C472" s="8" t="s">
        <v>10848</v>
      </c>
      <c r="D472" s="6" t="s">
        <v>10849</v>
      </c>
      <c r="E472" s="6" t="s">
        <v>10850</v>
      </c>
      <c r="F472" s="8" t="s">
        <v>10851</v>
      </c>
      <c r="G472" s="6" t="s">
        <v>160</v>
      </c>
      <c r="H472" s="6" t="s">
        <v>161</v>
      </c>
      <c r="I472" s="6" t="s">
        <v>281</v>
      </c>
      <c r="J472" s="6" t="s">
        <v>10852</v>
      </c>
      <c r="K472" s="9" t="s">
        <v>10853</v>
      </c>
      <c r="L472" s="8" t="s">
        <v>10854</v>
      </c>
      <c r="M472" s="9">
        <v>12</v>
      </c>
      <c r="N472" s="6">
        <v>59.363327800000008</v>
      </c>
      <c r="O472" s="6">
        <v>17.957773700000001</v>
      </c>
      <c r="P472" s="6" t="s">
        <v>10855</v>
      </c>
      <c r="Q472" s="6">
        <v>4</v>
      </c>
      <c r="R472" s="6" t="s">
        <v>79</v>
      </c>
      <c r="T472" s="6"/>
      <c r="X472" s="6" t="s">
        <v>10856</v>
      </c>
      <c r="Y472" s="6" t="s">
        <v>10857</v>
      </c>
      <c r="Z472" s="6" t="s">
        <v>10858</v>
      </c>
      <c r="AA472" s="6" t="s">
        <v>10859</v>
      </c>
      <c r="AC472" s="6">
        <v>541330</v>
      </c>
      <c r="AD472" s="10" t="str">
        <f>_xlfn.XLOOKUP(AC472,[1]Mapping!B:B,[1]Mapping!C:C,"")</f>
        <v>Engineering Services</v>
      </c>
      <c r="AG472" s="6" t="s">
        <v>10860</v>
      </c>
      <c r="AH472" s="6" t="s">
        <v>2348</v>
      </c>
      <c r="AI472" s="6" t="s">
        <v>4822</v>
      </c>
      <c r="AQ472" s="6" t="s">
        <v>4885</v>
      </c>
      <c r="AR472" s="6" t="s">
        <v>4886</v>
      </c>
      <c r="AT472" s="6">
        <v>7110</v>
      </c>
      <c r="AU472" s="6" t="s">
        <v>4844</v>
      </c>
      <c r="AV472" s="6" t="s">
        <v>4845</v>
      </c>
      <c r="AW472" s="6" t="s">
        <v>4846</v>
      </c>
      <c r="AY472" s="6" t="s">
        <v>10861</v>
      </c>
      <c r="AZ472" s="6" t="s">
        <v>10862</v>
      </c>
      <c r="BB472" s="6" t="s">
        <v>10863</v>
      </c>
      <c r="BD472" s="11" t="s">
        <v>10864</v>
      </c>
      <c r="BE472" s="6" t="str">
        <f t="shared" si="14"/>
        <v>southpole.se</v>
      </c>
      <c r="BF472" s="6" t="str">
        <f t="shared" si="15"/>
        <v>se</v>
      </c>
      <c r="BG472" s="6" t="s">
        <v>308</v>
      </c>
      <c r="BJ472" s="6" t="s">
        <v>10865</v>
      </c>
      <c r="BQ472" s="6" t="s">
        <v>10866</v>
      </c>
      <c r="BR472" s="6" t="s">
        <v>105</v>
      </c>
    </row>
    <row r="473" spans="1:70" ht="45" customHeight="1" x14ac:dyDescent="0.25">
      <c r="A473" s="6">
        <v>473</v>
      </c>
      <c r="B473" s="7" t="s">
        <v>10867</v>
      </c>
      <c r="C473" s="8" t="s">
        <v>10868</v>
      </c>
      <c r="D473" s="6" t="s">
        <v>10867</v>
      </c>
      <c r="E473" s="8" t="s">
        <v>10869</v>
      </c>
      <c r="F473" s="8" t="s">
        <v>10869</v>
      </c>
      <c r="G473" s="6" t="s">
        <v>612</v>
      </c>
      <c r="H473" s="6" t="s">
        <v>613</v>
      </c>
      <c r="I473" s="6" t="s">
        <v>10870</v>
      </c>
      <c r="J473" s="6" t="s">
        <v>10871</v>
      </c>
      <c r="K473" s="9">
        <v>9300</v>
      </c>
      <c r="L473" s="8" t="s">
        <v>10872</v>
      </c>
      <c r="M473" s="9" t="s">
        <v>10873</v>
      </c>
      <c r="N473" s="6">
        <v>5.5965036000000001</v>
      </c>
      <c r="O473" s="6">
        <v>100.6426951</v>
      </c>
      <c r="P473" s="6" t="s">
        <v>10874</v>
      </c>
      <c r="Q473" s="6">
        <v>1</v>
      </c>
      <c r="R473" s="6" t="s">
        <v>79</v>
      </c>
      <c r="T473" s="6"/>
      <c r="X473" s="6" t="s">
        <v>10875</v>
      </c>
      <c r="Y473" s="6" t="s">
        <v>10876</v>
      </c>
      <c r="Z473" s="6" t="s">
        <v>10877</v>
      </c>
      <c r="AA473" s="6" t="s">
        <v>10878</v>
      </c>
      <c r="AC473" s="10">
        <f>_xlfn.XLOOKUP(AH473,[1]Mapping!C:C,[1]Mapping!B:B,"",1)</f>
        <v>444</v>
      </c>
      <c r="AD473" s="10" t="str">
        <f>_xlfn.XLOOKUP(AC473,[1]Mapping!B:B,[1]Mapping!C:C,"")</f>
        <v xml:space="preserve">Building Material and Garden Equipment and Supplies Dealers </v>
      </c>
      <c r="AG473" s="6" t="s">
        <v>6589</v>
      </c>
      <c r="AH473" s="6" t="s">
        <v>6590</v>
      </c>
      <c r="AI473" s="6" t="s">
        <v>6591</v>
      </c>
      <c r="AJ473" s="6" t="s">
        <v>4339</v>
      </c>
      <c r="AK473" s="6" t="s">
        <v>4340</v>
      </c>
      <c r="AL473" s="6" t="s">
        <v>4339</v>
      </c>
      <c r="AM473" s="6" t="s">
        <v>4341</v>
      </c>
      <c r="AN473" s="6" t="s">
        <v>4342</v>
      </c>
      <c r="AO473" s="6" t="s">
        <v>4343</v>
      </c>
      <c r="AY473" s="6" t="s">
        <v>10879</v>
      </c>
      <c r="AZ473" s="6">
        <v>60133699339</v>
      </c>
      <c r="BA473" s="6" t="s">
        <v>10880</v>
      </c>
      <c r="BB473" s="6" t="s">
        <v>10880</v>
      </c>
      <c r="BD473" s="6" t="s">
        <v>10881</v>
      </c>
      <c r="BE473" s="6" t="str">
        <f t="shared" si="14"/>
        <v>southerncable.com.my</v>
      </c>
      <c r="BF473" s="6" t="str">
        <f t="shared" si="15"/>
        <v>my</v>
      </c>
      <c r="BG473" s="6" t="s">
        <v>101</v>
      </c>
      <c r="BQ473" s="6" t="s">
        <v>10882</v>
      </c>
      <c r="BR473" s="6" t="s">
        <v>105</v>
      </c>
    </row>
    <row r="474" spans="1:70" ht="45" customHeight="1" x14ac:dyDescent="0.25">
      <c r="A474" s="6">
        <v>474</v>
      </c>
      <c r="B474" s="7" t="s">
        <v>10883</v>
      </c>
      <c r="C474" s="8" t="s">
        <v>10884</v>
      </c>
      <c r="D474" s="6" t="s">
        <v>10883</v>
      </c>
      <c r="E474" s="8" t="s">
        <v>10885</v>
      </c>
      <c r="F474" s="8" t="s">
        <v>10886</v>
      </c>
      <c r="G474" s="6" t="s">
        <v>201</v>
      </c>
      <c r="H474" s="6" t="s">
        <v>202</v>
      </c>
      <c r="I474" s="8" t="s">
        <v>902</v>
      </c>
      <c r="J474" s="6" t="s">
        <v>903</v>
      </c>
      <c r="K474" s="9">
        <v>98101</v>
      </c>
      <c r="L474" s="8" t="s">
        <v>10887</v>
      </c>
      <c r="M474" s="9">
        <v>1730</v>
      </c>
      <c r="N474" s="6">
        <v>47.616832700000003</v>
      </c>
      <c r="O474" s="6">
        <v>-122.3296366</v>
      </c>
      <c r="P474" s="6" t="s">
        <v>10888</v>
      </c>
      <c r="Q474" s="6">
        <v>1</v>
      </c>
      <c r="R474" s="6" t="s">
        <v>79</v>
      </c>
      <c r="S474" s="6">
        <v>2004</v>
      </c>
      <c r="T474" s="6">
        <v>2480410</v>
      </c>
      <c r="U474" s="6" t="s">
        <v>80</v>
      </c>
      <c r="V474" s="6">
        <v>13</v>
      </c>
      <c r="W474" s="6" t="s">
        <v>80</v>
      </c>
      <c r="X474" s="6" t="s">
        <v>10889</v>
      </c>
      <c r="Y474" s="6" t="s">
        <v>10890</v>
      </c>
      <c r="Z474" s="6" t="s">
        <v>10891</v>
      </c>
      <c r="AA474" s="6" t="s">
        <v>10892</v>
      </c>
      <c r="AB474" s="6" t="s">
        <v>10893</v>
      </c>
      <c r="AC474" s="6">
        <v>513210</v>
      </c>
      <c r="AD474" s="10" t="str">
        <f>_xlfn.XLOOKUP(AC474,[1]Mapping!B:B,[1]Mapping!C:C,"")</f>
        <v>Software Publishers</v>
      </c>
      <c r="AG474" s="6" t="s">
        <v>10894</v>
      </c>
      <c r="AH474" s="6" t="s">
        <v>10895</v>
      </c>
      <c r="AI474" s="6" t="s">
        <v>499</v>
      </c>
      <c r="AJ474" s="6" t="s">
        <v>942</v>
      </c>
      <c r="AK474" s="6" t="s">
        <v>2921</v>
      </c>
      <c r="AL474" s="6" t="s">
        <v>295</v>
      </c>
      <c r="AM474" s="6" t="s">
        <v>296</v>
      </c>
      <c r="AN474" s="6" t="s">
        <v>297</v>
      </c>
      <c r="AO474" s="6" t="s">
        <v>298</v>
      </c>
      <c r="AQ474" s="6">
        <v>7372</v>
      </c>
      <c r="AR474" s="6" t="s">
        <v>2077</v>
      </c>
      <c r="AT474" s="6">
        <v>5820</v>
      </c>
      <c r="AU474" s="6" t="s">
        <v>2028</v>
      </c>
      <c r="AV474" s="6">
        <v>58.29</v>
      </c>
      <c r="AW474" s="6" t="s">
        <v>2078</v>
      </c>
      <c r="AY474" s="6" t="s">
        <v>10896</v>
      </c>
      <c r="AZ474" s="6">
        <v>18328488289</v>
      </c>
      <c r="BA474" s="6" t="s">
        <v>10897</v>
      </c>
      <c r="BD474" s="6" t="s">
        <v>10898</v>
      </c>
      <c r="BE474" s="6" t="str">
        <f t="shared" si="14"/>
        <v>splunk.com</v>
      </c>
      <c r="BF474" s="6" t="str">
        <f t="shared" si="15"/>
        <v>com</v>
      </c>
      <c r="BG474" s="6" t="s">
        <v>101</v>
      </c>
      <c r="BH474" s="6" t="s">
        <v>1271</v>
      </c>
      <c r="BI474" s="6" t="s">
        <v>1272</v>
      </c>
      <c r="BJ474" s="6" t="s">
        <v>1273</v>
      </c>
      <c r="BK474" s="6" t="s">
        <v>1274</v>
      </c>
      <c r="BN474" s="6" t="s">
        <v>1275</v>
      </c>
      <c r="BP474" s="6" t="s">
        <v>10899</v>
      </c>
      <c r="BQ474" s="6" t="s">
        <v>10900</v>
      </c>
      <c r="BR474" s="6" t="s">
        <v>105</v>
      </c>
    </row>
    <row r="475" spans="1:70" ht="45" customHeight="1" x14ac:dyDescent="0.25">
      <c r="A475" s="6">
        <v>475</v>
      </c>
      <c r="B475" s="7" t="s">
        <v>10901</v>
      </c>
      <c r="C475" s="8" t="s">
        <v>10902</v>
      </c>
      <c r="D475" s="6" t="s">
        <v>10903</v>
      </c>
      <c r="E475" s="8" t="s">
        <v>10901</v>
      </c>
      <c r="F475" s="8" t="s">
        <v>10904</v>
      </c>
      <c r="G475" s="6" t="s">
        <v>1400</v>
      </c>
      <c r="H475" s="6" t="s">
        <v>1401</v>
      </c>
      <c r="I475" s="8" t="s">
        <v>7676</v>
      </c>
      <c r="J475" s="6" t="s">
        <v>2991</v>
      </c>
      <c r="K475" s="9">
        <v>54600</v>
      </c>
      <c r="L475" s="8" t="s">
        <v>10905</v>
      </c>
      <c r="N475" s="6">
        <v>31.4673762</v>
      </c>
      <c r="O475" s="6">
        <v>74.314961400000001</v>
      </c>
      <c r="P475" s="6" t="s">
        <v>10906</v>
      </c>
      <c r="Q475" s="6">
        <v>1</v>
      </c>
      <c r="R475" s="6" t="s">
        <v>79</v>
      </c>
      <c r="T475" s="6">
        <v>513773</v>
      </c>
      <c r="U475" s="6" t="s">
        <v>80</v>
      </c>
      <c r="V475" s="6">
        <v>75</v>
      </c>
      <c r="W475" s="6" t="s">
        <v>80</v>
      </c>
      <c r="X475" s="6" t="s">
        <v>10907</v>
      </c>
      <c r="Y475" s="6" t="s">
        <v>10908</v>
      </c>
      <c r="Z475" s="6" t="s">
        <v>10909</v>
      </c>
      <c r="AA475" s="6" t="s">
        <v>10910</v>
      </c>
      <c r="AB475" s="6" t="s">
        <v>10911</v>
      </c>
      <c r="AC475" s="6">
        <v>339920</v>
      </c>
      <c r="AD475" s="10" t="str">
        <f>_xlfn.XLOOKUP(AC475,[1]Mapping!B:B,[1]Mapping!C:C,"")</f>
        <v>Sporting and Athletic Goods Manufacturing</v>
      </c>
      <c r="AG475" s="6" t="s">
        <v>10912</v>
      </c>
      <c r="AH475" s="6" t="s">
        <v>10913</v>
      </c>
      <c r="AI475" s="6" t="s">
        <v>10042</v>
      </c>
      <c r="AJ475" s="6" t="s">
        <v>10042</v>
      </c>
      <c r="AK475" s="6" t="s">
        <v>10914</v>
      </c>
      <c r="AL475" s="6" t="s">
        <v>885</v>
      </c>
      <c r="AM475" s="6" t="s">
        <v>886</v>
      </c>
      <c r="AN475" s="6" t="s">
        <v>259</v>
      </c>
      <c r="AO475" s="6" t="s">
        <v>260</v>
      </c>
      <c r="AQ475" s="6" t="s">
        <v>10915</v>
      </c>
      <c r="AR475" s="6" t="s">
        <v>10916</v>
      </c>
      <c r="AT475" s="6" t="s">
        <v>10917</v>
      </c>
      <c r="AU475" s="6" t="s">
        <v>10918</v>
      </c>
      <c r="AV475" s="6" t="s">
        <v>10919</v>
      </c>
      <c r="AW475" s="6" t="s">
        <v>10920</v>
      </c>
      <c r="AY475" s="6">
        <v>923108000000</v>
      </c>
      <c r="AZ475" s="6" t="s">
        <v>10921</v>
      </c>
      <c r="BA475" s="6" t="s">
        <v>10922</v>
      </c>
      <c r="BB475" s="6" t="s">
        <v>10922</v>
      </c>
      <c r="BD475" s="6" t="s">
        <v>10923</v>
      </c>
      <c r="BE475" s="6" t="str">
        <f t="shared" si="14"/>
        <v>sportsstar.online</v>
      </c>
      <c r="BF475" s="6" t="str">
        <f t="shared" si="15"/>
        <v>online</v>
      </c>
      <c r="BG475" s="6" t="s">
        <v>101</v>
      </c>
      <c r="BJ475" s="6" t="s">
        <v>10924</v>
      </c>
      <c r="BP475" s="6" t="s">
        <v>10925</v>
      </c>
      <c r="BQ475" s="6" t="s">
        <v>10926</v>
      </c>
      <c r="BR475" s="6" t="s">
        <v>105</v>
      </c>
    </row>
    <row r="476" spans="1:70" ht="45" customHeight="1" x14ac:dyDescent="0.25">
      <c r="A476" s="6">
        <v>476</v>
      </c>
      <c r="B476" s="7" t="s">
        <v>10927</v>
      </c>
      <c r="C476" s="8" t="s">
        <v>10928</v>
      </c>
      <c r="D476" s="6" t="s">
        <v>10929</v>
      </c>
      <c r="E476" s="8" t="s">
        <v>10927</v>
      </c>
      <c r="F476" s="8" t="s">
        <v>10930</v>
      </c>
      <c r="G476" s="6" t="s">
        <v>10931</v>
      </c>
      <c r="H476" s="6" t="s">
        <v>10932</v>
      </c>
      <c r="J476" s="6" t="s">
        <v>10933</v>
      </c>
      <c r="K476" s="9" t="s">
        <v>10934</v>
      </c>
      <c r="L476" s="8" t="s">
        <v>10935</v>
      </c>
      <c r="M476" s="9">
        <v>48</v>
      </c>
      <c r="N476" s="6">
        <v>35.891837700000004</v>
      </c>
      <c r="O476" s="6">
        <v>14.4640483</v>
      </c>
      <c r="R476" s="6" t="s">
        <v>79</v>
      </c>
      <c r="T476" s="6"/>
      <c r="X476" s="6" t="s">
        <v>10936</v>
      </c>
      <c r="AB476" s="6" t="s">
        <v>10937</v>
      </c>
      <c r="AC476" s="6">
        <v>524130</v>
      </c>
      <c r="AD476" s="10" t="str">
        <f>_xlfn.XLOOKUP(AC476,[1]Mapping!B:B,[1]Mapping!C:C,"")</f>
        <v xml:space="preserve">Reinsurance Carriers </v>
      </c>
      <c r="AG476" s="6" t="s">
        <v>760</v>
      </c>
      <c r="AH476" s="6" t="s">
        <v>761</v>
      </c>
      <c r="AI476" s="6" t="s">
        <v>119</v>
      </c>
      <c r="AJ476" s="6" t="s">
        <v>761</v>
      </c>
      <c r="AK476" s="6" t="s">
        <v>762</v>
      </c>
      <c r="AL476" s="6" t="s">
        <v>761</v>
      </c>
      <c r="AM476" s="6" t="s">
        <v>763</v>
      </c>
      <c r="AN476" s="6" t="s">
        <v>764</v>
      </c>
      <c r="AO476" s="6" t="s">
        <v>765</v>
      </c>
      <c r="AQ476" s="6" t="s">
        <v>10938</v>
      </c>
      <c r="AR476" s="6" t="s">
        <v>10939</v>
      </c>
      <c r="AT476" s="6">
        <v>6520</v>
      </c>
      <c r="AU476" s="6" t="s">
        <v>10940</v>
      </c>
      <c r="AV476" s="6">
        <v>65.2</v>
      </c>
      <c r="AW476" s="6" t="s">
        <v>10940</v>
      </c>
      <c r="AY476" s="6" t="s">
        <v>10941</v>
      </c>
      <c r="BD476" s="6" t="s">
        <v>10942</v>
      </c>
      <c r="BE476" s="6" t="str">
        <f t="shared" si="14"/>
        <v>argus.mt</v>
      </c>
      <c r="BF476" s="6" t="str">
        <f t="shared" si="15"/>
        <v>mt</v>
      </c>
      <c r="BG476" s="6" t="s">
        <v>101</v>
      </c>
      <c r="BQ476" s="6" t="s">
        <v>10943</v>
      </c>
      <c r="BR476" s="6" t="s">
        <v>105</v>
      </c>
    </row>
    <row r="477" spans="1:70" ht="45" customHeight="1" x14ac:dyDescent="0.25">
      <c r="A477" s="6">
        <v>477</v>
      </c>
      <c r="B477" s="7" t="s">
        <v>10944</v>
      </c>
      <c r="C477" s="8" t="s">
        <v>10945</v>
      </c>
      <c r="D477" s="6" t="s">
        <v>10930</v>
      </c>
      <c r="E477" s="6" t="s">
        <v>10946</v>
      </c>
      <c r="F477" s="8" t="s">
        <v>10930</v>
      </c>
      <c r="G477" s="6" t="s">
        <v>840</v>
      </c>
      <c r="H477" s="6" t="s">
        <v>841</v>
      </c>
      <c r="I477" s="6" t="s">
        <v>842</v>
      </c>
      <c r="J477" s="6" t="s">
        <v>843</v>
      </c>
      <c r="K477" s="9" t="s">
        <v>10947</v>
      </c>
      <c r="L477" s="8" t="s">
        <v>10948</v>
      </c>
      <c r="M477" s="9">
        <v>5</v>
      </c>
      <c r="N477" s="6">
        <v>51.511847299999999</v>
      </c>
      <c r="O477" s="6">
        <v>-0.13666800000000001</v>
      </c>
      <c r="P477" s="6" t="s">
        <v>10949</v>
      </c>
      <c r="Q477" s="6">
        <v>1</v>
      </c>
      <c r="R477" s="6" t="s">
        <v>79</v>
      </c>
      <c r="T477" s="6">
        <v>7911480</v>
      </c>
      <c r="U477" s="6" t="s">
        <v>80</v>
      </c>
      <c r="V477" s="6">
        <v>75</v>
      </c>
      <c r="W477" s="6" t="s">
        <v>80</v>
      </c>
      <c r="X477" s="6" t="s">
        <v>10950</v>
      </c>
      <c r="Y477" s="6" t="s">
        <v>10951</v>
      </c>
      <c r="Z477" s="6" t="s">
        <v>10952</v>
      </c>
      <c r="AA477" s="6" t="s">
        <v>10953</v>
      </c>
      <c r="AB477" s="6" t="s">
        <v>10954</v>
      </c>
      <c r="AC477" s="6">
        <v>524210</v>
      </c>
      <c r="AD477" s="10" t="str">
        <f>_xlfn.XLOOKUP(AC477,[1]Mapping!B:B,[1]Mapping!C:C,"")</f>
        <v xml:space="preserve">Insurance Agencies and Brokerages </v>
      </c>
      <c r="AG477" s="6" t="s">
        <v>10955</v>
      </c>
      <c r="AH477" s="6" t="s">
        <v>10956</v>
      </c>
      <c r="AI477" s="6" t="s">
        <v>683</v>
      </c>
      <c r="AJ477" s="6" t="s">
        <v>255</v>
      </c>
      <c r="AK477" s="6" t="s">
        <v>256</v>
      </c>
      <c r="AL477" s="6" t="s">
        <v>257</v>
      </c>
      <c r="AM477" s="6" t="s">
        <v>258</v>
      </c>
      <c r="AN477" s="6" t="s">
        <v>259</v>
      </c>
      <c r="AO477" s="6" t="s">
        <v>260</v>
      </c>
      <c r="AQ477" s="6">
        <v>6411</v>
      </c>
      <c r="AR477" s="6" t="s">
        <v>10957</v>
      </c>
      <c r="AT477" s="6">
        <v>6622</v>
      </c>
      <c r="AU477" s="6" t="s">
        <v>5416</v>
      </c>
      <c r="AV477" s="6">
        <v>66.22</v>
      </c>
      <c r="AW477" s="6" t="s">
        <v>5416</v>
      </c>
      <c r="AY477" s="6" t="s">
        <v>10958</v>
      </c>
      <c r="BD477" s="6" t="s">
        <v>10959</v>
      </c>
      <c r="BE477" s="6" t="str">
        <f t="shared" si="14"/>
        <v>squaretrade.co.uk</v>
      </c>
      <c r="BF477" s="6" t="str">
        <f t="shared" si="15"/>
        <v>uk</v>
      </c>
      <c r="BG477" s="6" t="s">
        <v>101</v>
      </c>
      <c r="BP477" s="6" t="s">
        <v>7136</v>
      </c>
      <c r="BQ477" s="6" t="s">
        <v>10960</v>
      </c>
      <c r="BR477" s="6" t="s">
        <v>105</v>
      </c>
    </row>
    <row r="478" spans="1:70" ht="45" customHeight="1" x14ac:dyDescent="0.25">
      <c r="A478" s="6">
        <v>478</v>
      </c>
      <c r="B478" s="7" t="s">
        <v>10961</v>
      </c>
      <c r="C478" s="8" t="s">
        <v>10962</v>
      </c>
      <c r="D478" s="6" t="s">
        <v>10963</v>
      </c>
      <c r="E478" s="6" t="s">
        <v>10964</v>
      </c>
      <c r="F478" s="8" t="s">
        <v>10965</v>
      </c>
      <c r="G478" s="6" t="s">
        <v>10287</v>
      </c>
      <c r="H478" s="6" t="s">
        <v>10288</v>
      </c>
      <c r="I478" s="6" t="s">
        <v>10289</v>
      </c>
      <c r="J478" s="6" t="s">
        <v>10289</v>
      </c>
      <c r="N478" s="6">
        <v>25.103582800000002</v>
      </c>
      <c r="O478" s="6">
        <v>55.168610100000002</v>
      </c>
      <c r="P478" s="6" t="s">
        <v>10966</v>
      </c>
      <c r="Q478" s="6">
        <v>1</v>
      </c>
      <c r="R478" s="6" t="s">
        <v>79</v>
      </c>
      <c r="T478" s="6">
        <v>5458741</v>
      </c>
      <c r="U478" s="6" t="s">
        <v>80</v>
      </c>
      <c r="V478" s="6">
        <v>30</v>
      </c>
      <c r="W478" s="6" t="s">
        <v>80</v>
      </c>
      <c r="X478" s="6" t="s">
        <v>10967</v>
      </c>
      <c r="Y478" s="6" t="s">
        <v>10968</v>
      </c>
      <c r="Z478" s="6" t="s">
        <v>10969</v>
      </c>
      <c r="AA478" s="6" t="s">
        <v>10970</v>
      </c>
      <c r="AB478" s="6" t="s">
        <v>10971</v>
      </c>
      <c r="AC478" s="6">
        <v>518210</v>
      </c>
      <c r="AD478" s="10" t="str">
        <f>_xlfn.XLOOKUP(AC478,[1]Mapping!B:B,[1]Mapping!C:C,"")</f>
        <v>Computing Infrastructure Providers, Data Processing, Web Hosting, and Related Services</v>
      </c>
      <c r="AG478" s="6" t="s">
        <v>173</v>
      </c>
      <c r="AH478" s="6" t="s">
        <v>86</v>
      </c>
      <c r="AI478" s="6" t="s">
        <v>87</v>
      </c>
      <c r="AJ478" s="6" t="s">
        <v>1502</v>
      </c>
      <c r="AK478" s="6" t="s">
        <v>1503</v>
      </c>
      <c r="AL478" s="6" t="s">
        <v>176</v>
      </c>
      <c r="AM478" s="6" t="s">
        <v>177</v>
      </c>
      <c r="AN478" s="6" t="s">
        <v>91</v>
      </c>
      <c r="AO478" s="6" t="s">
        <v>92</v>
      </c>
      <c r="AQ478" s="6" t="s">
        <v>178</v>
      </c>
      <c r="AR478" s="6" t="s">
        <v>179</v>
      </c>
      <c r="AT478" s="6" t="s">
        <v>181</v>
      </c>
      <c r="AU478" s="6" t="s">
        <v>182</v>
      </c>
      <c r="AV478" s="6" t="s">
        <v>183</v>
      </c>
      <c r="AW478" s="6" t="s">
        <v>184</v>
      </c>
      <c r="AY478" s="6" t="s">
        <v>10972</v>
      </c>
      <c r="AZ478" s="6" t="s">
        <v>10973</v>
      </c>
      <c r="BA478" s="6" t="s">
        <v>10974</v>
      </c>
      <c r="BD478" s="6" t="s">
        <v>10975</v>
      </c>
      <c r="BE478" s="6" t="str">
        <f t="shared" si="14"/>
        <v>starcomww.com</v>
      </c>
      <c r="BF478" s="6" t="str">
        <f t="shared" si="15"/>
        <v>com</v>
      </c>
      <c r="BG478" s="6" t="s">
        <v>101</v>
      </c>
      <c r="BH478" s="6" t="s">
        <v>10976</v>
      </c>
      <c r="BI478" s="6" t="s">
        <v>10977</v>
      </c>
      <c r="BJ478" s="6" t="s">
        <v>10978</v>
      </c>
      <c r="BK478" s="6" t="s">
        <v>10979</v>
      </c>
      <c r="BN478" s="6" t="s">
        <v>10980</v>
      </c>
      <c r="BP478" s="6" t="s">
        <v>2473</v>
      </c>
      <c r="BQ478" s="6" t="s">
        <v>10981</v>
      </c>
      <c r="BR478" s="6" t="s">
        <v>105</v>
      </c>
    </row>
    <row r="479" spans="1:70" ht="45" customHeight="1" x14ac:dyDescent="0.25">
      <c r="A479" s="6">
        <v>479</v>
      </c>
      <c r="B479" s="7" t="s">
        <v>10982</v>
      </c>
      <c r="C479" s="8" t="s">
        <v>10983</v>
      </c>
      <c r="D479" s="6" t="s">
        <v>10984</v>
      </c>
      <c r="E479" s="6" t="s">
        <v>10985</v>
      </c>
      <c r="F479" s="8" t="s">
        <v>10986</v>
      </c>
      <c r="G479" s="6" t="s">
        <v>315</v>
      </c>
      <c r="H479" s="6" t="s">
        <v>316</v>
      </c>
      <c r="I479" s="6"/>
      <c r="J479" s="6" t="s">
        <v>316</v>
      </c>
      <c r="L479" s="8" t="s">
        <v>10987</v>
      </c>
      <c r="N479" s="6">
        <v>1.3264632000000001</v>
      </c>
      <c r="O479" s="6">
        <v>103.896365</v>
      </c>
      <c r="P479" s="6" t="s">
        <v>10988</v>
      </c>
      <c r="Q479" s="6">
        <v>2</v>
      </c>
      <c r="R479" s="6" t="s">
        <v>79</v>
      </c>
      <c r="S479" s="6">
        <v>2001</v>
      </c>
      <c r="T479" s="6">
        <v>42937832</v>
      </c>
      <c r="U479" s="6" t="s">
        <v>80</v>
      </c>
      <c r="V479" s="6">
        <v>150</v>
      </c>
      <c r="W479" s="6" t="s">
        <v>80</v>
      </c>
      <c r="X479" s="6" t="s">
        <v>10989</v>
      </c>
      <c r="Y479" s="6" t="s">
        <v>10990</v>
      </c>
      <c r="Z479" s="6" t="s">
        <v>10991</v>
      </c>
      <c r="AA479" s="6" t="s">
        <v>10992</v>
      </c>
      <c r="AC479" s="6">
        <v>518210</v>
      </c>
      <c r="AD479" s="10" t="str">
        <f>_xlfn.XLOOKUP(AC479,[1]Mapping!B:B,[1]Mapping!C:C,"")</f>
        <v>Computing Infrastructure Providers, Data Processing, Web Hosting, and Related Services</v>
      </c>
      <c r="AG479" s="6" t="s">
        <v>173</v>
      </c>
      <c r="AH479" s="6" t="s">
        <v>86</v>
      </c>
      <c r="AI479" s="6" t="s">
        <v>87</v>
      </c>
      <c r="AJ479" s="6" t="s">
        <v>174</v>
      </c>
      <c r="AK479" s="6" t="s">
        <v>175</v>
      </c>
      <c r="AL479" s="6" t="s">
        <v>176</v>
      </c>
      <c r="AM479" s="6" t="s">
        <v>177</v>
      </c>
      <c r="AN479" s="6" t="s">
        <v>91</v>
      </c>
      <c r="AO479" s="6" t="s">
        <v>92</v>
      </c>
      <c r="AQ479" s="6" t="s">
        <v>178</v>
      </c>
      <c r="AR479" s="6" t="s">
        <v>179</v>
      </c>
      <c r="AT479" s="6" t="s">
        <v>181</v>
      </c>
      <c r="AU479" s="6" t="s">
        <v>182</v>
      </c>
      <c r="AV479" s="6" t="s">
        <v>183</v>
      </c>
      <c r="AW479" s="6" t="s">
        <v>184</v>
      </c>
      <c r="AY479" s="6">
        <v>6566354774</v>
      </c>
      <c r="AZ479" s="6">
        <v>6566354774</v>
      </c>
      <c r="BA479" s="6" t="s">
        <v>10993</v>
      </c>
      <c r="BB479" s="6" t="s">
        <v>10993</v>
      </c>
      <c r="BD479" s="6" t="s">
        <v>10994</v>
      </c>
      <c r="BE479" s="6" t="str">
        <f t="shared" si="14"/>
        <v>starseed.com.sg</v>
      </c>
      <c r="BF479" s="6" t="str">
        <f t="shared" si="15"/>
        <v>sg</v>
      </c>
      <c r="BG479" s="6" t="s">
        <v>101</v>
      </c>
      <c r="BP479" s="6" t="s">
        <v>10995</v>
      </c>
      <c r="BQ479" s="6" t="s">
        <v>10996</v>
      </c>
      <c r="BR479" s="6" t="s">
        <v>105</v>
      </c>
    </row>
    <row r="480" spans="1:70" ht="45" customHeight="1" x14ac:dyDescent="0.25">
      <c r="A480" s="6">
        <v>480</v>
      </c>
      <c r="B480" s="7" t="s">
        <v>10997</v>
      </c>
      <c r="C480" s="8" t="s">
        <v>10998</v>
      </c>
      <c r="D480" s="6" t="s">
        <v>10999</v>
      </c>
      <c r="E480" s="8" t="s">
        <v>10997</v>
      </c>
      <c r="F480" s="8" t="s">
        <v>11000</v>
      </c>
      <c r="G480" s="6" t="s">
        <v>160</v>
      </c>
      <c r="H480" s="6" t="s">
        <v>161</v>
      </c>
      <c r="I480" s="8" t="s">
        <v>11001</v>
      </c>
      <c r="J480" s="6" t="s">
        <v>11002</v>
      </c>
      <c r="K480" s="9" t="s">
        <v>11003</v>
      </c>
      <c r="L480" s="8" t="s">
        <v>11004</v>
      </c>
      <c r="M480" s="9">
        <v>7</v>
      </c>
      <c r="N480" s="6">
        <v>57.719943500000007</v>
      </c>
      <c r="O480" s="6">
        <v>11.969419800000001</v>
      </c>
      <c r="P480" s="6" t="s">
        <v>11005</v>
      </c>
      <c r="Q480" s="6">
        <v>3</v>
      </c>
      <c r="R480" s="6" t="s">
        <v>79</v>
      </c>
      <c r="T480" s="6"/>
      <c r="X480" s="6" t="s">
        <v>11006</v>
      </c>
      <c r="Y480" s="6" t="s">
        <v>11007</v>
      </c>
      <c r="Z480" s="6" t="s">
        <v>11008</v>
      </c>
      <c r="AC480" s="6">
        <v>562111</v>
      </c>
      <c r="AD480" s="10" t="str">
        <f>_xlfn.XLOOKUP(AC480,[1]Mapping!B:B,[1]Mapping!C:C,"")</f>
        <v xml:space="preserve">Solid Waste Collection </v>
      </c>
      <c r="AG480" s="6" t="s">
        <v>11009</v>
      </c>
      <c r="AH480" s="6" t="s">
        <v>11010</v>
      </c>
      <c r="AI480" s="6" t="s">
        <v>4822</v>
      </c>
      <c r="AQ480" s="6">
        <v>4212</v>
      </c>
      <c r="AR480" s="6" t="s">
        <v>11011</v>
      </c>
      <c r="AT480" s="6">
        <v>3811</v>
      </c>
      <c r="AU480" s="6" t="s">
        <v>4392</v>
      </c>
      <c r="AV480" s="6">
        <v>38.11</v>
      </c>
      <c r="AW480" s="6" t="s">
        <v>4392</v>
      </c>
      <c r="AY480" s="6" t="s">
        <v>11012</v>
      </c>
      <c r="AZ480" s="6">
        <v>4631584450</v>
      </c>
      <c r="BD480" s="6" t="s">
        <v>11013</v>
      </c>
      <c r="BE480" s="6" t="str">
        <f t="shared" si="14"/>
        <v>stenarecycling.se</v>
      </c>
      <c r="BF480" s="6" t="str">
        <f t="shared" si="15"/>
        <v>se</v>
      </c>
      <c r="BG480" s="6" t="s">
        <v>308</v>
      </c>
      <c r="BH480" s="6" t="s">
        <v>11014</v>
      </c>
      <c r="BJ480" s="6" t="s">
        <v>11015</v>
      </c>
      <c r="BK480" s="6" t="s">
        <v>11016</v>
      </c>
      <c r="BN480" s="6" t="s">
        <v>11017</v>
      </c>
      <c r="BQ480" s="6" t="s">
        <v>11018</v>
      </c>
      <c r="BR480" s="6" t="s">
        <v>105</v>
      </c>
    </row>
    <row r="481" spans="1:70" ht="45" customHeight="1" x14ac:dyDescent="0.25">
      <c r="A481" s="6">
        <v>481</v>
      </c>
      <c r="B481" s="7" t="s">
        <v>11019</v>
      </c>
      <c r="C481" s="8" t="s">
        <v>11020</v>
      </c>
      <c r="D481" s="6" t="s">
        <v>11021</v>
      </c>
      <c r="E481" s="8" t="s">
        <v>11019</v>
      </c>
      <c r="F481" s="8" t="s">
        <v>11022</v>
      </c>
      <c r="G481" s="6" t="s">
        <v>130</v>
      </c>
      <c r="H481" s="6" t="s">
        <v>131</v>
      </c>
      <c r="I481" s="8" t="s">
        <v>132</v>
      </c>
      <c r="J481" s="6" t="s">
        <v>132</v>
      </c>
      <c r="K481" s="9">
        <v>165</v>
      </c>
      <c r="L481" s="8" t="s">
        <v>11023</v>
      </c>
      <c r="M481" s="9" t="s">
        <v>11024</v>
      </c>
      <c r="N481" s="6">
        <v>59.917339899999988</v>
      </c>
      <c r="O481" s="6">
        <v>10.7415205</v>
      </c>
      <c r="P481" s="6" t="s">
        <v>11025</v>
      </c>
      <c r="Q481" s="6">
        <v>1</v>
      </c>
      <c r="R481" s="6" t="s">
        <v>79</v>
      </c>
      <c r="T481" s="6">
        <v>25250424</v>
      </c>
      <c r="U481" s="6" t="s">
        <v>80</v>
      </c>
      <c r="V481" s="6">
        <v>75</v>
      </c>
      <c r="W481" s="6" t="s">
        <v>80</v>
      </c>
      <c r="X481" s="6" t="s">
        <v>11026</v>
      </c>
      <c r="Y481" s="6" t="s">
        <v>11027</v>
      </c>
      <c r="Z481" s="6" t="s">
        <v>11028</v>
      </c>
      <c r="AA481" s="6" t="s">
        <v>11029</v>
      </c>
      <c r="AB481" s="6" t="s">
        <v>11030</v>
      </c>
      <c r="AC481" s="6">
        <v>541820</v>
      </c>
      <c r="AD481" s="10" t="str">
        <f>_xlfn.XLOOKUP(AC481,[1]Mapping!B:B,[1]Mapping!C:C,"")</f>
        <v>Public Relations Agencies</v>
      </c>
      <c r="AG481" s="6" t="s">
        <v>11031</v>
      </c>
      <c r="AH481" s="6" t="s">
        <v>11032</v>
      </c>
      <c r="AI481" s="6" t="s">
        <v>652</v>
      </c>
      <c r="AJ481" s="6" t="s">
        <v>293</v>
      </c>
      <c r="AK481" s="6" t="s">
        <v>294</v>
      </c>
      <c r="AL481" s="6" t="s">
        <v>295</v>
      </c>
      <c r="AM481" s="6" t="s">
        <v>296</v>
      </c>
      <c r="AN481" s="6" t="s">
        <v>297</v>
      </c>
      <c r="AO481" s="6" t="s">
        <v>298</v>
      </c>
      <c r="AQ481" s="6">
        <v>8743</v>
      </c>
      <c r="AR481" s="6" t="s">
        <v>2869</v>
      </c>
      <c r="AT481" s="6">
        <v>7020</v>
      </c>
      <c r="AU481" s="6" t="s">
        <v>378</v>
      </c>
      <c r="AV481" s="6">
        <v>70.209999999999994</v>
      </c>
      <c r="AW481" s="6" t="s">
        <v>11033</v>
      </c>
      <c r="AY481" s="6" t="s">
        <v>11034</v>
      </c>
      <c r="AZ481" s="6" t="s">
        <v>11035</v>
      </c>
      <c r="BA481" s="6" t="s">
        <v>11036</v>
      </c>
      <c r="BB481" s="6" t="s">
        <v>11036</v>
      </c>
      <c r="BD481" s="6" t="s">
        <v>11037</v>
      </c>
      <c r="BE481" s="6" t="str">
        <f t="shared" si="14"/>
        <v>stormhuset.no</v>
      </c>
      <c r="BF481" s="6" t="str">
        <f t="shared" si="15"/>
        <v>no</v>
      </c>
      <c r="BG481" s="6" t="s">
        <v>150</v>
      </c>
      <c r="BH481" s="6" t="s">
        <v>11038</v>
      </c>
      <c r="BK481" s="6" t="s">
        <v>11039</v>
      </c>
      <c r="BP481" s="6" t="s">
        <v>11040</v>
      </c>
      <c r="BQ481" s="6" t="s">
        <v>11041</v>
      </c>
      <c r="BR481" s="6" t="s">
        <v>105</v>
      </c>
    </row>
    <row r="482" spans="1:70" ht="45" customHeight="1" x14ac:dyDescent="0.25">
      <c r="A482" s="6">
        <v>482</v>
      </c>
      <c r="B482" s="7" t="s">
        <v>11042</v>
      </c>
      <c r="C482" s="8" t="s">
        <v>11043</v>
      </c>
      <c r="D482" s="6" t="s">
        <v>11044</v>
      </c>
      <c r="E482" s="8" t="s">
        <v>11042</v>
      </c>
      <c r="F482" s="8" t="s">
        <v>11045</v>
      </c>
      <c r="G482" s="6" t="s">
        <v>315</v>
      </c>
      <c r="H482" s="6" t="s">
        <v>316</v>
      </c>
      <c r="J482" s="6" t="s">
        <v>316</v>
      </c>
      <c r="K482" s="9">
        <v>189650</v>
      </c>
      <c r="L482" s="8" t="s">
        <v>11046</v>
      </c>
      <c r="M482" s="9" t="s">
        <v>11047</v>
      </c>
      <c r="N482" s="6">
        <v>1.3021891000000001</v>
      </c>
      <c r="O482" s="6">
        <v>103.8525327</v>
      </c>
      <c r="P482" s="6" t="s">
        <v>11048</v>
      </c>
      <c r="Q482" s="6">
        <v>1</v>
      </c>
      <c r="R482" s="6" t="s">
        <v>79</v>
      </c>
      <c r="T482" s="6"/>
      <c r="X482" s="6" t="s">
        <v>11049</v>
      </c>
      <c r="Y482" s="6" t="s">
        <v>11050</v>
      </c>
      <c r="Z482" s="6" t="s">
        <v>11051</v>
      </c>
      <c r="AB482" s="6" t="s">
        <v>11052</v>
      </c>
      <c r="AC482" s="6">
        <v>457110</v>
      </c>
      <c r="AD482" s="10" t="str">
        <f>_xlfn.XLOOKUP(AC482,[1]Mapping!B:B,[1]Mapping!C:C,"")</f>
        <v xml:space="preserve">Gasoline Stations with Convenience Stores </v>
      </c>
      <c r="AG482" s="6" t="s">
        <v>8610</v>
      </c>
      <c r="AH482" s="6" t="s">
        <v>8610</v>
      </c>
      <c r="AI482" s="6" t="s">
        <v>3762</v>
      </c>
      <c r="AJ482" s="6" t="s">
        <v>255</v>
      </c>
      <c r="AK482" s="6" t="s">
        <v>256</v>
      </c>
      <c r="AL482" s="6" t="s">
        <v>257</v>
      </c>
      <c r="AM482" s="6" t="s">
        <v>258</v>
      </c>
      <c r="AN482" s="6" t="s">
        <v>259</v>
      </c>
      <c r="AO482" s="6" t="s">
        <v>260</v>
      </c>
      <c r="AQ482" s="6" t="s">
        <v>11053</v>
      </c>
      <c r="AR482" s="6" t="s">
        <v>11054</v>
      </c>
      <c r="AS482" s="6" t="s">
        <v>11055</v>
      </c>
      <c r="AT482" s="6" t="s">
        <v>11056</v>
      </c>
      <c r="AU482" s="6" t="s">
        <v>11057</v>
      </c>
      <c r="AV482" s="6" t="s">
        <v>11058</v>
      </c>
      <c r="AW482" s="6" t="s">
        <v>11059</v>
      </c>
      <c r="AX482" s="6" t="s">
        <v>11060</v>
      </c>
      <c r="AY482" s="6" t="s">
        <v>11061</v>
      </c>
      <c r="AZ482" s="6">
        <v>18492612552</v>
      </c>
      <c r="BA482" s="6" t="s">
        <v>11062</v>
      </c>
      <c r="BB482" s="6" t="s">
        <v>11062</v>
      </c>
      <c r="BD482" s="6" t="s">
        <v>11063</v>
      </c>
      <c r="BE482" s="6" t="str">
        <f t="shared" si="14"/>
        <v>subex.com</v>
      </c>
      <c r="BF482" s="6" t="str">
        <f t="shared" si="15"/>
        <v>com</v>
      </c>
      <c r="BG482" s="6" t="s">
        <v>1625</v>
      </c>
      <c r="BH482" s="6" t="s">
        <v>11064</v>
      </c>
      <c r="BI482" s="6" t="s">
        <v>11065</v>
      </c>
      <c r="BJ482" s="6" t="s">
        <v>11066</v>
      </c>
      <c r="BK482" s="6" t="s">
        <v>11067</v>
      </c>
      <c r="BM482" s="6" t="s">
        <v>11068</v>
      </c>
      <c r="BQ482" s="6" t="s">
        <v>11069</v>
      </c>
      <c r="BR482" s="6" t="s">
        <v>105</v>
      </c>
    </row>
    <row r="483" spans="1:70" ht="45" customHeight="1" x14ac:dyDescent="0.25">
      <c r="A483" s="6">
        <v>483</v>
      </c>
      <c r="B483" s="7" t="s">
        <v>11070</v>
      </c>
      <c r="C483" s="8" t="s">
        <v>11071</v>
      </c>
      <c r="D483" s="6" t="s">
        <v>11072</v>
      </c>
      <c r="E483" s="8" t="s">
        <v>11070</v>
      </c>
      <c r="F483" s="8" t="s">
        <v>11073</v>
      </c>
      <c r="G483" s="6" t="s">
        <v>840</v>
      </c>
      <c r="H483" s="6" t="s">
        <v>841</v>
      </c>
      <c r="I483" s="8" t="s">
        <v>842</v>
      </c>
      <c r="J483" s="6" t="s">
        <v>11074</v>
      </c>
      <c r="K483" s="9" t="s">
        <v>11075</v>
      </c>
      <c r="L483" s="8" t="s">
        <v>11076</v>
      </c>
      <c r="M483" s="9">
        <v>17</v>
      </c>
      <c r="N483" s="6">
        <v>51.581212000000001</v>
      </c>
      <c r="O483" s="6">
        <v>-0.33498820000000001</v>
      </c>
      <c r="P483" s="6" t="s">
        <v>11077</v>
      </c>
      <c r="Q483" s="6">
        <v>4</v>
      </c>
      <c r="R483" s="6" t="s">
        <v>79</v>
      </c>
      <c r="S483" s="6">
        <v>1965</v>
      </c>
      <c r="T483" s="6">
        <v>1775361</v>
      </c>
      <c r="U483" s="6" t="s">
        <v>80</v>
      </c>
      <c r="V483" s="6">
        <v>75</v>
      </c>
      <c r="W483" s="6" t="s">
        <v>80</v>
      </c>
      <c r="X483" s="6" t="s">
        <v>11078</v>
      </c>
      <c r="Y483" s="6" t="s">
        <v>11079</v>
      </c>
      <c r="Z483" s="6" t="s">
        <v>11080</v>
      </c>
      <c r="AA483" s="6" t="s">
        <v>11081</v>
      </c>
      <c r="AB483" s="6" t="s">
        <v>11082</v>
      </c>
      <c r="AC483" s="6">
        <v>711211</v>
      </c>
      <c r="AD483" s="10" t="str">
        <f>_xlfn.XLOOKUP(AC483,[1]Mapping!B:B,[1]Mapping!C:C,"")</f>
        <v xml:space="preserve">Sports Teams and Clubs </v>
      </c>
      <c r="AG483" s="6" t="s">
        <v>11083</v>
      </c>
      <c r="AH483" s="6" t="s">
        <v>10298</v>
      </c>
      <c r="AI483" s="6" t="s">
        <v>3610</v>
      </c>
      <c r="AJ483" s="6" t="s">
        <v>2001</v>
      </c>
      <c r="AK483" s="6" t="s">
        <v>2002</v>
      </c>
      <c r="AL483" s="6" t="s">
        <v>328</v>
      </c>
      <c r="AM483" s="6" t="s">
        <v>329</v>
      </c>
      <c r="AN483" s="6" t="s">
        <v>297</v>
      </c>
      <c r="AO483" s="6" t="s">
        <v>298</v>
      </c>
      <c r="AQ483" s="6">
        <v>7941</v>
      </c>
      <c r="AR483" s="6" t="s">
        <v>10299</v>
      </c>
      <c r="AS483" s="6" t="s">
        <v>11084</v>
      </c>
      <c r="AT483" s="6">
        <v>9312</v>
      </c>
      <c r="AU483" s="6" t="s">
        <v>10301</v>
      </c>
      <c r="AV483" s="6">
        <v>93.12</v>
      </c>
      <c r="AW483" s="6" t="s">
        <v>10301</v>
      </c>
      <c r="AX483" s="6" t="s">
        <v>11085</v>
      </c>
      <c r="AY483" s="6" t="s">
        <v>11086</v>
      </c>
      <c r="AZ483" s="6" t="s">
        <v>11087</v>
      </c>
      <c r="BA483" s="6" t="s">
        <v>11088</v>
      </c>
      <c r="BD483" s="6" t="s">
        <v>11089</v>
      </c>
      <c r="BE483" s="6" t="str">
        <f t="shared" si="14"/>
        <v>subex.com</v>
      </c>
      <c r="BF483" s="6" t="str">
        <f t="shared" si="15"/>
        <v>com</v>
      </c>
      <c r="BG483" s="6" t="s">
        <v>101</v>
      </c>
      <c r="BH483" s="6" t="s">
        <v>11064</v>
      </c>
      <c r="BI483" s="6" t="s">
        <v>11065</v>
      </c>
      <c r="BJ483" s="6" t="s">
        <v>11066</v>
      </c>
      <c r="BK483" s="6" t="s">
        <v>11067</v>
      </c>
      <c r="BN483" s="6" t="s">
        <v>11090</v>
      </c>
      <c r="BP483" s="6" t="s">
        <v>11091</v>
      </c>
      <c r="BQ483" s="6" t="s">
        <v>11092</v>
      </c>
      <c r="BR483" s="6" t="s">
        <v>105</v>
      </c>
    </row>
    <row r="484" spans="1:70" ht="45" customHeight="1" x14ac:dyDescent="0.25">
      <c r="A484" s="6">
        <v>484</v>
      </c>
      <c r="B484" s="7" t="s">
        <v>11093</v>
      </c>
      <c r="C484" s="8" t="s">
        <v>11094</v>
      </c>
      <c r="D484" s="6" t="s">
        <v>11093</v>
      </c>
      <c r="E484" s="8" t="s">
        <v>11093</v>
      </c>
      <c r="F484" s="8" t="s">
        <v>11093</v>
      </c>
      <c r="G484" s="6" t="s">
        <v>612</v>
      </c>
      <c r="H484" s="6" t="s">
        <v>613</v>
      </c>
      <c r="I484" s="6" t="s">
        <v>3803</v>
      </c>
      <c r="J484" s="6" t="s">
        <v>7988</v>
      </c>
      <c r="K484" s="9">
        <v>81100</v>
      </c>
      <c r="L484" s="8" t="s">
        <v>11095</v>
      </c>
      <c r="M484" s="9">
        <v>71</v>
      </c>
      <c r="N484" s="6">
        <v>1.5385264999999999</v>
      </c>
      <c r="O484" s="6">
        <v>103.8121361</v>
      </c>
      <c r="P484" s="6" t="s">
        <v>11096</v>
      </c>
      <c r="Q484" s="6">
        <v>2</v>
      </c>
      <c r="T484" s="6"/>
      <c r="V484" s="6">
        <v>30</v>
      </c>
      <c r="W484" s="6" t="s">
        <v>80</v>
      </c>
      <c r="X484" s="6" t="s">
        <v>11097</v>
      </c>
      <c r="Y484" s="6" t="s">
        <v>11098</v>
      </c>
      <c r="Z484" s="6" t="s">
        <v>11099</v>
      </c>
      <c r="AA484" s="6" t="s">
        <v>11100</v>
      </c>
      <c r="AB484" s="6" t="s">
        <v>11101</v>
      </c>
      <c r="AC484" s="6">
        <v>237130</v>
      </c>
      <c r="AD484" s="10" t="str">
        <f>_xlfn.XLOOKUP(AC484,[1]Mapping!B:B,[1]Mapping!C:C,"")</f>
        <v xml:space="preserve">Power and Communication Line and Related Structures Construction </v>
      </c>
      <c r="AG484" s="6" t="s">
        <v>7997</v>
      </c>
      <c r="AH484" s="6" t="s">
        <v>11102</v>
      </c>
      <c r="AI484" s="6" t="s">
        <v>292</v>
      </c>
      <c r="AQ484" s="6">
        <v>1623</v>
      </c>
      <c r="AR484" s="6" t="s">
        <v>2707</v>
      </c>
      <c r="AT484" s="6">
        <v>4220</v>
      </c>
      <c r="AU484" s="6" t="s">
        <v>2708</v>
      </c>
      <c r="AV484" s="6">
        <v>42.22</v>
      </c>
      <c r="AW484" s="6" t="s">
        <v>2709</v>
      </c>
      <c r="AY484" s="6" t="s">
        <v>11103</v>
      </c>
      <c r="AZ484" s="6">
        <v>6073553323</v>
      </c>
      <c r="BD484" s="6" t="s">
        <v>11104</v>
      </c>
      <c r="BE484" s="6" t="str">
        <f t="shared" si="14"/>
        <v>sutera.my</v>
      </c>
      <c r="BF484" s="6" t="str">
        <f t="shared" si="15"/>
        <v>my</v>
      </c>
      <c r="BG484" s="6" t="s">
        <v>101</v>
      </c>
      <c r="BP484" s="6" t="s">
        <v>11105</v>
      </c>
      <c r="BQ484" s="6" t="s">
        <v>11106</v>
      </c>
      <c r="BR484" s="6" t="s">
        <v>105</v>
      </c>
    </row>
    <row r="485" spans="1:70" ht="45" customHeight="1" x14ac:dyDescent="0.25">
      <c r="A485" s="6">
        <v>485</v>
      </c>
      <c r="B485" s="7" t="s">
        <v>11107</v>
      </c>
      <c r="C485" s="8" t="s">
        <v>11108</v>
      </c>
      <c r="D485" s="6" t="s">
        <v>11109</v>
      </c>
      <c r="E485" s="6" t="s">
        <v>11110</v>
      </c>
      <c r="F485" s="8" t="s">
        <v>11111</v>
      </c>
      <c r="G485" s="6" t="s">
        <v>612</v>
      </c>
      <c r="H485" s="6" t="s">
        <v>613</v>
      </c>
      <c r="I485" s="6" t="s">
        <v>614</v>
      </c>
      <c r="J485" s="6" t="s">
        <v>615</v>
      </c>
      <c r="K485" s="9">
        <v>40150</v>
      </c>
      <c r="L485" s="8" t="s">
        <v>11112</v>
      </c>
      <c r="M485" s="9">
        <v>8</v>
      </c>
      <c r="N485" s="6">
        <v>3.1065789000000001</v>
      </c>
      <c r="O485" s="6">
        <v>101.5443791</v>
      </c>
      <c r="P485" s="6" t="s">
        <v>11113</v>
      </c>
      <c r="Q485" s="6">
        <v>1</v>
      </c>
      <c r="R485" s="6" t="s">
        <v>79</v>
      </c>
      <c r="S485" s="6">
        <v>1985</v>
      </c>
      <c r="T485" s="6">
        <v>4592018</v>
      </c>
      <c r="U485" s="6" t="s">
        <v>80</v>
      </c>
      <c r="V485" s="6">
        <v>75</v>
      </c>
      <c r="W485" s="6" t="s">
        <v>80</v>
      </c>
      <c r="X485" s="6" t="s">
        <v>11114</v>
      </c>
      <c r="Y485" s="6" t="s">
        <v>11115</v>
      </c>
      <c r="Z485" s="6" t="s">
        <v>11116</v>
      </c>
      <c r="AA485" s="6" t="s">
        <v>11117</v>
      </c>
      <c r="AB485" s="6" t="s">
        <v>11118</v>
      </c>
      <c r="AC485" s="6">
        <v>335999</v>
      </c>
      <c r="AD485" s="10" t="str">
        <f>_xlfn.XLOOKUP(AC485,[1]Mapping!B:B,[1]Mapping!C:C,"")</f>
        <v xml:space="preserve">All Other Miscellaneous Electrical Equipment and Component Manufacturing </v>
      </c>
      <c r="AG485" s="6" t="s">
        <v>11119</v>
      </c>
      <c r="AH485" s="6" t="s">
        <v>11120</v>
      </c>
      <c r="AI485" s="6" t="s">
        <v>431</v>
      </c>
      <c r="AJ485" s="6" t="s">
        <v>1241</v>
      </c>
      <c r="AK485" s="6" t="s">
        <v>1242</v>
      </c>
      <c r="AL485" s="6" t="s">
        <v>219</v>
      </c>
      <c r="AM485" s="6" t="s">
        <v>220</v>
      </c>
      <c r="AN485" s="6" t="s">
        <v>221</v>
      </c>
      <c r="AO485" s="6" t="s">
        <v>222</v>
      </c>
      <c r="AQ485" s="6">
        <v>3699</v>
      </c>
      <c r="AR485" s="6" t="s">
        <v>11121</v>
      </c>
      <c r="AT485" s="6">
        <v>2790</v>
      </c>
      <c r="AU485" s="6" t="s">
        <v>1949</v>
      </c>
      <c r="AV485" s="6">
        <v>27.9</v>
      </c>
      <c r="AW485" s="6" t="s">
        <v>1949</v>
      </c>
      <c r="AY485" s="6" t="s">
        <v>11122</v>
      </c>
      <c r="AZ485" s="6">
        <v>60378453236</v>
      </c>
      <c r="BA485" s="6" t="s">
        <v>11123</v>
      </c>
      <c r="BB485" s="6" t="s">
        <v>11123</v>
      </c>
      <c r="BD485" s="11" t="s">
        <v>11124</v>
      </c>
      <c r="BE485" s="6" t="str">
        <f t="shared" si="14"/>
        <v>swichtec.com.my</v>
      </c>
      <c r="BF485" s="6" t="str">
        <f t="shared" si="15"/>
        <v>my</v>
      </c>
      <c r="BG485" s="6" t="s">
        <v>101</v>
      </c>
      <c r="BH485" s="6" t="s">
        <v>11125</v>
      </c>
      <c r="BJ485" s="6" t="s">
        <v>11126</v>
      </c>
      <c r="BK485" s="6" t="s">
        <v>11127</v>
      </c>
      <c r="BP485" s="6" t="s">
        <v>11128</v>
      </c>
      <c r="BQ485" s="6" t="s">
        <v>11129</v>
      </c>
      <c r="BR485" s="6" t="s">
        <v>105</v>
      </c>
    </row>
    <row r="486" spans="1:70" ht="45" customHeight="1" x14ac:dyDescent="0.25">
      <c r="A486" s="6">
        <v>486</v>
      </c>
      <c r="B486" s="7" t="s">
        <v>11130</v>
      </c>
      <c r="C486" s="8" t="s">
        <v>11131</v>
      </c>
      <c r="D486" s="6" t="s">
        <v>11130</v>
      </c>
      <c r="E486" s="8" t="s">
        <v>11130</v>
      </c>
      <c r="F486" s="8" t="s">
        <v>11132</v>
      </c>
      <c r="G486" s="6" t="s">
        <v>612</v>
      </c>
      <c r="H486" s="6" t="s">
        <v>613</v>
      </c>
      <c r="I486" s="8" t="s">
        <v>11133</v>
      </c>
      <c r="J486" s="6" t="s">
        <v>11133</v>
      </c>
      <c r="K486" s="9">
        <v>62100</v>
      </c>
      <c r="L486" s="8" t="s">
        <v>11134</v>
      </c>
      <c r="M486" s="9" t="s">
        <v>11135</v>
      </c>
      <c r="N486" s="6">
        <v>2.9180628</v>
      </c>
      <c r="O486" s="6">
        <v>101.681124</v>
      </c>
      <c r="P486" s="6" t="s">
        <v>11136</v>
      </c>
      <c r="Q486" s="6">
        <v>41</v>
      </c>
      <c r="R486" s="6" t="s">
        <v>79</v>
      </c>
      <c r="S486" s="6">
        <v>1984</v>
      </c>
      <c r="T486" s="6">
        <v>853567744</v>
      </c>
      <c r="U486" s="6" t="s">
        <v>167</v>
      </c>
      <c r="V486" s="6">
        <v>780</v>
      </c>
      <c r="W486" s="6" t="s">
        <v>167</v>
      </c>
      <c r="X486" s="6" t="s">
        <v>11137</v>
      </c>
      <c r="Y486" s="6" t="s">
        <v>11138</v>
      </c>
      <c r="Z486" s="6" t="s">
        <v>11139</v>
      </c>
      <c r="AA486" s="6" t="s">
        <v>11140</v>
      </c>
      <c r="AB486" s="6" t="s">
        <v>11141</v>
      </c>
      <c r="AC486" s="6">
        <v>524126</v>
      </c>
      <c r="AD486" s="10" t="str">
        <f>_xlfn.XLOOKUP(AC486,[1]Mapping!B:B,[1]Mapping!C:C,"")</f>
        <v xml:space="preserve">Direct Property and Casualty Insurance Carriers </v>
      </c>
      <c r="AG486" s="6" t="s">
        <v>760</v>
      </c>
      <c r="AH486" s="6" t="s">
        <v>761</v>
      </c>
      <c r="AI486" s="6" t="s">
        <v>119</v>
      </c>
      <c r="AJ486" s="6" t="s">
        <v>293</v>
      </c>
      <c r="AK486" s="6" t="s">
        <v>294</v>
      </c>
      <c r="AL486" s="6" t="s">
        <v>295</v>
      </c>
      <c r="AM486" s="6" t="s">
        <v>296</v>
      </c>
      <c r="AN486" s="6" t="s">
        <v>297</v>
      </c>
      <c r="AO486" s="6" t="s">
        <v>298</v>
      </c>
      <c r="AQ486" s="6" t="s">
        <v>4918</v>
      </c>
      <c r="AR486" s="6" t="s">
        <v>4919</v>
      </c>
      <c r="AS486" s="6" t="s">
        <v>11142</v>
      </c>
      <c r="AT486" s="6">
        <v>6512</v>
      </c>
      <c r="AU486" s="6" t="s">
        <v>796</v>
      </c>
      <c r="AV486" s="6">
        <v>65.12</v>
      </c>
      <c r="AW486" s="6" t="s">
        <v>796</v>
      </c>
      <c r="AX486" s="6" t="s">
        <v>11143</v>
      </c>
      <c r="AY486" s="6" t="s">
        <v>11144</v>
      </c>
      <c r="AZ486" s="6" t="s">
        <v>11145</v>
      </c>
      <c r="BA486" s="6" t="s">
        <v>11146</v>
      </c>
      <c r="BB486" s="6" t="s">
        <v>11147</v>
      </c>
      <c r="BC486" s="6" t="s">
        <v>11146</v>
      </c>
      <c r="BD486" s="6" t="s">
        <v>11148</v>
      </c>
      <c r="BE486" s="6" t="str">
        <f t="shared" si="14"/>
        <v>takaful-malaysia.com.my</v>
      </c>
      <c r="BF486" s="6" t="str">
        <f t="shared" si="15"/>
        <v>my</v>
      </c>
      <c r="BG486" s="6" t="s">
        <v>101</v>
      </c>
      <c r="BH486" s="6" t="s">
        <v>11149</v>
      </c>
      <c r="BI486" s="6" t="s">
        <v>11150</v>
      </c>
      <c r="BJ486" s="6" t="s">
        <v>11151</v>
      </c>
      <c r="BK486" s="6" t="s">
        <v>11152</v>
      </c>
      <c r="BL486" s="6" t="s">
        <v>11153</v>
      </c>
      <c r="BM486" s="6" t="s">
        <v>11154</v>
      </c>
      <c r="BN486" s="6" t="s">
        <v>11155</v>
      </c>
      <c r="BP486" s="6" t="s">
        <v>11156</v>
      </c>
      <c r="BQ486" s="6" t="s">
        <v>11157</v>
      </c>
      <c r="BR486" s="6" t="s">
        <v>105</v>
      </c>
    </row>
    <row r="487" spans="1:70" ht="45" customHeight="1" x14ac:dyDescent="0.25">
      <c r="A487" s="6">
        <v>487</v>
      </c>
      <c r="B487" s="7" t="s">
        <v>11158</v>
      </c>
      <c r="C487" s="8" t="s">
        <v>11159</v>
      </c>
      <c r="D487" s="6" t="s">
        <v>11160</v>
      </c>
      <c r="E487" s="6" t="s">
        <v>11161</v>
      </c>
      <c r="F487" s="8" t="s">
        <v>11162</v>
      </c>
      <c r="G487" s="6" t="s">
        <v>201</v>
      </c>
      <c r="H487" s="6" t="s">
        <v>202</v>
      </c>
      <c r="I487" s="6" t="s">
        <v>11163</v>
      </c>
      <c r="J487" s="6" t="s">
        <v>11164</v>
      </c>
      <c r="K487" s="9">
        <v>33647</v>
      </c>
      <c r="L487" s="8" t="s">
        <v>11165</v>
      </c>
      <c r="M487" s="9">
        <v>8125</v>
      </c>
      <c r="N487" s="6">
        <v>28.130937299999999</v>
      </c>
      <c r="O487" s="6">
        <v>-82.374333499999992</v>
      </c>
      <c r="P487" s="6" t="s">
        <v>11166</v>
      </c>
      <c r="Q487" s="6">
        <v>17</v>
      </c>
      <c r="R487" s="6" t="s">
        <v>79</v>
      </c>
      <c r="S487" s="6">
        <v>1987</v>
      </c>
      <c r="T487" s="6">
        <v>1019150784</v>
      </c>
      <c r="U487" s="6" t="s">
        <v>80</v>
      </c>
      <c r="V487" s="6">
        <v>1400</v>
      </c>
      <c r="W487" s="6" t="s">
        <v>167</v>
      </c>
      <c r="X487" s="6" t="s">
        <v>11167</v>
      </c>
      <c r="Y487" s="6" t="s">
        <v>11168</v>
      </c>
      <c r="Z487" s="6" t="s">
        <v>11169</v>
      </c>
      <c r="AA487" s="6" t="s">
        <v>11170</v>
      </c>
      <c r="AB487" s="6" t="s">
        <v>11171</v>
      </c>
      <c r="AC487" s="6">
        <v>517919</v>
      </c>
      <c r="AD487" s="10" t="s">
        <v>3831</v>
      </c>
      <c r="AE487" s="6">
        <v>517121</v>
      </c>
      <c r="AF487" s="6" t="s">
        <v>3831</v>
      </c>
      <c r="AG487" s="6" t="s">
        <v>11172</v>
      </c>
      <c r="AH487" s="6" t="s">
        <v>11173</v>
      </c>
      <c r="AI487" s="6" t="s">
        <v>4210</v>
      </c>
      <c r="AJ487" s="6" t="s">
        <v>174</v>
      </c>
      <c r="AK487" s="6" t="s">
        <v>175</v>
      </c>
      <c r="AL487" s="6" t="s">
        <v>176</v>
      </c>
      <c r="AM487" s="6" t="s">
        <v>177</v>
      </c>
      <c r="AN487" s="6" t="s">
        <v>91</v>
      </c>
      <c r="AO487" s="6" t="s">
        <v>92</v>
      </c>
      <c r="AQ487" s="6">
        <v>4813</v>
      </c>
      <c r="AR487" s="6" t="s">
        <v>2296</v>
      </c>
      <c r="AS487" s="6" t="s">
        <v>11174</v>
      </c>
      <c r="AT487" s="6">
        <v>6190</v>
      </c>
      <c r="AU487" s="6" t="s">
        <v>96</v>
      </c>
      <c r="AV487" s="6">
        <v>61.9</v>
      </c>
      <c r="AW487" s="6" t="s">
        <v>96</v>
      </c>
      <c r="AX487" s="6" t="s">
        <v>11175</v>
      </c>
      <c r="AY487" s="6" t="s">
        <v>11176</v>
      </c>
      <c r="AZ487" s="6" t="s">
        <v>11177</v>
      </c>
      <c r="BA487" s="6" t="s">
        <v>11178</v>
      </c>
      <c r="BB487" s="6" t="s">
        <v>11179</v>
      </c>
      <c r="BC487" s="6" t="s">
        <v>11180</v>
      </c>
      <c r="BD487" s="6" t="s">
        <v>11181</v>
      </c>
      <c r="BE487" s="6" t="str">
        <f t="shared" si="14"/>
        <v>syniverse.com</v>
      </c>
      <c r="BF487" s="6" t="str">
        <f t="shared" si="15"/>
        <v>com</v>
      </c>
      <c r="BG487" s="6" t="s">
        <v>101</v>
      </c>
      <c r="BH487" s="6" t="s">
        <v>11182</v>
      </c>
      <c r="BI487" s="6" t="s">
        <v>11183</v>
      </c>
      <c r="BK487" s="6" t="s">
        <v>11184</v>
      </c>
      <c r="BN487" s="6" t="s">
        <v>11185</v>
      </c>
      <c r="BP487" s="6" t="s">
        <v>11186</v>
      </c>
      <c r="BQ487" s="6" t="s">
        <v>11187</v>
      </c>
      <c r="BR487" s="6" t="s">
        <v>105</v>
      </c>
    </row>
    <row r="488" spans="1:70" ht="45" customHeight="1" x14ac:dyDescent="0.25">
      <c r="A488" s="6">
        <v>488</v>
      </c>
      <c r="B488" s="7" t="s">
        <v>11188</v>
      </c>
      <c r="C488" s="8" t="s">
        <v>11189</v>
      </c>
      <c r="D488" s="6" t="s">
        <v>11188</v>
      </c>
      <c r="E488" s="6" t="s">
        <v>11190</v>
      </c>
      <c r="F488" s="8" t="s">
        <v>11191</v>
      </c>
      <c r="G488" s="6" t="s">
        <v>1400</v>
      </c>
      <c r="H488" s="6" t="s">
        <v>1401</v>
      </c>
      <c r="I488" s="6" t="s">
        <v>7676</v>
      </c>
      <c r="J488" s="6" t="s">
        <v>2991</v>
      </c>
      <c r="K488" s="9">
        <v>54000</v>
      </c>
      <c r="L488" s="8" t="s">
        <v>11192</v>
      </c>
      <c r="M488" s="9">
        <v>99</v>
      </c>
      <c r="N488" s="6">
        <v>31.5070981</v>
      </c>
      <c r="O488" s="6">
        <v>74.431523800000008</v>
      </c>
      <c r="P488" s="6" t="s">
        <v>11193</v>
      </c>
      <c r="Q488" s="6">
        <v>1</v>
      </c>
      <c r="R488" s="6" t="s">
        <v>79</v>
      </c>
      <c r="T488" s="6">
        <v>30891</v>
      </c>
      <c r="U488" s="6" t="s">
        <v>80</v>
      </c>
      <c r="V488" s="6">
        <v>7</v>
      </c>
      <c r="W488" s="6" t="s">
        <v>167</v>
      </c>
      <c r="X488" s="6" t="s">
        <v>11194</v>
      </c>
      <c r="Y488" s="6" t="s">
        <v>11195</v>
      </c>
      <c r="Z488" s="6" t="s">
        <v>11196</v>
      </c>
      <c r="AA488" s="6" t="s">
        <v>11197</v>
      </c>
      <c r="AB488" s="6" t="s">
        <v>11198</v>
      </c>
      <c r="AC488" s="6">
        <v>541511</v>
      </c>
      <c r="AD488" s="10" t="str">
        <f>_xlfn.XLOOKUP(AC488,[1]Mapping!B:B,[1]Mapping!C:C,"")</f>
        <v xml:space="preserve">Custom Computer Programming Services </v>
      </c>
      <c r="AG488" s="6" t="s">
        <v>990</v>
      </c>
      <c r="AH488" s="6" t="s">
        <v>174</v>
      </c>
      <c r="AI488" s="6" t="s">
        <v>87</v>
      </c>
      <c r="AQ488" s="6">
        <v>7371</v>
      </c>
      <c r="AR488" s="6" t="s">
        <v>504</v>
      </c>
      <c r="AT488" s="6">
        <v>6201</v>
      </c>
      <c r="AU488" s="6" t="s">
        <v>505</v>
      </c>
      <c r="AV488" s="6">
        <v>62.01</v>
      </c>
      <c r="AW488" s="6" t="s">
        <v>505</v>
      </c>
      <c r="AY488" s="6" t="s">
        <v>11199</v>
      </c>
      <c r="AZ488" s="6" t="s">
        <v>11200</v>
      </c>
      <c r="BD488" s="6" t="s">
        <v>11201</v>
      </c>
      <c r="BE488" s="6" t="str">
        <f t="shared" si="14"/>
        <v>systemsltd.com</v>
      </c>
      <c r="BF488" s="6" t="str">
        <f t="shared" si="15"/>
        <v>com</v>
      </c>
      <c r="BG488" s="6" t="s">
        <v>101</v>
      </c>
      <c r="BH488" s="6" t="s">
        <v>11202</v>
      </c>
      <c r="BI488" s="6" t="s">
        <v>11203</v>
      </c>
      <c r="BJ488" s="6" t="s">
        <v>11204</v>
      </c>
      <c r="BK488" s="6" t="s">
        <v>11205</v>
      </c>
      <c r="BN488" s="6" t="s">
        <v>11206</v>
      </c>
      <c r="BQ488" s="6" t="s">
        <v>11207</v>
      </c>
      <c r="BR488" s="6" t="s">
        <v>105</v>
      </c>
    </row>
    <row r="489" spans="1:70" ht="45" customHeight="1" x14ac:dyDescent="0.25">
      <c r="A489" s="6">
        <v>489</v>
      </c>
      <c r="B489" s="7" t="s">
        <v>11208</v>
      </c>
      <c r="C489" s="8" t="s">
        <v>11209</v>
      </c>
      <c r="D489" s="6" t="s">
        <v>11210</v>
      </c>
      <c r="E489" s="6" t="s">
        <v>11211</v>
      </c>
      <c r="F489" s="8" t="s">
        <v>11212</v>
      </c>
      <c r="G489" s="6" t="s">
        <v>73</v>
      </c>
      <c r="H489" s="6" t="s">
        <v>74</v>
      </c>
      <c r="I489" s="6"/>
      <c r="J489" s="6" t="s">
        <v>1636</v>
      </c>
      <c r="K489" s="9">
        <v>9400</v>
      </c>
      <c r="L489" s="8" t="s">
        <v>11213</v>
      </c>
      <c r="M489" s="9">
        <v>3</v>
      </c>
      <c r="N489" s="6">
        <v>57.067697300000013</v>
      </c>
      <c r="O489" s="6">
        <v>9.9534164999999994</v>
      </c>
      <c r="P489" s="6" t="s">
        <v>11214</v>
      </c>
      <c r="Q489" s="6">
        <v>1</v>
      </c>
      <c r="R489" s="6" t="s">
        <v>79</v>
      </c>
      <c r="S489" s="6">
        <v>1934</v>
      </c>
      <c r="T489" s="6">
        <v>40202612</v>
      </c>
      <c r="U489" s="6" t="s">
        <v>80</v>
      </c>
      <c r="V489" s="6">
        <v>150</v>
      </c>
      <c r="W489" s="6" t="s">
        <v>80</v>
      </c>
      <c r="X489" s="6" t="s">
        <v>11215</v>
      </c>
      <c r="Y489" s="6" t="s">
        <v>11216</v>
      </c>
      <c r="Z489" s="6" t="s">
        <v>11217</v>
      </c>
      <c r="AA489" s="6" t="s">
        <v>11218</v>
      </c>
      <c r="AB489" s="6" t="s">
        <v>11219</v>
      </c>
      <c r="AC489" s="6">
        <v>326291</v>
      </c>
      <c r="AD489" s="10" t="str">
        <f>_xlfn.XLOOKUP(AC489,[1]Mapping!B:B,[1]Mapping!C:C,"")</f>
        <v xml:space="preserve">Rubber Product Manufacturing for Mechanical Use </v>
      </c>
      <c r="AG489" s="6" t="s">
        <v>11220</v>
      </c>
      <c r="AH489" s="6" t="s">
        <v>11221</v>
      </c>
      <c r="AI489" s="6" t="s">
        <v>8399</v>
      </c>
      <c r="AJ489" s="6" t="s">
        <v>4319</v>
      </c>
      <c r="AK489" s="6" t="s">
        <v>4320</v>
      </c>
      <c r="AL489" s="6" t="s">
        <v>4319</v>
      </c>
      <c r="AM489" s="6" t="s">
        <v>4321</v>
      </c>
      <c r="AN489" s="6" t="s">
        <v>436</v>
      </c>
      <c r="AO489" s="6" t="s">
        <v>437</v>
      </c>
      <c r="AQ489" s="6">
        <v>3061</v>
      </c>
      <c r="AR489" s="6" t="s">
        <v>11222</v>
      </c>
      <c r="AT489" s="6">
        <v>2219</v>
      </c>
      <c r="AU489" s="6" t="s">
        <v>11223</v>
      </c>
      <c r="AV489" s="6">
        <v>22.19</v>
      </c>
      <c r="AW489" s="6" t="s">
        <v>11223</v>
      </c>
      <c r="AY489" s="6" t="s">
        <v>11224</v>
      </c>
      <c r="AZ489" s="6" t="s">
        <v>11225</v>
      </c>
      <c r="BA489" s="6" t="s">
        <v>11226</v>
      </c>
      <c r="BB489" s="6" t="s">
        <v>11226</v>
      </c>
      <c r="BD489" s="6" t="s">
        <v>11227</v>
      </c>
      <c r="BE489" s="6" t="str">
        <f t="shared" si="14"/>
        <v>systemteknik.dk</v>
      </c>
      <c r="BF489" s="6" t="str">
        <f t="shared" si="15"/>
        <v>dk</v>
      </c>
      <c r="BG489" s="6" t="s">
        <v>101</v>
      </c>
      <c r="BH489" s="6" t="s">
        <v>11228</v>
      </c>
      <c r="BK489" s="6" t="s">
        <v>11229</v>
      </c>
      <c r="BP489" s="6" t="s">
        <v>11230</v>
      </c>
      <c r="BQ489" s="6" t="s">
        <v>11231</v>
      </c>
      <c r="BR489" s="6" t="s">
        <v>105</v>
      </c>
    </row>
    <row r="490" spans="1:70" ht="45" customHeight="1" x14ac:dyDescent="0.25">
      <c r="A490" s="6">
        <v>490</v>
      </c>
      <c r="B490" s="7" t="s">
        <v>11232</v>
      </c>
      <c r="C490" s="8" t="s">
        <v>11233</v>
      </c>
      <c r="D490" s="6" t="s">
        <v>11234</v>
      </c>
      <c r="E490" s="8" t="s">
        <v>11232</v>
      </c>
      <c r="F490" s="8" t="s">
        <v>11235</v>
      </c>
      <c r="G490" s="6" t="s">
        <v>130</v>
      </c>
      <c r="H490" s="6" t="s">
        <v>131</v>
      </c>
      <c r="I490" s="8" t="s">
        <v>132</v>
      </c>
      <c r="J490" s="6" t="s">
        <v>132</v>
      </c>
      <c r="K490" s="9">
        <v>157</v>
      </c>
      <c r="L490" s="8" t="s">
        <v>4515</v>
      </c>
      <c r="M490" s="9">
        <v>11</v>
      </c>
      <c r="N490" s="6">
        <v>59.912311199999998</v>
      </c>
      <c r="O490" s="6">
        <v>10.7412999</v>
      </c>
      <c r="P490" s="6" t="s">
        <v>11236</v>
      </c>
      <c r="Q490" s="6">
        <v>1</v>
      </c>
      <c r="R490" s="6" t="s">
        <v>79</v>
      </c>
      <c r="T490" s="6">
        <v>27833698</v>
      </c>
      <c r="U490" s="6" t="s">
        <v>80</v>
      </c>
      <c r="V490" s="6">
        <v>75</v>
      </c>
      <c r="W490" s="6" t="s">
        <v>80</v>
      </c>
      <c r="X490" s="6" t="s">
        <v>11237</v>
      </c>
      <c r="Y490" s="6" t="s">
        <v>11238</v>
      </c>
      <c r="Z490" s="6" t="s">
        <v>11239</v>
      </c>
      <c r="AA490" s="6" t="s">
        <v>11240</v>
      </c>
      <c r="AB490" s="6" t="s">
        <v>11241</v>
      </c>
      <c r="AC490" s="6">
        <v>562111</v>
      </c>
      <c r="AD490" s="10" t="str">
        <f>_xlfn.XLOOKUP(AC490,[1]Mapping!B:B,[1]Mapping!C:C,"")</f>
        <v xml:space="preserve">Solid Waste Collection </v>
      </c>
      <c r="AG490" s="6" t="s">
        <v>11009</v>
      </c>
      <c r="AH490" s="6" t="s">
        <v>11010</v>
      </c>
      <c r="AI490" s="6" t="s">
        <v>4822</v>
      </c>
      <c r="AJ490" s="6" t="s">
        <v>11242</v>
      </c>
      <c r="AK490" s="6" t="s">
        <v>11243</v>
      </c>
      <c r="AL490" s="6" t="s">
        <v>11242</v>
      </c>
      <c r="AM490" s="6" t="s">
        <v>11244</v>
      </c>
      <c r="AN490" s="6" t="s">
        <v>655</v>
      </c>
      <c r="AO490" s="6" t="s">
        <v>657</v>
      </c>
      <c r="AQ490" s="6">
        <v>4212</v>
      </c>
      <c r="AR490" s="6" t="s">
        <v>11011</v>
      </c>
      <c r="AT490" s="6">
        <v>3811</v>
      </c>
      <c r="AU490" s="6" t="s">
        <v>4392</v>
      </c>
      <c r="AV490" s="6">
        <v>38.11</v>
      </c>
      <c r="AW490" s="6" t="s">
        <v>4392</v>
      </c>
      <c r="AY490" s="6" t="s">
        <v>11245</v>
      </c>
      <c r="AZ490" s="6">
        <v>4722656100</v>
      </c>
      <c r="BA490" s="6" t="s">
        <v>11246</v>
      </c>
      <c r="BB490" s="6" t="s">
        <v>11246</v>
      </c>
      <c r="BD490" s="6" t="s">
        <v>11247</v>
      </c>
      <c r="BE490" s="6" t="str">
        <f t="shared" si="14"/>
        <v>pol.no</v>
      </c>
      <c r="BF490" s="6" t="str">
        <f t="shared" si="15"/>
        <v>no</v>
      </c>
      <c r="BG490" s="6" t="s">
        <v>150</v>
      </c>
      <c r="BH490" s="6" t="s">
        <v>11248</v>
      </c>
      <c r="BJ490" s="6" t="s">
        <v>11249</v>
      </c>
      <c r="BK490" s="6" t="s">
        <v>11250</v>
      </c>
      <c r="BP490" s="6" t="s">
        <v>11251</v>
      </c>
      <c r="BQ490" s="6" t="s">
        <v>11252</v>
      </c>
      <c r="BR490" s="6" t="s">
        <v>105</v>
      </c>
    </row>
    <row r="491" spans="1:70" ht="45" customHeight="1" x14ac:dyDescent="0.25">
      <c r="A491" s="6">
        <v>491</v>
      </c>
      <c r="B491" s="7" t="s">
        <v>11253</v>
      </c>
      <c r="C491" s="8" t="s">
        <v>11254</v>
      </c>
      <c r="D491" s="6" t="s">
        <v>11255</v>
      </c>
      <c r="E491" s="6" t="s">
        <v>11256</v>
      </c>
      <c r="F491" s="8" t="s">
        <v>11257</v>
      </c>
      <c r="G491" s="6" t="s">
        <v>418</v>
      </c>
      <c r="H491" s="6" t="s">
        <v>419</v>
      </c>
      <c r="I491" s="6" t="s">
        <v>420</v>
      </c>
      <c r="J491" s="6" t="s">
        <v>11258</v>
      </c>
      <c r="K491" s="9">
        <v>92150</v>
      </c>
      <c r="L491" s="8" t="s">
        <v>11259</v>
      </c>
      <c r="M491" s="14">
        <v>45784</v>
      </c>
      <c r="N491" s="6">
        <v>48.873802099999999</v>
      </c>
      <c r="O491" s="6">
        <v>2.2331368</v>
      </c>
      <c r="P491" s="6" t="s">
        <v>11260</v>
      </c>
      <c r="Q491" s="6">
        <v>1</v>
      </c>
      <c r="R491" s="6" t="s">
        <v>79</v>
      </c>
      <c r="S491" s="6">
        <v>2009</v>
      </c>
      <c r="T491" s="6">
        <v>261365</v>
      </c>
      <c r="U491" s="6" t="s">
        <v>80</v>
      </c>
      <c r="V491" s="6">
        <v>1</v>
      </c>
      <c r="W491" s="6" t="s">
        <v>167</v>
      </c>
      <c r="X491" s="6" t="s">
        <v>11261</v>
      </c>
      <c r="Y491" s="6" t="s">
        <v>11262</v>
      </c>
      <c r="Z491" s="6" t="s">
        <v>11263</v>
      </c>
      <c r="AA491" s="6" t="s">
        <v>11264</v>
      </c>
      <c r="AB491" s="6" t="s">
        <v>11265</v>
      </c>
      <c r="AC491" s="6">
        <v>541613</v>
      </c>
      <c r="AD491" s="10" t="str">
        <f>_xlfn.XLOOKUP(AC491,[1]Mapping!B:B,[1]Mapping!C:C,"")</f>
        <v xml:space="preserve">Marketing Consulting Services </v>
      </c>
      <c r="AG491" s="6" t="s">
        <v>1142</v>
      </c>
      <c r="AH491" s="6" t="s">
        <v>1143</v>
      </c>
      <c r="AI491" s="6" t="s">
        <v>500</v>
      </c>
      <c r="AJ491" s="6" t="s">
        <v>500</v>
      </c>
      <c r="AK491" s="6" t="s">
        <v>501</v>
      </c>
      <c r="AL491" s="6" t="s">
        <v>502</v>
      </c>
      <c r="AM491" s="6" t="s">
        <v>503</v>
      </c>
      <c r="AN491" s="6" t="s">
        <v>297</v>
      </c>
      <c r="AO491" s="6" t="s">
        <v>298</v>
      </c>
      <c r="AQ491" s="6">
        <v>8742</v>
      </c>
      <c r="AR491" s="6" t="s">
        <v>2660</v>
      </c>
      <c r="AS491" s="6" t="s">
        <v>11266</v>
      </c>
      <c r="AT491" s="6">
        <v>7020</v>
      </c>
      <c r="AU491" s="6" t="s">
        <v>378</v>
      </c>
      <c r="AV491" s="6" t="s">
        <v>379</v>
      </c>
      <c r="AW491" s="6" t="s">
        <v>380</v>
      </c>
      <c r="AX491" s="6" t="s">
        <v>11267</v>
      </c>
      <c r="AY491" s="6" t="s">
        <v>11268</v>
      </c>
      <c r="AZ491" s="6">
        <v>6593675264</v>
      </c>
      <c r="BA491" s="6" t="s">
        <v>11269</v>
      </c>
      <c r="BB491" s="6" t="s">
        <v>11269</v>
      </c>
      <c r="BD491" s="6" t="s">
        <v>11270</v>
      </c>
      <c r="BE491" s="6" t="str">
        <f t="shared" si="14"/>
        <v>talend.com</v>
      </c>
      <c r="BF491" s="6" t="str">
        <f t="shared" si="15"/>
        <v>com</v>
      </c>
      <c r="BG491" s="6" t="s">
        <v>101</v>
      </c>
      <c r="BH491" s="6" t="s">
        <v>9576</v>
      </c>
      <c r="BI491" s="6" t="s">
        <v>9577</v>
      </c>
      <c r="BJ491" s="6" t="s">
        <v>11271</v>
      </c>
      <c r="BK491" s="6" t="s">
        <v>9578</v>
      </c>
      <c r="BP491" s="6" t="s">
        <v>11272</v>
      </c>
      <c r="BQ491" s="6" t="s">
        <v>11273</v>
      </c>
      <c r="BR491" s="6" t="s">
        <v>105</v>
      </c>
    </row>
    <row r="492" spans="1:70" ht="45" customHeight="1" x14ac:dyDescent="0.25">
      <c r="A492" s="6">
        <v>492</v>
      </c>
      <c r="B492" s="7" t="s">
        <v>11274</v>
      </c>
      <c r="C492" s="8" t="s">
        <v>11275</v>
      </c>
      <c r="D492" s="6" t="s">
        <v>11276</v>
      </c>
      <c r="E492" s="8" t="s">
        <v>956</v>
      </c>
      <c r="F492" s="8" t="s">
        <v>956</v>
      </c>
      <c r="G492" s="6" t="s">
        <v>160</v>
      </c>
      <c r="H492" s="6" t="s">
        <v>161</v>
      </c>
      <c r="I492" s="6" t="s">
        <v>281</v>
      </c>
      <c r="J492" s="6" t="s">
        <v>282</v>
      </c>
      <c r="K492" s="9" t="s">
        <v>11277</v>
      </c>
      <c r="L492" s="8" t="s">
        <v>11278</v>
      </c>
      <c r="M492" s="9">
        <v>11</v>
      </c>
      <c r="N492" s="6">
        <v>59.335757899999997</v>
      </c>
      <c r="O492" s="6">
        <v>18.049985700000001</v>
      </c>
      <c r="P492" s="6" t="s">
        <v>11279</v>
      </c>
      <c r="Q492" s="6">
        <v>1</v>
      </c>
      <c r="R492" s="6" t="s">
        <v>79</v>
      </c>
      <c r="S492" s="6">
        <v>2016</v>
      </c>
      <c r="V492" s="6">
        <v>15</v>
      </c>
      <c r="W492" s="6" t="s">
        <v>80</v>
      </c>
      <c r="X492" s="6" t="s">
        <v>11280</v>
      </c>
      <c r="Y492" s="6" t="s">
        <v>11281</v>
      </c>
      <c r="Z492" s="6" t="s">
        <v>11282</v>
      </c>
      <c r="AA492" s="6" t="s">
        <v>11283</v>
      </c>
      <c r="AB492" s="6" t="s">
        <v>11284</v>
      </c>
      <c r="AC492" s="10"/>
      <c r="AD492" s="10"/>
      <c r="AS492" s="6" t="s">
        <v>11285</v>
      </c>
      <c r="AX492" s="6" t="s">
        <v>11286</v>
      </c>
      <c r="AY492" s="6" t="s">
        <v>11287</v>
      </c>
      <c r="BB492" s="6" t="s">
        <v>11288</v>
      </c>
      <c r="BD492" s="11" t="s">
        <v>11289</v>
      </c>
      <c r="BE492" s="6" t="str">
        <f t="shared" si="14"/>
        <v>talenom.com</v>
      </c>
      <c r="BF492" s="6" t="str">
        <f t="shared" si="15"/>
        <v>com</v>
      </c>
      <c r="BG492" s="6" t="s">
        <v>308</v>
      </c>
      <c r="BH492" s="6" t="s">
        <v>11290</v>
      </c>
      <c r="BJ492" s="6" t="s">
        <v>11291</v>
      </c>
      <c r="BK492" s="6" t="s">
        <v>11292</v>
      </c>
      <c r="BN492" s="6" t="s">
        <v>11293</v>
      </c>
      <c r="BQ492" s="6" t="s">
        <v>11294</v>
      </c>
      <c r="BR492" s="6" t="s">
        <v>105</v>
      </c>
    </row>
    <row r="493" spans="1:70" ht="45" customHeight="1" x14ac:dyDescent="0.25">
      <c r="A493" s="6">
        <v>493</v>
      </c>
      <c r="B493" s="7" t="s">
        <v>11295</v>
      </c>
      <c r="C493" s="8" t="s">
        <v>11296</v>
      </c>
      <c r="D493" s="6" t="s">
        <v>11295</v>
      </c>
      <c r="E493" s="8" t="s">
        <v>11295</v>
      </c>
      <c r="F493" s="8" t="s">
        <v>11297</v>
      </c>
      <c r="G493" s="6" t="s">
        <v>73</v>
      </c>
      <c r="H493" s="6" t="s">
        <v>74</v>
      </c>
      <c r="J493" s="6" t="s">
        <v>486</v>
      </c>
      <c r="K493" s="9">
        <v>1123</v>
      </c>
      <c r="L493" s="8" t="s">
        <v>11298</v>
      </c>
      <c r="M493" s="9">
        <v>14</v>
      </c>
      <c r="N493" s="6">
        <v>55.682037999999999</v>
      </c>
      <c r="O493" s="6">
        <v>12.5839433</v>
      </c>
      <c r="P493" s="6" t="s">
        <v>11299</v>
      </c>
      <c r="Q493" s="6">
        <v>1</v>
      </c>
      <c r="R493" s="6" t="s">
        <v>79</v>
      </c>
      <c r="S493" s="6">
        <v>2020</v>
      </c>
      <c r="T493" s="6">
        <v>5776510</v>
      </c>
      <c r="U493" s="6" t="s">
        <v>80</v>
      </c>
      <c r="V493" s="6">
        <v>26</v>
      </c>
      <c r="W493" s="6" t="s">
        <v>167</v>
      </c>
      <c r="X493" s="6" t="s">
        <v>11300</v>
      </c>
      <c r="Y493" s="6" t="s">
        <v>11301</v>
      </c>
      <c r="Z493" s="6" t="s">
        <v>11302</v>
      </c>
      <c r="AA493" s="6" t="s">
        <v>11303</v>
      </c>
      <c r="AB493" s="6" t="s">
        <v>11304</v>
      </c>
      <c r="AC493" s="6">
        <v>513210</v>
      </c>
      <c r="AD493" s="10" t="str">
        <f>_xlfn.XLOOKUP(AC493,[1]Mapping!B:B,[1]Mapping!C:C,"")</f>
        <v>Software Publishers</v>
      </c>
      <c r="AG493" s="6" t="s">
        <v>11305</v>
      </c>
      <c r="AH493" s="6" t="s">
        <v>11306</v>
      </c>
      <c r="AI493" s="6" t="s">
        <v>499</v>
      </c>
      <c r="AQ493" s="6">
        <v>7372</v>
      </c>
      <c r="AR493" s="6" t="s">
        <v>2077</v>
      </c>
      <c r="AT493" s="6">
        <v>5820</v>
      </c>
      <c r="AU493" s="6" t="s">
        <v>2028</v>
      </c>
      <c r="AV493" s="6">
        <v>58.29</v>
      </c>
      <c r="AW493" s="6" t="s">
        <v>2078</v>
      </c>
      <c r="AY493" s="6" t="s">
        <v>11307</v>
      </c>
      <c r="AZ493" s="6">
        <v>4572440644</v>
      </c>
      <c r="BD493" s="6" t="s">
        <v>11308</v>
      </c>
      <c r="BE493" s="6" t="str">
        <f t="shared" si="14"/>
        <v>talentech.dk</v>
      </c>
      <c r="BF493" s="6" t="str">
        <f t="shared" si="15"/>
        <v>dk</v>
      </c>
      <c r="BG493" s="6" t="s">
        <v>101</v>
      </c>
      <c r="BH493" s="6" t="s">
        <v>11309</v>
      </c>
      <c r="BK493" s="6" t="s">
        <v>11310</v>
      </c>
      <c r="BQ493" s="6" t="s">
        <v>11311</v>
      </c>
      <c r="BR493" s="6" t="s">
        <v>105</v>
      </c>
    </row>
    <row r="494" spans="1:70" ht="45" customHeight="1" x14ac:dyDescent="0.25">
      <c r="A494" s="6">
        <v>494</v>
      </c>
      <c r="B494" s="7" t="s">
        <v>11312</v>
      </c>
      <c r="C494" s="8" t="s">
        <v>11313</v>
      </c>
      <c r="D494" s="6" t="s">
        <v>11314</v>
      </c>
      <c r="E494" s="6" t="s">
        <v>11315</v>
      </c>
      <c r="F494" s="8" t="s">
        <v>11314</v>
      </c>
      <c r="G494" s="6" t="s">
        <v>130</v>
      </c>
      <c r="H494" s="6" t="s">
        <v>131</v>
      </c>
      <c r="I494" s="6" t="s">
        <v>2066</v>
      </c>
      <c r="J494" s="6" t="s">
        <v>11316</v>
      </c>
      <c r="K494" s="9">
        <v>4020</v>
      </c>
      <c r="L494" s="8" t="s">
        <v>11317</v>
      </c>
      <c r="M494" s="9">
        <v>224</v>
      </c>
      <c r="N494" s="6">
        <v>58.91474869999999</v>
      </c>
      <c r="O494" s="6">
        <v>5.7292109</v>
      </c>
      <c r="P494" s="6" t="s">
        <v>11318</v>
      </c>
      <c r="Q494" s="6">
        <v>8</v>
      </c>
      <c r="R494" s="6" t="s">
        <v>79</v>
      </c>
      <c r="S494" s="6">
        <v>2001</v>
      </c>
      <c r="T494" s="6">
        <v>37000000</v>
      </c>
      <c r="U494" s="6" t="s">
        <v>167</v>
      </c>
      <c r="V494" s="6">
        <v>180</v>
      </c>
      <c r="W494" s="6" t="s">
        <v>167</v>
      </c>
      <c r="X494" s="6" t="s">
        <v>11319</v>
      </c>
      <c r="Y494" s="6" t="s">
        <v>11320</v>
      </c>
      <c r="Z494" s="6" t="s">
        <v>11321</v>
      </c>
      <c r="AA494" s="6" t="s">
        <v>11322</v>
      </c>
      <c r="AB494" s="6" t="s">
        <v>11323</v>
      </c>
      <c r="AC494" s="6">
        <v>517311</v>
      </c>
      <c r="AD494" s="10" t="s">
        <v>711</v>
      </c>
      <c r="AE494" s="6">
        <v>517312</v>
      </c>
      <c r="AF494" s="6" t="s">
        <v>711</v>
      </c>
      <c r="AG494" s="6" t="s">
        <v>11324</v>
      </c>
      <c r="AH494" s="6" t="s">
        <v>11325</v>
      </c>
      <c r="AI494" s="6" t="s">
        <v>89</v>
      </c>
      <c r="AJ494" s="6" t="s">
        <v>174</v>
      </c>
      <c r="AK494" s="6" t="s">
        <v>175</v>
      </c>
      <c r="AL494" s="6" t="s">
        <v>176</v>
      </c>
      <c r="AM494" s="6" t="s">
        <v>177</v>
      </c>
      <c r="AN494" s="6" t="s">
        <v>91</v>
      </c>
      <c r="AO494" s="6" t="s">
        <v>92</v>
      </c>
      <c r="AQ494" s="6">
        <v>4813</v>
      </c>
      <c r="AR494" s="6" t="s">
        <v>2296</v>
      </c>
      <c r="AT494" s="6">
        <v>6110</v>
      </c>
      <c r="AU494" s="6" t="s">
        <v>2297</v>
      </c>
      <c r="AV494" s="6">
        <v>61.1</v>
      </c>
      <c r="AW494" s="6" t="s">
        <v>2297</v>
      </c>
      <c r="AY494" s="6" t="s">
        <v>11326</v>
      </c>
      <c r="AZ494" s="6" t="s">
        <v>11327</v>
      </c>
      <c r="BA494" s="6" t="s">
        <v>11328</v>
      </c>
      <c r="BB494" s="6" t="s">
        <v>11329</v>
      </c>
      <c r="BC494" s="6" t="s">
        <v>11330</v>
      </c>
      <c r="BD494" s="6" t="s">
        <v>11331</v>
      </c>
      <c r="BE494" s="6" t="str">
        <f t="shared" si="14"/>
        <v>tampnet.com</v>
      </c>
      <c r="BF494" s="6" t="str">
        <f t="shared" si="15"/>
        <v>com</v>
      </c>
      <c r="BG494" s="6" t="s">
        <v>101</v>
      </c>
      <c r="BH494" s="6" t="s">
        <v>11332</v>
      </c>
      <c r="BI494" s="6" t="s">
        <v>11333</v>
      </c>
      <c r="BJ494" s="6" t="s">
        <v>11334</v>
      </c>
      <c r="BK494" s="6" t="s">
        <v>11335</v>
      </c>
      <c r="BN494" s="6" t="s">
        <v>11336</v>
      </c>
      <c r="BP494" s="6" t="s">
        <v>11337</v>
      </c>
      <c r="BQ494" s="6" t="s">
        <v>11338</v>
      </c>
      <c r="BR494" s="6" t="s">
        <v>105</v>
      </c>
    </row>
    <row r="495" spans="1:70" ht="45" customHeight="1" x14ac:dyDescent="0.25">
      <c r="A495" s="6">
        <v>495</v>
      </c>
      <c r="B495" s="7" t="s">
        <v>11339</v>
      </c>
      <c r="C495" s="8" t="s">
        <v>11340</v>
      </c>
      <c r="D495" s="6" t="s">
        <v>11341</v>
      </c>
      <c r="E495" s="8" t="s">
        <v>11342</v>
      </c>
      <c r="F495" s="8" t="s">
        <v>11342</v>
      </c>
      <c r="G495" s="6" t="s">
        <v>315</v>
      </c>
      <c r="H495" s="6" t="s">
        <v>316</v>
      </c>
      <c r="I495" s="6"/>
      <c r="J495" s="6" t="s">
        <v>316</v>
      </c>
      <c r="K495" s="9">
        <v>539775</v>
      </c>
      <c r="L495" s="8" t="s">
        <v>11343</v>
      </c>
      <c r="M495" s="9">
        <v>18</v>
      </c>
      <c r="N495" s="6">
        <v>1.3365880000000001</v>
      </c>
      <c r="O495" s="6">
        <v>103.888801</v>
      </c>
      <c r="P495" s="6" t="s">
        <v>11344</v>
      </c>
      <c r="Q495" s="6">
        <v>1</v>
      </c>
      <c r="R495" s="6" t="s">
        <v>79</v>
      </c>
      <c r="S495" s="6">
        <v>2010</v>
      </c>
      <c r="T495" s="6">
        <v>2348470</v>
      </c>
      <c r="U495" s="6" t="s">
        <v>80</v>
      </c>
      <c r="V495" s="6">
        <v>5</v>
      </c>
      <c r="W495" s="6" t="s">
        <v>167</v>
      </c>
      <c r="X495" s="6" t="s">
        <v>11345</v>
      </c>
      <c r="Y495" s="6" t="s">
        <v>11346</v>
      </c>
      <c r="Z495" s="6" t="s">
        <v>11347</v>
      </c>
      <c r="AA495" s="6" t="s">
        <v>11348</v>
      </c>
      <c r="AB495" s="6" t="s">
        <v>11349</v>
      </c>
      <c r="AC495" s="6">
        <v>523150</v>
      </c>
      <c r="AD495" s="10" t="str">
        <f>_xlfn.XLOOKUP(AC495,[1]Mapping!B:B,[1]Mapping!C:C,"")</f>
        <v xml:space="preserve">Investment Banking and Securities Intermediation </v>
      </c>
      <c r="AG495" s="6" t="s">
        <v>1578</v>
      </c>
      <c r="AH495" s="6" t="s">
        <v>1579</v>
      </c>
      <c r="AI495" s="6" t="s">
        <v>119</v>
      </c>
      <c r="AJ495" s="6" t="s">
        <v>6486</v>
      </c>
      <c r="AK495" s="6" t="s">
        <v>6487</v>
      </c>
      <c r="AL495" s="6" t="s">
        <v>1582</v>
      </c>
      <c r="AM495" s="6" t="s">
        <v>1583</v>
      </c>
      <c r="AN495" s="6" t="s">
        <v>764</v>
      </c>
      <c r="AO495" s="6" t="s">
        <v>765</v>
      </c>
      <c r="AQ495" s="6" t="s">
        <v>11350</v>
      </c>
      <c r="AR495" s="6" t="s">
        <v>11351</v>
      </c>
      <c r="AT495" s="6" t="s">
        <v>11352</v>
      </c>
      <c r="AU495" s="6" t="s">
        <v>11353</v>
      </c>
      <c r="AV495" s="6" t="s">
        <v>11354</v>
      </c>
      <c r="AW495" s="6" t="s">
        <v>11355</v>
      </c>
      <c r="AY495" s="6" t="s">
        <v>11356</v>
      </c>
      <c r="BD495" s="6" t="s">
        <v>11357</v>
      </c>
      <c r="BE495" s="6" t="str">
        <f t="shared" si="14"/>
        <v>tatacommunications.com</v>
      </c>
      <c r="BF495" s="6" t="str">
        <f t="shared" si="15"/>
        <v>com</v>
      </c>
      <c r="BG495" s="6" t="s">
        <v>101</v>
      </c>
      <c r="BI495" s="6" t="s">
        <v>11358</v>
      </c>
      <c r="BJ495" s="6" t="s">
        <v>11359</v>
      </c>
      <c r="BK495" s="6" t="s">
        <v>11360</v>
      </c>
      <c r="BN495" s="6" t="s">
        <v>11361</v>
      </c>
      <c r="BP495" s="6" t="s">
        <v>11362</v>
      </c>
      <c r="BQ495" s="6" t="s">
        <v>11363</v>
      </c>
      <c r="BR495" s="6" t="s">
        <v>105</v>
      </c>
    </row>
    <row r="496" spans="1:70" ht="45" customHeight="1" x14ac:dyDescent="0.25">
      <c r="A496" s="6">
        <v>496</v>
      </c>
      <c r="B496" s="7" t="s">
        <v>11364</v>
      </c>
      <c r="C496" s="8" t="s">
        <v>11365</v>
      </c>
      <c r="D496" s="6" t="s">
        <v>11366</v>
      </c>
      <c r="E496" s="6" t="s">
        <v>11367</v>
      </c>
      <c r="F496" s="8" t="s">
        <v>11368</v>
      </c>
      <c r="G496" s="6" t="s">
        <v>315</v>
      </c>
      <c r="H496" s="6" t="s">
        <v>316</v>
      </c>
      <c r="I496" s="6" t="s">
        <v>11369</v>
      </c>
      <c r="J496" s="6" t="s">
        <v>316</v>
      </c>
      <c r="K496" s="9">
        <v>539775</v>
      </c>
      <c r="L496" s="8" t="s">
        <v>11343</v>
      </c>
      <c r="M496" s="9">
        <v>18</v>
      </c>
      <c r="N496" s="6">
        <v>1.336176</v>
      </c>
      <c r="O496" s="6">
        <v>103.88865439999999</v>
      </c>
      <c r="P496" s="6" t="s">
        <v>11370</v>
      </c>
      <c r="Q496" s="6">
        <v>4</v>
      </c>
      <c r="R496" s="6" t="s">
        <v>79</v>
      </c>
      <c r="S496" s="6">
        <v>2008</v>
      </c>
      <c r="T496" s="6">
        <v>126300000</v>
      </c>
      <c r="U496" s="6" t="s">
        <v>167</v>
      </c>
      <c r="V496" s="6">
        <v>4700</v>
      </c>
      <c r="W496" s="6" t="s">
        <v>167</v>
      </c>
      <c r="X496" s="6" t="s">
        <v>11371</v>
      </c>
      <c r="Y496" s="6" t="s">
        <v>11372</v>
      </c>
      <c r="Z496" s="6" t="s">
        <v>11373</v>
      </c>
      <c r="AA496" s="6" t="s">
        <v>11374</v>
      </c>
      <c r="AB496" s="6" t="s">
        <v>11375</v>
      </c>
      <c r="AC496" s="6">
        <v>517121</v>
      </c>
      <c r="AD496" s="10" t="str">
        <f>_xlfn.XLOOKUP(AC496,[1]Mapping!B:B,[1]Mapping!C:C,"")</f>
        <v>Telecommunications Resellers</v>
      </c>
      <c r="AG496" s="6" t="s">
        <v>85</v>
      </c>
      <c r="AH496" s="6" t="s">
        <v>86</v>
      </c>
      <c r="AI496" s="6" t="s">
        <v>87</v>
      </c>
      <c r="AJ496" s="6" t="s">
        <v>86</v>
      </c>
      <c r="AK496" s="6" t="s">
        <v>88</v>
      </c>
      <c r="AL496" s="6" t="s">
        <v>89</v>
      </c>
      <c r="AM496" s="6" t="s">
        <v>90</v>
      </c>
      <c r="AN496" s="6" t="s">
        <v>91</v>
      </c>
      <c r="AO496" s="6" t="s">
        <v>92</v>
      </c>
      <c r="AQ496" s="6" t="s">
        <v>93</v>
      </c>
      <c r="AR496" s="6" t="s">
        <v>94</v>
      </c>
      <c r="AS496" s="6" t="s">
        <v>11376</v>
      </c>
      <c r="AT496" s="6">
        <v>6190</v>
      </c>
      <c r="AU496" s="6" t="s">
        <v>96</v>
      </c>
      <c r="AV496" s="6">
        <v>61.9</v>
      </c>
      <c r="AW496" s="6" t="s">
        <v>96</v>
      </c>
      <c r="AX496" s="6" t="s">
        <v>11377</v>
      </c>
      <c r="AY496" s="6">
        <v>6566348570</v>
      </c>
      <c r="AZ496" s="6" t="s">
        <v>11378</v>
      </c>
      <c r="BA496" s="6" t="s">
        <v>11379</v>
      </c>
      <c r="BD496" s="6" t="s">
        <v>11380</v>
      </c>
      <c r="BE496" s="6" t="str">
        <f t="shared" si="14"/>
        <v>tatacommunications-ts.com</v>
      </c>
      <c r="BF496" s="6" t="str">
        <f t="shared" si="15"/>
        <v>com</v>
      </c>
      <c r="BG496" s="6" t="s">
        <v>101</v>
      </c>
      <c r="BH496" s="6" t="s">
        <v>11381</v>
      </c>
      <c r="BI496" s="6" t="s">
        <v>11382</v>
      </c>
      <c r="BJ496" s="6" t="s">
        <v>11383</v>
      </c>
      <c r="BK496" s="6" t="s">
        <v>11384</v>
      </c>
      <c r="BN496" s="6" t="s">
        <v>11385</v>
      </c>
      <c r="BP496" s="6" t="s">
        <v>11386</v>
      </c>
      <c r="BQ496" s="6" t="s">
        <v>11387</v>
      </c>
      <c r="BR496" s="6" t="s">
        <v>105</v>
      </c>
    </row>
    <row r="497" spans="1:70" ht="45" customHeight="1" x14ac:dyDescent="0.25">
      <c r="A497" s="6">
        <v>497</v>
      </c>
      <c r="B497" s="7" t="s">
        <v>11388</v>
      </c>
      <c r="C497" s="8" t="s">
        <v>11389</v>
      </c>
      <c r="D497" s="6" t="s">
        <v>11390</v>
      </c>
      <c r="E497" s="6" t="s">
        <v>978</v>
      </c>
      <c r="F497" s="8" t="s">
        <v>11391</v>
      </c>
      <c r="G497" s="6" t="s">
        <v>73</v>
      </c>
      <c r="H497" s="6" t="s">
        <v>74</v>
      </c>
      <c r="I497" s="6"/>
      <c r="J497" s="6" t="s">
        <v>486</v>
      </c>
      <c r="K497" s="9">
        <v>1560</v>
      </c>
      <c r="L497" s="8" t="s">
        <v>11392</v>
      </c>
      <c r="M497" s="9">
        <v>45</v>
      </c>
      <c r="N497" s="6">
        <v>55.664983799999987</v>
      </c>
      <c r="O497" s="6">
        <v>12.5664637</v>
      </c>
      <c r="P497" s="6" t="s">
        <v>11393</v>
      </c>
      <c r="Q497" s="6">
        <v>1</v>
      </c>
      <c r="R497" s="6" t="s">
        <v>79</v>
      </c>
      <c r="S497" s="6">
        <v>2004</v>
      </c>
      <c r="V497" s="6">
        <v>5</v>
      </c>
      <c r="W497" s="6" t="s">
        <v>167</v>
      </c>
      <c r="X497" s="6" t="s">
        <v>11394</v>
      </c>
      <c r="Z497" s="6" t="s">
        <v>11395</v>
      </c>
      <c r="AB497" s="6" t="s">
        <v>11396</v>
      </c>
      <c r="AC497" s="10">
        <f>_xlfn.XLOOKUP(AH497,[1]Mapping!C:C,[1]Mapping!B:B,"",1)</f>
        <v>561720</v>
      </c>
      <c r="AD497" s="10" t="s">
        <v>2977</v>
      </c>
      <c r="AE497" s="6">
        <v>541511</v>
      </c>
      <c r="AF497" s="6" t="s">
        <v>1971</v>
      </c>
      <c r="AG497" s="6" t="s">
        <v>176</v>
      </c>
      <c r="AH497" s="6" t="s">
        <v>3789</v>
      </c>
      <c r="AI497" s="6" t="s">
        <v>1290</v>
      </c>
      <c r="AJ497" s="6" t="s">
        <v>504</v>
      </c>
      <c r="AK497" s="6">
        <v>7371</v>
      </c>
      <c r="AL497" s="6" t="s">
        <v>1292</v>
      </c>
      <c r="AM497" s="6">
        <v>737100</v>
      </c>
      <c r="AN497" s="6" t="s">
        <v>176</v>
      </c>
      <c r="AO497" s="6">
        <v>4500</v>
      </c>
      <c r="AQ497" s="6">
        <v>7371</v>
      </c>
      <c r="AR497" s="6" t="s">
        <v>504</v>
      </c>
      <c r="AT497" s="6">
        <v>6201</v>
      </c>
      <c r="AU497" s="6" t="s">
        <v>505</v>
      </c>
      <c r="AV497" s="6">
        <v>62.01</v>
      </c>
      <c r="AW497" s="6" t="s">
        <v>8570</v>
      </c>
      <c r="AX497" s="6">
        <v>6200</v>
      </c>
      <c r="AY497" s="6" t="s">
        <v>11397</v>
      </c>
      <c r="BD497" s="6" t="s">
        <v>11398</v>
      </c>
      <c r="BE497" s="6" t="str">
        <f t="shared" si="14"/>
        <v>tcs.com</v>
      </c>
      <c r="BF497" s="6" t="str">
        <f t="shared" si="15"/>
        <v>com</v>
      </c>
      <c r="BG497" s="6" t="s">
        <v>101</v>
      </c>
      <c r="BH497" s="6" t="s">
        <v>11399</v>
      </c>
      <c r="BI497" s="6" t="s">
        <v>11400</v>
      </c>
      <c r="BJ497" s="6" t="s">
        <v>11401</v>
      </c>
      <c r="BK497" s="6" t="s">
        <v>11402</v>
      </c>
      <c r="BN497" s="6" t="s">
        <v>11403</v>
      </c>
      <c r="BQ497" s="6" t="s">
        <v>11404</v>
      </c>
      <c r="BR497" s="6" t="s">
        <v>105</v>
      </c>
    </row>
    <row r="498" spans="1:70" ht="45" customHeight="1" x14ac:dyDescent="0.25">
      <c r="A498" s="6">
        <v>498</v>
      </c>
      <c r="B498" s="7" t="s">
        <v>11405</v>
      </c>
      <c r="C498" s="8" t="s">
        <v>11406</v>
      </c>
      <c r="D498" s="6" t="s">
        <v>11407</v>
      </c>
      <c r="E498" s="6" t="s">
        <v>11408</v>
      </c>
      <c r="F498" s="8" t="s">
        <v>11409</v>
      </c>
      <c r="G498" s="6" t="s">
        <v>160</v>
      </c>
      <c r="H498" s="6" t="s">
        <v>161</v>
      </c>
      <c r="I498" s="6" t="s">
        <v>281</v>
      </c>
      <c r="J498" s="6" t="s">
        <v>282</v>
      </c>
      <c r="K498" s="9" t="s">
        <v>11410</v>
      </c>
      <c r="L498" s="8" t="s">
        <v>11411</v>
      </c>
      <c r="M498" s="9">
        <v>42</v>
      </c>
      <c r="N498" s="6">
        <v>59.333449399999999</v>
      </c>
      <c r="O498" s="6">
        <v>18.064242799999999</v>
      </c>
      <c r="R498" s="6" t="s">
        <v>79</v>
      </c>
      <c r="T498" s="6"/>
      <c r="X498" s="6" t="s">
        <v>11394</v>
      </c>
      <c r="Y498" s="6" t="s">
        <v>11412</v>
      </c>
      <c r="Z498" s="6" t="s">
        <v>11413</v>
      </c>
      <c r="AA498" s="6" t="s">
        <v>11414</v>
      </c>
      <c r="AB498" s="6" t="s">
        <v>11415</v>
      </c>
      <c r="AC498" s="6">
        <v>624229</v>
      </c>
      <c r="AD498" s="10" t="str">
        <f>_xlfn.XLOOKUP(AC498,[1]Mapping!B:B,[1]Mapping!C:C,"")</f>
        <v xml:space="preserve">Other Community Housing Services </v>
      </c>
      <c r="AG498" s="6" t="s">
        <v>11416</v>
      </c>
      <c r="AH498" s="6" t="s">
        <v>9098</v>
      </c>
      <c r="AI498" s="6" t="s">
        <v>1164</v>
      </c>
      <c r="AJ498" s="6" t="s">
        <v>3065</v>
      </c>
      <c r="AK498" s="6" t="s">
        <v>3066</v>
      </c>
      <c r="AL498" s="6" t="s">
        <v>2321</v>
      </c>
      <c r="AM498" s="6" t="s">
        <v>2323</v>
      </c>
      <c r="AN498" s="6" t="s">
        <v>655</v>
      </c>
      <c r="AO498" s="6" t="s">
        <v>657</v>
      </c>
      <c r="AQ498" s="6">
        <v>8322</v>
      </c>
      <c r="AR498" s="6" t="s">
        <v>11417</v>
      </c>
      <c r="AT498" s="6">
        <v>8890</v>
      </c>
      <c r="AU498" s="6" t="s">
        <v>11418</v>
      </c>
      <c r="AV498" s="6" t="s">
        <v>11419</v>
      </c>
      <c r="AW498" s="6" t="s">
        <v>11420</v>
      </c>
      <c r="AY498" s="6" t="s">
        <v>11421</v>
      </c>
      <c r="AZ498" s="6" t="s">
        <v>11422</v>
      </c>
      <c r="BD498" s="6" t="s">
        <v>11423</v>
      </c>
      <c r="BE498" s="6" t="str">
        <f t="shared" si="14"/>
        <v>tcs.com</v>
      </c>
      <c r="BF498" s="6" t="str">
        <f t="shared" si="15"/>
        <v>com</v>
      </c>
      <c r="BG498" s="6" t="s">
        <v>11424</v>
      </c>
      <c r="BH498" s="6" t="s">
        <v>11399</v>
      </c>
      <c r="BI498" s="6" t="s">
        <v>11400</v>
      </c>
      <c r="BJ498" s="6" t="s">
        <v>11401</v>
      </c>
      <c r="BK498" s="6" t="s">
        <v>11402</v>
      </c>
      <c r="BN498" s="6" t="s">
        <v>11403</v>
      </c>
      <c r="BQ498" s="6" t="s">
        <v>11425</v>
      </c>
      <c r="BR498" s="6" t="s">
        <v>105</v>
      </c>
    </row>
    <row r="499" spans="1:70" ht="45" customHeight="1" x14ac:dyDescent="0.25">
      <c r="A499" s="6">
        <v>499</v>
      </c>
      <c r="B499" s="7" t="s">
        <v>11426</v>
      </c>
      <c r="C499" s="8" t="s">
        <v>11427</v>
      </c>
      <c r="D499" s="6" t="s">
        <v>11428</v>
      </c>
      <c r="E499" s="6" t="s">
        <v>11429</v>
      </c>
      <c r="F499" s="8" t="s">
        <v>11430</v>
      </c>
      <c r="G499" s="6" t="s">
        <v>2438</v>
      </c>
      <c r="H499" s="6" t="s">
        <v>2439</v>
      </c>
      <c r="I499" s="6" t="s">
        <v>11431</v>
      </c>
      <c r="J499" s="6" t="s">
        <v>2439</v>
      </c>
      <c r="L499" s="8" t="s">
        <v>11432</v>
      </c>
      <c r="N499" s="6">
        <v>22.361519000000001</v>
      </c>
      <c r="O499" s="6">
        <v>114.1325849</v>
      </c>
      <c r="P499" s="6" t="s">
        <v>11433</v>
      </c>
      <c r="Q499" s="6">
        <v>1</v>
      </c>
      <c r="R499" s="6" t="s">
        <v>79</v>
      </c>
      <c r="S499" s="6">
        <v>2008</v>
      </c>
      <c r="T499" s="6">
        <v>1826593</v>
      </c>
      <c r="U499" s="6" t="s">
        <v>80</v>
      </c>
      <c r="V499" s="6">
        <v>3</v>
      </c>
      <c r="W499" s="6" t="s">
        <v>167</v>
      </c>
      <c r="X499" s="6" t="s">
        <v>11434</v>
      </c>
      <c r="Y499" s="6" t="s">
        <v>11435</v>
      </c>
      <c r="Z499" s="6" t="s">
        <v>11436</v>
      </c>
      <c r="AA499" s="6" t="s">
        <v>11437</v>
      </c>
      <c r="AB499" s="6" t="s">
        <v>11438</v>
      </c>
      <c r="AC499" s="6">
        <v>334220</v>
      </c>
      <c r="AD499" s="10" t="str">
        <f>_xlfn.XLOOKUP(AC499,[1]Mapping!B:B,[1]Mapping!C:C,"")</f>
        <v>Radio and Television Broadcasting and Wireless Communications Equipment Manufacturing</v>
      </c>
      <c r="AG499" s="6" t="s">
        <v>11439</v>
      </c>
      <c r="AH499" s="6" t="s">
        <v>11440</v>
      </c>
      <c r="AI499" s="6" t="s">
        <v>11441</v>
      </c>
      <c r="AJ499" s="6" t="s">
        <v>1502</v>
      </c>
      <c r="AK499" s="6" t="s">
        <v>1503</v>
      </c>
      <c r="AL499" s="6" t="s">
        <v>176</v>
      </c>
      <c r="AM499" s="6" t="s">
        <v>177</v>
      </c>
      <c r="AN499" s="6" t="s">
        <v>91</v>
      </c>
      <c r="AO499" s="6" t="s">
        <v>92</v>
      </c>
      <c r="AQ499" s="6">
        <v>3663</v>
      </c>
      <c r="AR499" s="6" t="s">
        <v>2683</v>
      </c>
      <c r="AT499" s="6">
        <v>2630</v>
      </c>
      <c r="AU499" s="6" t="s">
        <v>2684</v>
      </c>
      <c r="AV499" s="6">
        <v>26.3</v>
      </c>
      <c r="AW499" s="6" t="s">
        <v>2684</v>
      </c>
      <c r="AY499" s="6" t="s">
        <v>11442</v>
      </c>
      <c r="AZ499" s="6" t="s">
        <v>11443</v>
      </c>
      <c r="BA499" s="6" t="s">
        <v>11444</v>
      </c>
      <c r="BB499" s="6" t="s">
        <v>11444</v>
      </c>
      <c r="BD499" s="6" t="s">
        <v>11445</v>
      </c>
      <c r="BE499" s="6" t="str">
        <f t="shared" si="14"/>
        <v>tct-electronics.com</v>
      </c>
      <c r="BF499" s="6" t="str">
        <f t="shared" si="15"/>
        <v>com</v>
      </c>
      <c r="BG499" s="6" t="s">
        <v>101</v>
      </c>
      <c r="BK499" s="6" t="s">
        <v>11446</v>
      </c>
      <c r="BP499" s="6" t="s">
        <v>7136</v>
      </c>
      <c r="BQ499" s="6" t="s">
        <v>11447</v>
      </c>
      <c r="BR499" s="6" t="s">
        <v>105</v>
      </c>
    </row>
    <row r="500" spans="1:70" ht="45" customHeight="1" x14ac:dyDescent="0.25">
      <c r="A500" s="6">
        <v>500</v>
      </c>
      <c r="B500" s="7" t="s">
        <v>11448</v>
      </c>
      <c r="C500" s="8" t="s">
        <v>11449</v>
      </c>
      <c r="D500" s="6" t="s">
        <v>11450</v>
      </c>
      <c r="E500" s="8" t="s">
        <v>11448</v>
      </c>
      <c r="F500" s="8" t="s">
        <v>11451</v>
      </c>
      <c r="G500" s="6" t="s">
        <v>73</v>
      </c>
      <c r="H500" s="6" t="s">
        <v>74</v>
      </c>
      <c r="J500" s="6" t="s">
        <v>11452</v>
      </c>
      <c r="K500" s="9">
        <v>3460</v>
      </c>
      <c r="L500" s="8" t="s">
        <v>11453</v>
      </c>
      <c r="M500" s="9">
        <v>13</v>
      </c>
      <c r="N500" s="6">
        <v>55.839815999999999</v>
      </c>
      <c r="O500" s="6">
        <v>12.422898999999999</v>
      </c>
      <c r="P500" s="6" t="s">
        <v>11454</v>
      </c>
      <c r="Q500" s="6">
        <v>1</v>
      </c>
      <c r="R500" s="6" t="s">
        <v>79</v>
      </c>
      <c r="T500" s="6">
        <v>1085102</v>
      </c>
      <c r="U500" s="6" t="s">
        <v>80</v>
      </c>
      <c r="V500" s="6">
        <v>15</v>
      </c>
      <c r="W500" s="6" t="s">
        <v>80</v>
      </c>
      <c r="X500" s="6" t="s">
        <v>11455</v>
      </c>
      <c r="Y500" s="6" t="s">
        <v>11456</v>
      </c>
      <c r="Z500" s="6" t="s">
        <v>11457</v>
      </c>
      <c r="AA500" s="6" t="s">
        <v>11458</v>
      </c>
      <c r="AB500" s="6" t="s">
        <v>11459</v>
      </c>
      <c r="AC500" s="6">
        <v>722320</v>
      </c>
      <c r="AD500" s="10" t="str">
        <f>_xlfn.XLOOKUP(AC500,[1]Mapping!B:B,[1]Mapping!C:C,"")</f>
        <v>Caterers</v>
      </c>
      <c r="AG500" s="6" t="s">
        <v>11460</v>
      </c>
      <c r="AH500" s="6" t="s">
        <v>1022</v>
      </c>
      <c r="AI500" s="6" t="s">
        <v>325</v>
      </c>
      <c r="AJ500" s="6" t="s">
        <v>1022</v>
      </c>
      <c r="AK500" s="6" t="s">
        <v>3509</v>
      </c>
      <c r="AL500" s="6" t="s">
        <v>1022</v>
      </c>
      <c r="AM500" s="6" t="s">
        <v>3510</v>
      </c>
      <c r="AN500" s="6" t="s">
        <v>1027</v>
      </c>
      <c r="AO500" s="6" t="s">
        <v>1028</v>
      </c>
      <c r="AQ500" s="6">
        <v>5812</v>
      </c>
      <c r="AR500" s="6" t="s">
        <v>11461</v>
      </c>
      <c r="AS500" s="6" t="s">
        <v>11462</v>
      </c>
      <c r="AT500" s="6">
        <v>5621</v>
      </c>
      <c r="AU500" s="6" t="s">
        <v>11463</v>
      </c>
      <c r="AV500" s="6">
        <v>56.21</v>
      </c>
      <c r="AW500" s="6" t="s">
        <v>11464</v>
      </c>
      <c r="AX500" s="6" t="s">
        <v>11465</v>
      </c>
      <c r="AY500" s="6" t="s">
        <v>11466</v>
      </c>
      <c r="AZ500" s="6" t="s">
        <v>11467</v>
      </c>
      <c r="BA500" s="6" t="s">
        <v>11468</v>
      </c>
      <c r="BD500" s="6" t="s">
        <v>11469</v>
      </c>
      <c r="BE500" s="6" t="str">
        <f t="shared" si="14"/>
        <v>dk.tdsynnex.com</v>
      </c>
      <c r="BF500" s="6" t="str">
        <f t="shared" si="15"/>
        <v>com</v>
      </c>
      <c r="BG500" s="6" t="s">
        <v>123</v>
      </c>
      <c r="BH500" s="6" t="s">
        <v>11470</v>
      </c>
      <c r="BP500" s="6" t="s">
        <v>11471</v>
      </c>
      <c r="BQ500" s="6" t="s">
        <v>11472</v>
      </c>
      <c r="BR500" s="6" t="s">
        <v>105</v>
      </c>
    </row>
    <row r="501" spans="1:70" ht="45" customHeight="1" x14ac:dyDescent="0.25">
      <c r="A501" s="6">
        <v>501</v>
      </c>
      <c r="B501" s="7" t="s">
        <v>11473</v>
      </c>
      <c r="C501" s="8" t="s">
        <v>11474</v>
      </c>
      <c r="D501" s="6" t="s">
        <v>11473</v>
      </c>
      <c r="E501" s="6" t="s">
        <v>11473</v>
      </c>
      <c r="F501" s="8" t="s">
        <v>11475</v>
      </c>
      <c r="G501" s="6" t="e">
        <f>#REF!</f>
        <v>#REF!</v>
      </c>
      <c r="H501" s="6" t="e">
        <f>#REF!</f>
        <v>#REF!</v>
      </c>
      <c r="I501" s="6" t="e">
        <f>#REF!</f>
        <v>#REF!</v>
      </c>
      <c r="J501" s="6" t="e">
        <f>#REF!</f>
        <v>#REF!</v>
      </c>
      <c r="K501" s="9" t="e">
        <f>#REF!</f>
        <v>#REF!</v>
      </c>
      <c r="L501" s="8" t="s">
        <v>11476</v>
      </c>
      <c r="M501" s="9" t="e">
        <f>#REF!</f>
        <v>#REF!</v>
      </c>
      <c r="P501" s="6" t="s">
        <v>11477</v>
      </c>
      <c r="Q501" s="6">
        <v>10</v>
      </c>
      <c r="R501" s="6" t="s">
        <v>79</v>
      </c>
      <c r="S501" s="6">
        <v>2008</v>
      </c>
      <c r="T501" s="6">
        <v>100000000</v>
      </c>
      <c r="U501" s="6" t="s">
        <v>167</v>
      </c>
      <c r="V501" s="6">
        <v>700</v>
      </c>
      <c r="W501" s="6" t="s">
        <v>167</v>
      </c>
      <c r="X501" s="6" t="s">
        <v>11478</v>
      </c>
      <c r="Y501" s="6" t="s">
        <v>11479</v>
      </c>
      <c r="Z501" s="6" t="s">
        <v>11480</v>
      </c>
      <c r="AA501" s="6" t="s">
        <v>11481</v>
      </c>
      <c r="AB501" s="6" t="s">
        <v>11482</v>
      </c>
      <c r="AC501" s="6">
        <v>518210</v>
      </c>
      <c r="AD501" s="10" t="str">
        <f>_xlfn.XLOOKUP(AC501,[1]Mapping!B:B,[1]Mapping!C:C,"")</f>
        <v>Computing Infrastructure Providers, Data Processing, Web Hosting, and Related Services</v>
      </c>
      <c r="AE501" s="6">
        <v>541512</v>
      </c>
      <c r="AF501" s="6" t="s">
        <v>2977</v>
      </c>
      <c r="AG501" s="6" t="s">
        <v>1972</v>
      </c>
      <c r="AH501" s="6" t="s">
        <v>174</v>
      </c>
      <c r="AI501" s="6" t="s">
        <v>87</v>
      </c>
      <c r="AJ501" s="6" t="s">
        <v>174</v>
      </c>
      <c r="AK501" s="6" t="s">
        <v>175</v>
      </c>
      <c r="AL501" s="6" t="s">
        <v>176</v>
      </c>
      <c r="AM501" s="6" t="s">
        <v>177</v>
      </c>
      <c r="AN501" s="6" t="s">
        <v>91</v>
      </c>
      <c r="AO501" s="6" t="s">
        <v>92</v>
      </c>
      <c r="AQ501" s="6" t="s">
        <v>178</v>
      </c>
      <c r="AR501" s="6" t="s">
        <v>179</v>
      </c>
      <c r="AS501" s="6" t="s">
        <v>4745</v>
      </c>
      <c r="AT501" s="6" t="s">
        <v>181</v>
      </c>
      <c r="AU501" s="6" t="s">
        <v>182</v>
      </c>
      <c r="AV501" s="6" t="s">
        <v>183</v>
      </c>
      <c r="AW501" s="6" t="s">
        <v>184</v>
      </c>
      <c r="AX501" s="6" t="s">
        <v>4746</v>
      </c>
      <c r="AY501" s="6">
        <v>18587791344</v>
      </c>
      <c r="AZ501" s="6" t="s">
        <v>11483</v>
      </c>
      <c r="BA501" s="6" t="s">
        <v>11484</v>
      </c>
      <c r="BB501" s="6" t="s">
        <v>11485</v>
      </c>
      <c r="BD501" s="6" t="s">
        <v>11486</v>
      </c>
      <c r="BE501" s="6" t="str">
        <f t="shared" si="14"/>
        <v>tealium.com</v>
      </c>
      <c r="BF501" s="6" t="str">
        <f t="shared" si="15"/>
        <v>com</v>
      </c>
      <c r="BG501" s="6" t="s">
        <v>101</v>
      </c>
      <c r="BH501" s="6" t="s">
        <v>11487</v>
      </c>
      <c r="BI501" s="6" t="s">
        <v>11488</v>
      </c>
      <c r="BJ501" s="6" t="s">
        <v>11489</v>
      </c>
      <c r="BK501" s="6" t="s">
        <v>11490</v>
      </c>
      <c r="BP501" s="6" t="s">
        <v>11491</v>
      </c>
      <c r="BQ501" s="6" t="s">
        <v>11492</v>
      </c>
      <c r="BR501" s="6" t="s">
        <v>105</v>
      </c>
    </row>
    <row r="502" spans="1:70" ht="45" customHeight="1" x14ac:dyDescent="0.25">
      <c r="A502" s="6">
        <v>502</v>
      </c>
      <c r="B502" s="7" t="s">
        <v>11493</v>
      </c>
      <c r="C502" s="8" t="s">
        <v>11494</v>
      </c>
      <c r="D502" s="6" t="s">
        <v>11495</v>
      </c>
      <c r="E502" s="6" t="s">
        <v>11496</v>
      </c>
      <c r="F502" s="8" t="s">
        <v>11495</v>
      </c>
      <c r="G502" s="6" t="s">
        <v>201</v>
      </c>
      <c r="H502" s="6" t="s">
        <v>202</v>
      </c>
      <c r="I502" s="6" t="s">
        <v>11163</v>
      </c>
      <c r="J502" s="6" t="s">
        <v>11497</v>
      </c>
      <c r="K502" s="9">
        <v>32746</v>
      </c>
      <c r="L502" s="8" t="s">
        <v>11498</v>
      </c>
      <c r="M502" s="9">
        <v>1145</v>
      </c>
      <c r="N502" s="6">
        <v>28.789404600000001</v>
      </c>
      <c r="O502" s="6">
        <v>-81.356494999999995</v>
      </c>
      <c r="P502" s="6" t="s">
        <v>11499</v>
      </c>
      <c r="Q502" s="6">
        <v>11</v>
      </c>
      <c r="R502" s="6" t="s">
        <v>79</v>
      </c>
      <c r="S502" s="6">
        <v>2004</v>
      </c>
      <c r="T502" s="6">
        <v>320000000</v>
      </c>
      <c r="U502" s="6" t="s">
        <v>167</v>
      </c>
      <c r="V502" s="6">
        <v>870</v>
      </c>
      <c r="W502" s="6" t="s">
        <v>167</v>
      </c>
      <c r="X502" s="6" t="s">
        <v>11500</v>
      </c>
      <c r="Y502" s="6" t="s">
        <v>11501</v>
      </c>
      <c r="Z502" s="6" t="s">
        <v>11502</v>
      </c>
      <c r="AA502" s="6" t="s">
        <v>11503</v>
      </c>
      <c r="AB502" s="6" t="s">
        <v>11504</v>
      </c>
      <c r="AC502" s="6">
        <v>541512</v>
      </c>
      <c r="AD502" s="10" t="str">
        <f>_xlfn.XLOOKUP(AC502,[1]Mapping!B:B,[1]Mapping!C:C,"")</f>
        <v xml:space="preserve">Computer Systems Design Services </v>
      </c>
      <c r="AE502" s="6" t="s">
        <v>3891</v>
      </c>
      <c r="AF502" s="6" t="s">
        <v>1971</v>
      </c>
      <c r="AG502" s="6" t="s">
        <v>11505</v>
      </c>
      <c r="AH502" s="6" t="s">
        <v>11506</v>
      </c>
      <c r="AI502" s="6" t="s">
        <v>499</v>
      </c>
      <c r="AJ502" s="6" t="s">
        <v>174</v>
      </c>
      <c r="AK502" s="6" t="s">
        <v>175</v>
      </c>
      <c r="AL502" s="6" t="s">
        <v>176</v>
      </c>
      <c r="AM502" s="6" t="s">
        <v>177</v>
      </c>
      <c r="AN502" s="6" t="s">
        <v>91</v>
      </c>
      <c r="AO502" s="6" t="s">
        <v>92</v>
      </c>
      <c r="AQ502" s="6">
        <v>7371</v>
      </c>
      <c r="AR502" s="6" t="s">
        <v>504</v>
      </c>
      <c r="AS502" s="6" t="s">
        <v>11507</v>
      </c>
      <c r="AT502" s="6">
        <v>6201</v>
      </c>
      <c r="AU502" s="6" t="s">
        <v>505</v>
      </c>
      <c r="AV502" s="6">
        <v>62.01</v>
      </c>
      <c r="AW502" s="6" t="s">
        <v>505</v>
      </c>
      <c r="AX502" s="6" t="s">
        <v>11508</v>
      </c>
      <c r="AY502" s="6" t="s">
        <v>11509</v>
      </c>
      <c r="AZ502" s="6">
        <v>13213000087</v>
      </c>
      <c r="BA502" s="6" t="s">
        <v>11510</v>
      </c>
      <c r="BB502" s="6" t="s">
        <v>11510</v>
      </c>
      <c r="BD502" s="6" t="s">
        <v>11511</v>
      </c>
      <c r="BE502" s="6" t="str">
        <f t="shared" si="14"/>
        <v>teaminternational.com</v>
      </c>
      <c r="BF502" s="6" t="str">
        <f t="shared" si="15"/>
        <v>com</v>
      </c>
      <c r="BG502" s="6" t="s">
        <v>101</v>
      </c>
      <c r="BH502" s="6" t="s">
        <v>11512</v>
      </c>
      <c r="BI502" s="6" t="s">
        <v>11513</v>
      </c>
      <c r="BJ502" s="6" t="s">
        <v>11514</v>
      </c>
      <c r="BK502" s="6" t="s">
        <v>11515</v>
      </c>
      <c r="BN502" s="6" t="s">
        <v>11516</v>
      </c>
      <c r="BP502" s="6" t="s">
        <v>11517</v>
      </c>
      <c r="BQ502" s="6" t="s">
        <v>11518</v>
      </c>
      <c r="BR502" s="6" t="s">
        <v>105</v>
      </c>
    </row>
    <row r="503" spans="1:70" ht="45" customHeight="1" x14ac:dyDescent="0.25">
      <c r="A503" s="6">
        <v>503</v>
      </c>
      <c r="B503" s="7" t="s">
        <v>11519</v>
      </c>
      <c r="C503" s="8" t="s">
        <v>11520</v>
      </c>
      <c r="D503" s="6" t="s">
        <v>11521</v>
      </c>
      <c r="E503" s="8" t="s">
        <v>11522</v>
      </c>
      <c r="F503" s="8" t="s">
        <v>11522</v>
      </c>
      <c r="G503" s="6" t="s">
        <v>1324</v>
      </c>
      <c r="H503" s="6" t="s">
        <v>1325</v>
      </c>
      <c r="I503" s="6" t="s">
        <v>1326</v>
      </c>
      <c r="J503" s="6" t="s">
        <v>1327</v>
      </c>
      <c r="K503" s="9">
        <v>10400</v>
      </c>
      <c r="L503" s="8" t="s">
        <v>8563</v>
      </c>
      <c r="M503" s="9">
        <v>89</v>
      </c>
      <c r="N503" s="6">
        <v>13.764769299999999</v>
      </c>
      <c r="O503" s="6">
        <v>100.5675001</v>
      </c>
      <c r="P503" s="6" t="s">
        <v>11523</v>
      </c>
      <c r="Q503" s="6">
        <v>1</v>
      </c>
      <c r="R503" s="6" t="s">
        <v>79</v>
      </c>
      <c r="T503" s="6">
        <v>1953880</v>
      </c>
      <c r="U503" s="6" t="s">
        <v>80</v>
      </c>
      <c r="V503" s="6">
        <v>75</v>
      </c>
      <c r="W503" s="6" t="s">
        <v>80</v>
      </c>
      <c r="X503" s="6" t="s">
        <v>11524</v>
      </c>
      <c r="Y503" s="6" t="s">
        <v>11525</v>
      </c>
      <c r="Z503" s="6" t="s">
        <v>11526</v>
      </c>
      <c r="AB503" s="6" t="s">
        <v>11527</v>
      </c>
      <c r="AC503" s="6">
        <v>333413</v>
      </c>
      <c r="AD503" s="10" t="str">
        <f>_xlfn.XLOOKUP(AC503,[1]Mapping!B:B,[1]Mapping!C:C,"")</f>
        <v xml:space="preserve">Industrial and Commercial Fan and Blower and Air Purification Equipment Manufacturing </v>
      </c>
      <c r="AG503" s="6" t="s">
        <v>8676</v>
      </c>
      <c r="AH503" s="6" t="s">
        <v>8677</v>
      </c>
      <c r="AI503" s="6" t="s">
        <v>466</v>
      </c>
      <c r="AJ503" s="6" t="s">
        <v>883</v>
      </c>
      <c r="AK503" s="6" t="s">
        <v>884</v>
      </c>
      <c r="AL503" s="6" t="s">
        <v>885</v>
      </c>
      <c r="AM503" s="6" t="s">
        <v>886</v>
      </c>
      <c r="AN503" s="6" t="s">
        <v>259</v>
      </c>
      <c r="AO503" s="6" t="s">
        <v>260</v>
      </c>
      <c r="AQ503" s="6" t="s">
        <v>11528</v>
      </c>
      <c r="AR503" s="6" t="s">
        <v>11529</v>
      </c>
      <c r="AT503" s="6">
        <v>2819</v>
      </c>
      <c r="AU503" s="6" t="s">
        <v>11530</v>
      </c>
      <c r="AV503" s="6" t="s">
        <v>11531</v>
      </c>
      <c r="AW503" s="6" t="s">
        <v>11532</v>
      </c>
      <c r="AY503" s="6">
        <v>66834980481</v>
      </c>
      <c r="AZ503" s="6" t="s">
        <v>11533</v>
      </c>
      <c r="BA503" s="6" t="s">
        <v>11534</v>
      </c>
      <c r="BD503" s="6" t="s">
        <v>11535</v>
      </c>
      <c r="BE503" s="6" t="str">
        <f t="shared" si="14"/>
        <v>klean-espthailand.com</v>
      </c>
      <c r="BF503" s="6" t="str">
        <f t="shared" si="15"/>
        <v>com</v>
      </c>
      <c r="BG503" s="6" t="s">
        <v>1851</v>
      </c>
      <c r="BH503" s="6" t="s">
        <v>11536</v>
      </c>
      <c r="BN503" s="6" t="s">
        <v>11537</v>
      </c>
      <c r="BP503" s="6" t="s">
        <v>11538</v>
      </c>
      <c r="BQ503" s="6" t="s">
        <v>11539</v>
      </c>
      <c r="BR503" s="6" t="s">
        <v>105</v>
      </c>
    </row>
    <row r="504" spans="1:70" ht="45" customHeight="1" x14ac:dyDescent="0.25">
      <c r="A504" s="6">
        <v>504</v>
      </c>
      <c r="B504" s="7" t="s">
        <v>11540</v>
      </c>
      <c r="C504" s="8" t="s">
        <v>11541</v>
      </c>
      <c r="D504" s="6" t="s">
        <v>11542</v>
      </c>
      <c r="E504" s="8" t="s">
        <v>11540</v>
      </c>
      <c r="F504" s="8" t="s">
        <v>11543</v>
      </c>
      <c r="G504" s="6" t="s">
        <v>612</v>
      </c>
      <c r="H504" s="6" t="s">
        <v>613</v>
      </c>
      <c r="I504" s="8" t="s">
        <v>614</v>
      </c>
      <c r="J504" s="6" t="s">
        <v>4765</v>
      </c>
      <c r="K504" s="9">
        <v>63000</v>
      </c>
      <c r="L504" s="8" t="s">
        <v>11544</v>
      </c>
      <c r="M504" s="9" t="s">
        <v>11545</v>
      </c>
      <c r="N504" s="6">
        <v>2.9146519</v>
      </c>
      <c r="O504" s="6">
        <v>101.657518</v>
      </c>
      <c r="P504" s="6" t="s">
        <v>11546</v>
      </c>
      <c r="Q504" s="6">
        <v>1</v>
      </c>
      <c r="R504" s="6" t="s">
        <v>79</v>
      </c>
      <c r="S504" s="6">
        <v>2010</v>
      </c>
      <c r="T504" s="6">
        <v>103332</v>
      </c>
      <c r="U504" s="6" t="s">
        <v>80</v>
      </c>
      <c r="V504" s="6">
        <v>15</v>
      </c>
      <c r="W504" s="6" t="s">
        <v>80</v>
      </c>
      <c r="X504" s="6" t="s">
        <v>11547</v>
      </c>
      <c r="Y504" s="6" t="s">
        <v>11548</v>
      </c>
      <c r="Z504" s="6" t="s">
        <v>11549</v>
      </c>
      <c r="AA504" s="6" t="s">
        <v>11550</v>
      </c>
      <c r="AB504" s="6" t="s">
        <v>11551</v>
      </c>
      <c r="AC504" s="6">
        <v>624410</v>
      </c>
      <c r="AD504" s="10" t="str">
        <f>_xlfn.XLOOKUP(AC504,[1]Mapping!B:B,[1]Mapping!C:C,"")</f>
        <v xml:space="preserve">Child Care Services </v>
      </c>
      <c r="AG504" s="6" t="s">
        <v>11552</v>
      </c>
      <c r="AH504" s="6" t="s">
        <v>9098</v>
      </c>
      <c r="AI504" s="6" t="s">
        <v>1164</v>
      </c>
      <c r="AJ504" s="6" t="s">
        <v>3148</v>
      </c>
      <c r="AK504" s="6" t="s">
        <v>3149</v>
      </c>
      <c r="AL504" s="6" t="s">
        <v>3150</v>
      </c>
      <c r="AM504" s="6" t="s">
        <v>3151</v>
      </c>
      <c r="AN504" s="6" t="s">
        <v>2585</v>
      </c>
      <c r="AO504" s="6" t="s">
        <v>2586</v>
      </c>
      <c r="AQ504" s="6">
        <v>8351</v>
      </c>
      <c r="AR504" s="6" t="s">
        <v>11553</v>
      </c>
      <c r="AS504" s="6" t="s">
        <v>11554</v>
      </c>
      <c r="AT504" s="6">
        <v>8890</v>
      </c>
      <c r="AU504" s="6" t="s">
        <v>11418</v>
      </c>
      <c r="AV504" s="6" t="s">
        <v>11419</v>
      </c>
      <c r="AW504" s="6" t="s">
        <v>11420</v>
      </c>
      <c r="AX504" s="6" t="s">
        <v>11555</v>
      </c>
      <c r="AY504" s="6" t="s">
        <v>11556</v>
      </c>
      <c r="AZ504" s="6">
        <v>60129317176</v>
      </c>
      <c r="BA504" s="6" t="s">
        <v>11557</v>
      </c>
      <c r="BD504" s="6" t="s">
        <v>11558</v>
      </c>
      <c r="BE504" s="6" t="str">
        <f t="shared" si="14"/>
        <v>techmahindra.com</v>
      </c>
      <c r="BF504" s="6" t="str">
        <f t="shared" si="15"/>
        <v>com</v>
      </c>
      <c r="BG504" s="6" t="s">
        <v>101</v>
      </c>
      <c r="BH504" s="6" t="s">
        <v>11559</v>
      </c>
      <c r="BI504" s="6" t="s">
        <v>11560</v>
      </c>
      <c r="BJ504" s="6" t="s">
        <v>11561</v>
      </c>
      <c r="BK504" s="6" t="s">
        <v>11562</v>
      </c>
      <c r="BN504" s="6" t="s">
        <v>11563</v>
      </c>
      <c r="BP504" s="6" t="s">
        <v>11564</v>
      </c>
      <c r="BQ504" s="6" t="s">
        <v>11565</v>
      </c>
      <c r="BR504" s="6" t="s">
        <v>105</v>
      </c>
    </row>
    <row r="505" spans="1:70" ht="45" customHeight="1" x14ac:dyDescent="0.25">
      <c r="A505" s="6">
        <v>505</v>
      </c>
      <c r="B505" s="7" t="s">
        <v>11566</v>
      </c>
      <c r="C505" s="8" t="s">
        <v>11567</v>
      </c>
      <c r="D505" s="6" t="s">
        <v>11566</v>
      </c>
      <c r="E505" s="6" t="s">
        <v>11568</v>
      </c>
      <c r="F505" s="8" t="s">
        <v>11569</v>
      </c>
      <c r="G505" s="6" t="s">
        <v>243</v>
      </c>
      <c r="H505" s="6" t="s">
        <v>244</v>
      </c>
      <c r="I505" s="6" t="s">
        <v>245</v>
      </c>
      <c r="J505" s="6" t="s">
        <v>8344</v>
      </c>
      <c r="K505" s="9">
        <v>2150</v>
      </c>
      <c r="L505" s="8" t="s">
        <v>11570</v>
      </c>
      <c r="M505" s="9">
        <v>14</v>
      </c>
      <c r="N505" s="6">
        <v>60.185743799999997</v>
      </c>
      <c r="O505" s="6">
        <v>24.811988299999999</v>
      </c>
      <c r="P505" s="6" t="s">
        <v>11571</v>
      </c>
      <c r="Q505" s="6">
        <v>10</v>
      </c>
      <c r="R505" s="6" t="s">
        <v>906</v>
      </c>
      <c r="S505" s="6">
        <v>1978</v>
      </c>
      <c r="T505" s="6">
        <v>56637108</v>
      </c>
      <c r="U505" s="6" t="s">
        <v>167</v>
      </c>
      <c r="V505" s="6">
        <v>1400</v>
      </c>
      <c r="W505" s="6" t="s">
        <v>167</v>
      </c>
      <c r="X505" s="6" t="s">
        <v>11572</v>
      </c>
      <c r="Y505" s="6" t="s">
        <v>11573</v>
      </c>
      <c r="Z505" s="6" t="s">
        <v>11574</v>
      </c>
      <c r="AA505" s="6" t="s">
        <v>11575</v>
      </c>
      <c r="AB505" s="6" t="s">
        <v>11576</v>
      </c>
      <c r="AC505" s="6">
        <v>513210</v>
      </c>
      <c r="AD505" s="10" t="str">
        <f>_xlfn.XLOOKUP(AC505,[1]Mapping!B:B,[1]Mapping!C:C,"")</f>
        <v>Software Publishers</v>
      </c>
      <c r="AG505" s="6" t="s">
        <v>11577</v>
      </c>
      <c r="AH505" s="6" t="s">
        <v>11578</v>
      </c>
      <c r="AI505" s="6" t="s">
        <v>499</v>
      </c>
      <c r="AJ505" s="6" t="s">
        <v>3482</v>
      </c>
      <c r="AK505" s="6" t="s">
        <v>3483</v>
      </c>
      <c r="AL505" s="6" t="s">
        <v>3484</v>
      </c>
      <c r="AM505" s="6" t="s">
        <v>3485</v>
      </c>
      <c r="AN505" s="6" t="s">
        <v>655</v>
      </c>
      <c r="AO505" s="6" t="s">
        <v>657</v>
      </c>
      <c r="AQ505" s="6">
        <v>7372</v>
      </c>
      <c r="AR505" s="6" t="s">
        <v>2077</v>
      </c>
      <c r="AS505" s="6" t="s">
        <v>11579</v>
      </c>
      <c r="AT505" s="6">
        <v>5820</v>
      </c>
      <c r="AU505" s="6" t="s">
        <v>2028</v>
      </c>
      <c r="AV505" s="6">
        <v>58.29</v>
      </c>
      <c r="AW505" s="6" t="s">
        <v>2078</v>
      </c>
      <c r="AX505" s="6" t="s">
        <v>11580</v>
      </c>
      <c r="AY505" s="6" t="s">
        <v>11581</v>
      </c>
      <c r="AZ505" s="6" t="s">
        <v>11582</v>
      </c>
      <c r="BA505" s="6" t="s">
        <v>11583</v>
      </c>
      <c r="BB505" s="6" t="s">
        <v>11584</v>
      </c>
      <c r="BC505" s="6" t="s">
        <v>11585</v>
      </c>
      <c r="BD505" s="6" t="s">
        <v>11586</v>
      </c>
      <c r="BE505" s="6" t="str">
        <f t="shared" si="14"/>
        <v>tecnotree.com</v>
      </c>
      <c r="BF505" s="6" t="str">
        <f t="shared" si="15"/>
        <v>com</v>
      </c>
      <c r="BG505" s="6" t="s">
        <v>101</v>
      </c>
      <c r="BH505" s="6" t="s">
        <v>11587</v>
      </c>
      <c r="BI505" s="6" t="s">
        <v>11588</v>
      </c>
      <c r="BK505" s="6" t="s">
        <v>11589</v>
      </c>
      <c r="BN505" s="6" t="s">
        <v>11590</v>
      </c>
      <c r="BP505" s="6" t="s">
        <v>11591</v>
      </c>
      <c r="BQ505" s="6" t="s">
        <v>11592</v>
      </c>
      <c r="BR505" s="6" t="s">
        <v>105</v>
      </c>
    </row>
    <row r="506" spans="1:70" ht="45" customHeight="1" x14ac:dyDescent="0.25">
      <c r="A506" s="6">
        <v>506</v>
      </c>
      <c r="B506" s="7" t="s">
        <v>11593</v>
      </c>
      <c r="C506" s="8" t="s">
        <v>11594</v>
      </c>
      <c r="D506" s="6" t="s">
        <v>11595</v>
      </c>
      <c r="E506" s="8" t="s">
        <v>11596</v>
      </c>
      <c r="F506" s="8" t="s">
        <v>11596</v>
      </c>
      <c r="G506" s="6" t="s">
        <v>315</v>
      </c>
      <c r="H506" s="6" t="s">
        <v>316</v>
      </c>
      <c r="I506" s="6"/>
      <c r="J506" s="6" t="s">
        <v>316</v>
      </c>
      <c r="K506" s="9">
        <v>554915</v>
      </c>
      <c r="L506" s="8" t="s">
        <v>11597</v>
      </c>
      <c r="M506" s="9">
        <v>1</v>
      </c>
      <c r="N506" s="6">
        <v>1.3723510000000001</v>
      </c>
      <c r="O506" s="6">
        <v>103.8674714</v>
      </c>
      <c r="P506" s="6" t="s">
        <v>11598</v>
      </c>
      <c r="Q506" s="6">
        <v>1</v>
      </c>
      <c r="R506" s="6" t="s">
        <v>79</v>
      </c>
      <c r="T506" s="6"/>
      <c r="X506" s="6" t="s">
        <v>11599</v>
      </c>
      <c r="Y506" s="6" t="s">
        <v>11600</v>
      </c>
      <c r="Z506" s="6" t="s">
        <v>11601</v>
      </c>
      <c r="AC506" s="10">
        <f>_xlfn.XLOOKUP(AH506,[1]Mapping!C:C,[1]Mapping!B:B,"",1)</f>
        <v>811</v>
      </c>
      <c r="AD506" s="10" t="str">
        <f>_xlfn.XLOOKUP(AC506,[1]Mapping!B:B,[1]Mapping!C:C,"")</f>
        <v xml:space="preserve">Repair and MaintenanceT </v>
      </c>
      <c r="AG506" s="6" t="s">
        <v>1644</v>
      </c>
      <c r="AH506" s="6" t="s">
        <v>1645</v>
      </c>
      <c r="AI506" s="6" t="s">
        <v>141</v>
      </c>
      <c r="AY506" s="6" t="s">
        <v>11602</v>
      </c>
      <c r="AZ506" s="6">
        <v>6564818181</v>
      </c>
      <c r="BE506" s="6" t="str">
        <f t="shared" si="14"/>
        <v/>
      </c>
      <c r="BF506" s="6" t="e">
        <f t="shared" si="15"/>
        <v>#VALUE!</v>
      </c>
      <c r="BQ506" s="6" t="s">
        <v>11603</v>
      </c>
      <c r="BR506" s="6" t="s">
        <v>105</v>
      </c>
    </row>
    <row r="507" spans="1:70" ht="45" customHeight="1" x14ac:dyDescent="0.25">
      <c r="A507" s="6">
        <v>507</v>
      </c>
      <c r="B507" s="7" t="s">
        <v>11604</v>
      </c>
      <c r="C507" s="8" t="s">
        <v>11605</v>
      </c>
      <c r="D507" s="6" t="s">
        <v>11604</v>
      </c>
      <c r="E507" s="6" t="s">
        <v>11606</v>
      </c>
      <c r="F507" s="8" t="s">
        <v>11607</v>
      </c>
      <c r="G507" s="6" t="s">
        <v>612</v>
      </c>
      <c r="H507" s="6" t="s">
        <v>613</v>
      </c>
      <c r="I507" s="6" t="s">
        <v>1305</v>
      </c>
      <c r="J507" s="6" t="s">
        <v>752</v>
      </c>
      <c r="K507" s="9">
        <v>59100</v>
      </c>
      <c r="L507" s="8" t="s">
        <v>4794</v>
      </c>
      <c r="N507" s="6">
        <v>3.1161340000000002</v>
      </c>
      <c r="O507" s="6">
        <v>101.66488099999999</v>
      </c>
      <c r="P507" s="6" t="s">
        <v>11608</v>
      </c>
      <c r="Q507" s="6">
        <v>18</v>
      </c>
      <c r="R507" s="6" t="s">
        <v>79</v>
      </c>
      <c r="T507" s="6">
        <v>17037788</v>
      </c>
      <c r="U507" s="6" t="s">
        <v>80</v>
      </c>
      <c r="V507" s="6">
        <v>250</v>
      </c>
      <c r="W507" s="6" t="s">
        <v>167</v>
      </c>
      <c r="X507" s="6" t="s">
        <v>9778</v>
      </c>
      <c r="Y507" s="6" t="s">
        <v>11609</v>
      </c>
      <c r="Z507" s="6" t="s">
        <v>11610</v>
      </c>
      <c r="AA507" s="6" t="s">
        <v>11611</v>
      </c>
      <c r="AB507" s="6" t="s">
        <v>11612</v>
      </c>
      <c r="AC507" s="6">
        <v>517121</v>
      </c>
      <c r="AD507" s="10" t="str">
        <f>_xlfn.XLOOKUP(AC507,[1]Mapping!B:B,[1]Mapping!C:C,"")</f>
        <v>Telecommunications Resellers</v>
      </c>
      <c r="AG507" s="6" t="s">
        <v>89</v>
      </c>
      <c r="AH507" s="6" t="s">
        <v>86</v>
      </c>
      <c r="AI507" s="6" t="s">
        <v>87</v>
      </c>
      <c r="AJ507" s="6" t="s">
        <v>174</v>
      </c>
      <c r="AK507" s="6" t="s">
        <v>175</v>
      </c>
      <c r="AL507" s="6" t="s">
        <v>176</v>
      </c>
      <c r="AM507" s="6" t="s">
        <v>177</v>
      </c>
      <c r="AN507" s="6" t="s">
        <v>91</v>
      </c>
      <c r="AO507" s="6" t="s">
        <v>92</v>
      </c>
      <c r="AQ507" s="6" t="s">
        <v>93</v>
      </c>
      <c r="AR507" s="6" t="s">
        <v>94</v>
      </c>
      <c r="AT507" s="6">
        <v>6190</v>
      </c>
      <c r="AU507" s="6" t="s">
        <v>96</v>
      </c>
      <c r="AV507" s="6">
        <v>61.9</v>
      </c>
      <c r="AW507" s="6" t="s">
        <v>96</v>
      </c>
      <c r="AY507" s="6" t="s">
        <v>11613</v>
      </c>
      <c r="AZ507" s="6" t="s">
        <v>11614</v>
      </c>
      <c r="BA507" s="6" t="s">
        <v>11615</v>
      </c>
      <c r="BD507" s="6" t="s">
        <v>11616</v>
      </c>
      <c r="BE507" s="6" t="str">
        <f t="shared" si="14"/>
        <v>tmglobal.com.my</v>
      </c>
      <c r="BF507" s="6" t="str">
        <f t="shared" si="15"/>
        <v>my</v>
      </c>
      <c r="BG507" s="6" t="s">
        <v>101</v>
      </c>
      <c r="BH507" s="6" t="s">
        <v>11617</v>
      </c>
      <c r="BI507" s="6" t="s">
        <v>11618</v>
      </c>
      <c r="BK507" s="6" t="s">
        <v>11619</v>
      </c>
      <c r="BN507" s="6" t="s">
        <v>11620</v>
      </c>
      <c r="BP507" s="6" t="s">
        <v>11621</v>
      </c>
      <c r="BQ507" s="6" t="s">
        <v>11622</v>
      </c>
      <c r="BR507" s="6" t="s">
        <v>105</v>
      </c>
    </row>
    <row r="508" spans="1:70" ht="45" customHeight="1" x14ac:dyDescent="0.25">
      <c r="A508" s="6">
        <v>508</v>
      </c>
      <c r="B508" s="7" t="s">
        <v>11623</v>
      </c>
      <c r="C508" s="8" t="s">
        <v>11624</v>
      </c>
      <c r="D508" s="6" t="s">
        <v>11625</v>
      </c>
      <c r="E508" s="6" t="s">
        <v>11626</v>
      </c>
      <c r="F508" s="8" t="s">
        <v>11627</v>
      </c>
      <c r="G508" s="6" t="s">
        <v>73</v>
      </c>
      <c r="H508" s="6" t="s">
        <v>74</v>
      </c>
      <c r="I508" s="6"/>
      <c r="J508" s="6" t="s">
        <v>76</v>
      </c>
      <c r="K508" s="9">
        <v>9000</v>
      </c>
      <c r="L508" s="8" t="s">
        <v>11628</v>
      </c>
      <c r="M508" s="9">
        <v>9</v>
      </c>
      <c r="N508" s="6">
        <v>57.022939999999998</v>
      </c>
      <c r="O508" s="6">
        <v>9.8971499999999999</v>
      </c>
      <c r="P508" s="6" t="s">
        <v>11629</v>
      </c>
      <c r="Q508" s="6">
        <v>28</v>
      </c>
      <c r="R508" s="6" t="s">
        <v>79</v>
      </c>
      <c r="S508" s="6">
        <v>1991</v>
      </c>
      <c r="T508" s="6"/>
      <c r="X508" s="6" t="s">
        <v>11630</v>
      </c>
      <c r="Y508" s="6" t="s">
        <v>11631</v>
      </c>
      <c r="Z508" s="6" t="s">
        <v>11632</v>
      </c>
      <c r="AA508" s="6" t="s">
        <v>11633</v>
      </c>
      <c r="AB508" s="6" t="s">
        <v>11634</v>
      </c>
      <c r="AC508" s="6">
        <v>561110</v>
      </c>
      <c r="AD508" s="10" t="str">
        <f>_xlfn.XLOOKUP(AC508,[1]Mapping!B:B,[1]Mapping!C:C,"")</f>
        <v>Office Administrative Services</v>
      </c>
      <c r="AE508" s="6">
        <v>517111</v>
      </c>
      <c r="AF508" s="6" t="s">
        <v>2510</v>
      </c>
      <c r="AG508" s="6" t="s">
        <v>11635</v>
      </c>
      <c r="AH508" s="6" t="s">
        <v>11636</v>
      </c>
      <c r="AI508" s="6" t="s">
        <v>3041</v>
      </c>
      <c r="AJ508" s="6" t="s">
        <v>86</v>
      </c>
      <c r="AK508" s="6" t="s">
        <v>88</v>
      </c>
      <c r="AL508" s="6" t="s">
        <v>89</v>
      </c>
      <c r="AM508" s="6" t="s">
        <v>90</v>
      </c>
      <c r="AN508" s="6" t="s">
        <v>91</v>
      </c>
      <c r="AO508" s="6" t="s">
        <v>92</v>
      </c>
      <c r="AQ508" s="6">
        <v>8748</v>
      </c>
      <c r="AR508" s="6" t="s">
        <v>6011</v>
      </c>
      <c r="AS508" s="6" t="s">
        <v>11637</v>
      </c>
      <c r="AT508" s="6">
        <v>8211</v>
      </c>
      <c r="AU508" s="6" t="s">
        <v>11638</v>
      </c>
      <c r="AV508" s="6">
        <v>82.11</v>
      </c>
      <c r="AW508" s="6" t="s">
        <v>11638</v>
      </c>
      <c r="AX508" s="6" t="s">
        <v>11639</v>
      </c>
      <c r="AY508" s="6" t="s">
        <v>11640</v>
      </c>
      <c r="AZ508" s="6" t="s">
        <v>11641</v>
      </c>
      <c r="BA508" s="6" t="s">
        <v>11642</v>
      </c>
      <c r="BB508" s="6" t="s">
        <v>11642</v>
      </c>
      <c r="BD508" s="6" t="s">
        <v>11643</v>
      </c>
      <c r="BE508" s="6" t="str">
        <f t="shared" si="14"/>
        <v>telenor.dk</v>
      </c>
      <c r="BF508" s="6" t="str">
        <f t="shared" si="15"/>
        <v>dk</v>
      </c>
      <c r="BG508" s="6" t="s">
        <v>123</v>
      </c>
      <c r="BH508" s="6" t="s">
        <v>11644</v>
      </c>
      <c r="BI508" s="6" t="s">
        <v>11645</v>
      </c>
      <c r="BK508" s="6" t="s">
        <v>11646</v>
      </c>
      <c r="BP508" s="6" t="s">
        <v>11647</v>
      </c>
      <c r="BQ508" s="6" t="s">
        <v>11648</v>
      </c>
      <c r="BR508" s="6" t="s">
        <v>105</v>
      </c>
    </row>
    <row r="509" spans="1:70" ht="45" customHeight="1" x14ac:dyDescent="0.25">
      <c r="A509" s="6">
        <v>509</v>
      </c>
      <c r="B509" s="7" t="s">
        <v>11649</v>
      </c>
      <c r="C509" s="8" t="s">
        <v>11650</v>
      </c>
      <c r="D509" s="6" t="s">
        <v>11651</v>
      </c>
      <c r="E509" s="6" t="s">
        <v>11652</v>
      </c>
      <c r="F509" s="8" t="s">
        <v>11653</v>
      </c>
      <c r="G509" s="6" t="s">
        <v>130</v>
      </c>
      <c r="H509" s="6" t="s">
        <v>131</v>
      </c>
      <c r="I509" s="6" t="s">
        <v>132</v>
      </c>
      <c r="J509" s="6" t="s">
        <v>132</v>
      </c>
      <c r="K509" s="9">
        <v>581</v>
      </c>
      <c r="L509" s="8" t="s">
        <v>11654</v>
      </c>
      <c r="M509" s="9">
        <v>18</v>
      </c>
      <c r="N509" s="6">
        <v>59.927985399999997</v>
      </c>
      <c r="O509" s="6">
        <v>10.8121522</v>
      </c>
      <c r="P509" s="6" t="s">
        <v>11655</v>
      </c>
      <c r="Q509" s="6">
        <v>11</v>
      </c>
      <c r="R509" s="6" t="s">
        <v>906</v>
      </c>
      <c r="S509" s="6">
        <v>1995</v>
      </c>
      <c r="T509" s="6">
        <v>8238095360</v>
      </c>
      <c r="U509" s="6" t="s">
        <v>167</v>
      </c>
      <c r="V509" s="6">
        <v>20000</v>
      </c>
      <c r="W509" s="6" t="s">
        <v>167</v>
      </c>
      <c r="X509" s="6" t="s">
        <v>11656</v>
      </c>
      <c r="Y509" s="6" t="s">
        <v>11657</v>
      </c>
      <c r="Z509" s="6" t="s">
        <v>11658</v>
      </c>
      <c r="AA509" s="6" t="s">
        <v>11659</v>
      </c>
      <c r="AB509" s="6" t="s">
        <v>11660</v>
      </c>
      <c r="AC509" s="6">
        <v>517121</v>
      </c>
      <c r="AD509" s="10" t="str">
        <f>_xlfn.XLOOKUP(AC509,[1]Mapping!B:B,[1]Mapping!C:C,"")</f>
        <v>Telecommunications Resellers</v>
      </c>
      <c r="AG509" s="6" t="s">
        <v>89</v>
      </c>
      <c r="AH509" s="6" t="s">
        <v>86</v>
      </c>
      <c r="AI509" s="6" t="s">
        <v>87</v>
      </c>
      <c r="AJ509" s="6" t="s">
        <v>86</v>
      </c>
      <c r="AK509" s="6" t="s">
        <v>88</v>
      </c>
      <c r="AL509" s="6" t="s">
        <v>89</v>
      </c>
      <c r="AM509" s="6" t="s">
        <v>90</v>
      </c>
      <c r="AN509" s="6" t="s">
        <v>91</v>
      </c>
      <c r="AO509" s="6" t="s">
        <v>92</v>
      </c>
      <c r="AQ509" s="6" t="s">
        <v>93</v>
      </c>
      <c r="AR509" s="6" t="s">
        <v>94</v>
      </c>
      <c r="AS509" s="6" t="s">
        <v>11661</v>
      </c>
      <c r="AT509" s="6">
        <v>6190</v>
      </c>
      <c r="AU509" s="6" t="s">
        <v>96</v>
      </c>
      <c r="AV509" s="6">
        <v>61.9</v>
      </c>
      <c r="AW509" s="6" t="s">
        <v>96</v>
      </c>
      <c r="AX509" s="6" t="s">
        <v>11662</v>
      </c>
      <c r="AY509" s="6" t="s">
        <v>11663</v>
      </c>
      <c r="AZ509" s="6" t="s">
        <v>11664</v>
      </c>
      <c r="BA509" s="6" t="s">
        <v>11665</v>
      </c>
      <c r="BB509" s="6" t="s">
        <v>11666</v>
      </c>
      <c r="BC509" s="6" t="s">
        <v>11667</v>
      </c>
      <c r="BD509" s="6" t="s">
        <v>11668</v>
      </c>
      <c r="BE509" s="6" t="str">
        <f t="shared" si="14"/>
        <v>telenor.com</v>
      </c>
      <c r="BF509" s="6" t="str">
        <f t="shared" si="15"/>
        <v>com</v>
      </c>
      <c r="BG509" s="6" t="s">
        <v>101</v>
      </c>
      <c r="BH509" s="6" t="s">
        <v>11669</v>
      </c>
      <c r="BI509" s="6" t="s">
        <v>11670</v>
      </c>
      <c r="BJ509" s="6" t="s">
        <v>11671</v>
      </c>
      <c r="BK509" s="6" t="s">
        <v>11646</v>
      </c>
      <c r="BN509" s="6" t="s">
        <v>11672</v>
      </c>
      <c r="BP509" s="6" t="s">
        <v>11673</v>
      </c>
      <c r="BQ509" s="6" t="s">
        <v>11674</v>
      </c>
      <c r="BR509" s="6" t="s">
        <v>105</v>
      </c>
    </row>
    <row r="510" spans="1:70" ht="45" customHeight="1" x14ac:dyDescent="0.25">
      <c r="A510" s="6">
        <v>510</v>
      </c>
      <c r="B510" s="7" t="s">
        <v>11675</v>
      </c>
      <c r="C510" s="8" t="s">
        <v>11676</v>
      </c>
      <c r="D510" s="6" t="s">
        <v>11677</v>
      </c>
      <c r="E510" s="8" t="s">
        <v>11675</v>
      </c>
      <c r="F510" s="8" t="s">
        <v>11678</v>
      </c>
      <c r="G510" s="6" t="s">
        <v>130</v>
      </c>
      <c r="H510" s="6" t="s">
        <v>131</v>
      </c>
      <c r="I510" s="8" t="s">
        <v>2572</v>
      </c>
      <c r="J510" s="6" t="s">
        <v>11679</v>
      </c>
      <c r="K510" s="9">
        <v>1488</v>
      </c>
      <c r="L510" s="8" t="s">
        <v>11680</v>
      </c>
      <c r="M510" s="9">
        <v>1</v>
      </c>
      <c r="N510" s="6">
        <v>60.143674099999998</v>
      </c>
      <c r="O510" s="6">
        <v>10.8062448</v>
      </c>
      <c r="P510" s="6" t="s">
        <v>11681</v>
      </c>
      <c r="Q510" s="6">
        <v>3</v>
      </c>
      <c r="R510" s="6" t="s">
        <v>79</v>
      </c>
      <c r="S510" s="6">
        <v>2020</v>
      </c>
      <c r="T510" s="6">
        <v>1594596480</v>
      </c>
      <c r="U510" s="6" t="s">
        <v>80</v>
      </c>
      <c r="V510" s="6">
        <v>1500</v>
      </c>
      <c r="W510" s="6" t="s">
        <v>80</v>
      </c>
      <c r="X510" s="6" t="s">
        <v>11682</v>
      </c>
      <c r="Y510" s="6" t="s">
        <v>11683</v>
      </c>
      <c r="Z510" s="6" t="s">
        <v>11684</v>
      </c>
      <c r="AA510" s="6" t="s">
        <v>11685</v>
      </c>
      <c r="AB510" s="6" t="s">
        <v>11686</v>
      </c>
      <c r="AC510" s="6">
        <v>3359</v>
      </c>
      <c r="AD510" s="10" t="str">
        <f>_xlfn.XLOOKUP(AC510,[1]Mapping!B:B,[1]Mapping!C:C,"")</f>
        <v xml:space="preserve">Other Electrical Equipment and Component ManufacturingT </v>
      </c>
      <c r="AG510" s="6" t="s">
        <v>11687</v>
      </c>
      <c r="AH510" s="6" t="s">
        <v>11688</v>
      </c>
      <c r="AI510" s="6" t="s">
        <v>4210</v>
      </c>
      <c r="AJ510" s="6" t="s">
        <v>1413</v>
      </c>
      <c r="AK510" s="6" t="s">
        <v>1414</v>
      </c>
      <c r="AL510" s="6" t="s">
        <v>502</v>
      </c>
      <c r="AM510" s="6" t="s">
        <v>503</v>
      </c>
      <c r="AN510" s="6" t="s">
        <v>297</v>
      </c>
      <c r="AO510" s="6" t="s">
        <v>298</v>
      </c>
      <c r="AQ510" s="6">
        <v>4841</v>
      </c>
      <c r="AR510" s="6" t="s">
        <v>11689</v>
      </c>
      <c r="AT510" s="6">
        <v>6020</v>
      </c>
      <c r="AU510" s="6" t="s">
        <v>5986</v>
      </c>
      <c r="AV510" s="6">
        <v>60.2</v>
      </c>
      <c r="AW510" s="6" t="s">
        <v>5986</v>
      </c>
      <c r="AY510" s="6" t="s">
        <v>11690</v>
      </c>
      <c r="AZ510" s="6" t="s">
        <v>11691</v>
      </c>
      <c r="BA510" s="6" t="s">
        <v>11692</v>
      </c>
      <c r="BB510" s="6" t="s">
        <v>11693</v>
      </c>
      <c r="BD510" s="6" t="s">
        <v>11694</v>
      </c>
      <c r="BE510" s="6" t="str">
        <f t="shared" si="14"/>
        <v>spacenorway.com</v>
      </c>
      <c r="BF510" s="6" t="str">
        <f t="shared" si="15"/>
        <v>com</v>
      </c>
      <c r="BG510" s="6" t="s">
        <v>101</v>
      </c>
      <c r="BI510" s="6" t="s">
        <v>11695</v>
      </c>
      <c r="BK510" s="6" t="s">
        <v>11696</v>
      </c>
      <c r="BN510" s="6" t="s">
        <v>11697</v>
      </c>
      <c r="BP510" s="6" t="s">
        <v>11698</v>
      </c>
      <c r="BQ510" s="6" t="s">
        <v>11699</v>
      </c>
      <c r="BR510" s="6" t="s">
        <v>105</v>
      </c>
    </row>
    <row r="511" spans="1:70" ht="45" customHeight="1" x14ac:dyDescent="0.25">
      <c r="A511" s="6">
        <v>511</v>
      </c>
      <c r="B511" s="7" t="s">
        <v>11700</v>
      </c>
      <c r="C511" s="8" t="s">
        <v>11701</v>
      </c>
      <c r="D511" s="6" t="s">
        <v>11702</v>
      </c>
      <c r="E511" s="6" t="s">
        <v>11703</v>
      </c>
      <c r="F511" s="8" t="s">
        <v>11704</v>
      </c>
      <c r="G511" s="6" t="s">
        <v>160</v>
      </c>
      <c r="H511" s="6" t="s">
        <v>161</v>
      </c>
      <c r="I511" s="6" t="s">
        <v>281</v>
      </c>
      <c r="J511" s="6" t="s">
        <v>1350</v>
      </c>
      <c r="K511" s="9" t="s">
        <v>11705</v>
      </c>
      <c r="L511" s="8" t="s">
        <v>7603</v>
      </c>
      <c r="M511" s="9">
        <v>3</v>
      </c>
      <c r="N511" s="6">
        <v>59.362101799999998</v>
      </c>
      <c r="O511" s="6">
        <v>17.998397600000001</v>
      </c>
      <c r="P511" s="6" t="s">
        <v>11706</v>
      </c>
      <c r="Q511" s="6">
        <v>26</v>
      </c>
      <c r="R511" s="6" t="s">
        <v>79</v>
      </c>
      <c r="S511" s="6">
        <v>1991</v>
      </c>
      <c r="T511" s="6">
        <v>75000000</v>
      </c>
      <c r="U511" s="6" t="s">
        <v>167</v>
      </c>
      <c r="V511" s="6">
        <v>1900</v>
      </c>
      <c r="W511" s="6" t="s">
        <v>167</v>
      </c>
      <c r="X511" s="6" t="s">
        <v>11707</v>
      </c>
      <c r="Y511" s="6" t="s">
        <v>11708</v>
      </c>
      <c r="Z511" s="6" t="s">
        <v>11709</v>
      </c>
      <c r="AA511" s="6" t="s">
        <v>11710</v>
      </c>
      <c r="AB511" s="6" t="s">
        <v>11711</v>
      </c>
      <c r="AC511" s="6">
        <v>517121</v>
      </c>
      <c r="AD511" s="10" t="str">
        <f>_xlfn.XLOOKUP(AC511,[1]Mapping!B:B,[1]Mapping!C:C,"")</f>
        <v>Telecommunications Resellers</v>
      </c>
      <c r="AE511" s="6">
        <v>517111</v>
      </c>
      <c r="AF511" s="6" t="s">
        <v>2510</v>
      </c>
      <c r="AG511" s="6" t="s">
        <v>89</v>
      </c>
      <c r="AH511" s="6" t="s">
        <v>86</v>
      </c>
      <c r="AI511" s="6" t="s">
        <v>87</v>
      </c>
      <c r="AJ511" s="6" t="s">
        <v>86</v>
      </c>
      <c r="AK511" s="6" t="s">
        <v>88</v>
      </c>
      <c r="AL511" s="6" t="s">
        <v>89</v>
      </c>
      <c r="AM511" s="6" t="s">
        <v>90</v>
      </c>
      <c r="AN511" s="6" t="s">
        <v>91</v>
      </c>
      <c r="AO511" s="6" t="s">
        <v>92</v>
      </c>
      <c r="AQ511" s="6" t="s">
        <v>93</v>
      </c>
      <c r="AR511" s="6" t="s">
        <v>94</v>
      </c>
      <c r="AS511" s="6" t="s">
        <v>11712</v>
      </c>
      <c r="AT511" s="6">
        <v>6190</v>
      </c>
      <c r="AU511" s="6" t="s">
        <v>96</v>
      </c>
      <c r="AV511" s="6">
        <v>61.9</v>
      </c>
      <c r="AW511" s="6" t="s">
        <v>96</v>
      </c>
      <c r="AX511" s="6" t="s">
        <v>11713</v>
      </c>
      <c r="AY511" s="6" t="s">
        <v>11714</v>
      </c>
      <c r="AZ511" s="6" t="s">
        <v>11715</v>
      </c>
      <c r="BA511" s="6" t="s">
        <v>11716</v>
      </c>
      <c r="BD511" s="6" t="s">
        <v>11717</v>
      </c>
      <c r="BE511" s="6" t="str">
        <f t="shared" si="14"/>
        <v>iot.telenor.com</v>
      </c>
      <c r="BF511" s="6" t="str">
        <f t="shared" si="15"/>
        <v>com</v>
      </c>
      <c r="BG511" s="6" t="s">
        <v>308</v>
      </c>
      <c r="BH511" s="6" t="s">
        <v>11718</v>
      </c>
      <c r="BI511" s="6" t="s">
        <v>11719</v>
      </c>
      <c r="BJ511" s="6" t="s">
        <v>11720</v>
      </c>
      <c r="BK511" s="6" t="s">
        <v>11721</v>
      </c>
      <c r="BL511" s="6" t="s">
        <v>11722</v>
      </c>
      <c r="BM511" s="6" t="s">
        <v>11723</v>
      </c>
      <c r="BN511" s="6" t="s">
        <v>11724</v>
      </c>
      <c r="BP511" s="6" t="s">
        <v>11725</v>
      </c>
      <c r="BQ511" s="6" t="s">
        <v>11726</v>
      </c>
      <c r="BR511" s="6" t="s">
        <v>105</v>
      </c>
    </row>
    <row r="512" spans="1:70" ht="45" customHeight="1" x14ac:dyDescent="0.25">
      <c r="A512" s="6">
        <v>512</v>
      </c>
      <c r="B512" s="7" t="s">
        <v>11727</v>
      </c>
      <c r="C512" s="8" t="s">
        <v>11728</v>
      </c>
      <c r="D512" s="6" t="s">
        <v>11729</v>
      </c>
      <c r="E512" s="8" t="s">
        <v>11730</v>
      </c>
      <c r="F512" s="8" t="s">
        <v>11731</v>
      </c>
      <c r="G512" s="6" t="s">
        <v>11732</v>
      </c>
      <c r="H512" s="6" t="s">
        <v>11733</v>
      </c>
      <c r="J512" s="6" t="s">
        <v>11734</v>
      </c>
      <c r="K512" s="9">
        <v>11070</v>
      </c>
      <c r="L512" s="8" t="s">
        <v>11735</v>
      </c>
      <c r="M512" s="9">
        <v>16</v>
      </c>
      <c r="N512" s="6">
        <v>44.80545</v>
      </c>
      <c r="O512" s="6">
        <v>20.404864</v>
      </c>
      <c r="P512" s="6" t="s">
        <v>11736</v>
      </c>
      <c r="Q512" s="6">
        <v>29</v>
      </c>
      <c r="R512" s="6" t="s">
        <v>79</v>
      </c>
      <c r="S512" s="6">
        <v>2014</v>
      </c>
      <c r="T512" s="6">
        <v>7626701</v>
      </c>
      <c r="U512" s="6" t="s">
        <v>167</v>
      </c>
      <c r="V512" s="6">
        <v>500</v>
      </c>
      <c r="W512" s="6" t="s">
        <v>167</v>
      </c>
      <c r="X512" s="6" t="s">
        <v>11737</v>
      </c>
      <c r="Y512" s="6" t="s">
        <v>11738</v>
      </c>
      <c r="Z512" s="6" t="s">
        <v>11739</v>
      </c>
      <c r="AA512" s="6" t="s">
        <v>11740</v>
      </c>
      <c r="AC512" s="6">
        <v>522110</v>
      </c>
      <c r="AD512" s="10" t="str">
        <f>_xlfn.XLOOKUP(AC512,[1]Mapping!B:B,[1]Mapping!C:C,"")</f>
        <v xml:space="preserve">Commercial Banking </v>
      </c>
      <c r="AG512" s="6" t="s">
        <v>11741</v>
      </c>
      <c r="AH512" s="6" t="s">
        <v>118</v>
      </c>
      <c r="AI512" s="6" t="s">
        <v>119</v>
      </c>
      <c r="AJ512" s="6" t="s">
        <v>3200</v>
      </c>
      <c r="AK512" s="6" t="s">
        <v>3201</v>
      </c>
      <c r="AL512" s="6" t="s">
        <v>3202</v>
      </c>
      <c r="AM512" s="6" t="s">
        <v>3203</v>
      </c>
      <c r="AN512" s="6" t="s">
        <v>764</v>
      </c>
      <c r="AO512" s="6" t="s">
        <v>765</v>
      </c>
      <c r="AQ512" s="6" t="s">
        <v>11742</v>
      </c>
      <c r="AR512" s="6" t="s">
        <v>11743</v>
      </c>
      <c r="AT512" s="6">
        <v>6419</v>
      </c>
      <c r="AU512" s="6" t="s">
        <v>1053</v>
      </c>
      <c r="AV512" s="6">
        <v>64.19</v>
      </c>
      <c r="AW512" s="6" t="s">
        <v>1053</v>
      </c>
      <c r="BA512" s="6" t="s">
        <v>11744</v>
      </c>
      <c r="BB512" s="6" t="s">
        <v>11744</v>
      </c>
      <c r="BC512" s="6" t="s">
        <v>11745</v>
      </c>
      <c r="BD512" s="6" t="s">
        <v>11746</v>
      </c>
      <c r="BE512" s="6" t="str">
        <f t="shared" si="14"/>
        <v>yettel.rs</v>
      </c>
      <c r="BF512" s="6" t="str">
        <f t="shared" si="15"/>
        <v>rs</v>
      </c>
      <c r="BG512" s="6" t="s">
        <v>101</v>
      </c>
      <c r="BH512" s="6" t="s">
        <v>11747</v>
      </c>
      <c r="BI512" s="6" t="s">
        <v>11748</v>
      </c>
      <c r="BJ512" s="6" t="s">
        <v>11749</v>
      </c>
      <c r="BK512" s="6" t="s">
        <v>11750</v>
      </c>
      <c r="BN512" s="6" t="s">
        <v>11751</v>
      </c>
      <c r="BP512" s="6" t="s">
        <v>11752</v>
      </c>
      <c r="BQ512" s="6" t="s">
        <v>11753</v>
      </c>
      <c r="BR512" s="6" t="s">
        <v>105</v>
      </c>
    </row>
    <row r="513" spans="1:70" ht="45" customHeight="1" x14ac:dyDescent="0.25">
      <c r="A513" s="6">
        <v>513</v>
      </c>
      <c r="B513" s="7" t="s">
        <v>11754</v>
      </c>
      <c r="C513" s="8" t="s">
        <v>11624</v>
      </c>
      <c r="D513" s="6" t="s">
        <v>11755</v>
      </c>
      <c r="E513" s="6" t="s">
        <v>11626</v>
      </c>
      <c r="F513" s="8" t="s">
        <v>11627</v>
      </c>
      <c r="G513" s="6" t="s">
        <v>73</v>
      </c>
      <c r="H513" s="6" t="s">
        <v>74</v>
      </c>
      <c r="I513" s="6"/>
      <c r="J513" s="6" t="s">
        <v>486</v>
      </c>
      <c r="K513" s="9">
        <v>1560</v>
      </c>
      <c r="L513" s="8" t="s">
        <v>11756</v>
      </c>
      <c r="M513" s="9">
        <v>139</v>
      </c>
      <c r="N513" s="6">
        <v>55.662141599999998</v>
      </c>
      <c r="O513" s="6">
        <v>12.561353499999999</v>
      </c>
      <c r="P513" s="6" t="s">
        <v>11629</v>
      </c>
      <c r="Q513" s="6">
        <v>28</v>
      </c>
      <c r="R513" s="6" t="s">
        <v>79</v>
      </c>
      <c r="S513" s="6">
        <v>1990</v>
      </c>
      <c r="T513" s="6"/>
      <c r="X513" s="6" t="s">
        <v>11757</v>
      </c>
      <c r="Y513" s="6" t="s">
        <v>11758</v>
      </c>
      <c r="Z513" s="6" t="s">
        <v>11759</v>
      </c>
      <c r="AA513" s="6" t="s">
        <v>11760</v>
      </c>
      <c r="AB513" s="6" t="s">
        <v>11761</v>
      </c>
      <c r="AC513" s="6">
        <v>517112</v>
      </c>
      <c r="AD513" s="10" t="str">
        <f>_xlfn.XLOOKUP(AC513,[1]Mapping!B:B,[1]Mapping!C:C,"")</f>
        <v>Wireless Telecommunications Carriers (except Satellite)</v>
      </c>
      <c r="AE513" s="6">
        <v>517111</v>
      </c>
      <c r="AF513" s="6" t="s">
        <v>2510</v>
      </c>
      <c r="AG513" s="6" t="s">
        <v>89</v>
      </c>
      <c r="AH513" s="6" t="s">
        <v>86</v>
      </c>
      <c r="AI513" s="6" t="s">
        <v>87</v>
      </c>
      <c r="AJ513" s="6" t="s">
        <v>86</v>
      </c>
      <c r="AK513" s="6" t="s">
        <v>88</v>
      </c>
      <c r="AL513" s="6" t="s">
        <v>89</v>
      </c>
      <c r="AM513" s="6" t="s">
        <v>90</v>
      </c>
      <c r="AN513" s="6" t="s">
        <v>91</v>
      </c>
      <c r="AO513" s="6" t="s">
        <v>92</v>
      </c>
      <c r="AQ513" s="6" t="s">
        <v>1697</v>
      </c>
      <c r="AR513" s="6" t="s">
        <v>1698</v>
      </c>
      <c r="AS513" s="6" t="s">
        <v>11637</v>
      </c>
      <c r="AT513" s="6">
        <v>6120</v>
      </c>
      <c r="AU513" s="6" t="s">
        <v>1699</v>
      </c>
      <c r="AV513" s="6">
        <v>61.2</v>
      </c>
      <c r="AW513" s="6" t="s">
        <v>1699</v>
      </c>
      <c r="AX513" s="6" t="s">
        <v>11639</v>
      </c>
      <c r="AY513" s="6" t="s">
        <v>11762</v>
      </c>
      <c r="AZ513" s="6" t="s">
        <v>11641</v>
      </c>
      <c r="BA513" s="6" t="s">
        <v>11642</v>
      </c>
      <c r="BB513" s="6" t="s">
        <v>11642</v>
      </c>
      <c r="BD513" s="6" t="s">
        <v>11763</v>
      </c>
      <c r="BE513" s="6" t="str">
        <f t="shared" si="14"/>
        <v>telenor.dk</v>
      </c>
      <c r="BF513" s="6" t="str">
        <f t="shared" si="15"/>
        <v>dk</v>
      </c>
      <c r="BG513" s="6" t="s">
        <v>123</v>
      </c>
      <c r="BH513" s="6" t="s">
        <v>11644</v>
      </c>
      <c r="BI513" s="6" t="s">
        <v>11645</v>
      </c>
      <c r="BK513" s="6" t="s">
        <v>11646</v>
      </c>
      <c r="BP513" s="6" t="s">
        <v>11647</v>
      </c>
      <c r="BQ513" s="6" t="s">
        <v>11648</v>
      </c>
      <c r="BR513" s="6" t="s">
        <v>105</v>
      </c>
    </row>
    <row r="514" spans="1:70" ht="45" customHeight="1" x14ac:dyDescent="0.25">
      <c r="A514" s="6">
        <v>514</v>
      </c>
      <c r="B514" s="7" t="s">
        <v>11764</v>
      </c>
      <c r="C514" s="8" t="s">
        <v>11765</v>
      </c>
      <c r="D514" s="6" t="s">
        <v>11755</v>
      </c>
      <c r="E514" s="6" t="s">
        <v>11766</v>
      </c>
      <c r="F514" s="8" t="s">
        <v>11767</v>
      </c>
      <c r="G514" s="6" t="s">
        <v>130</v>
      </c>
      <c r="H514" s="6" t="s">
        <v>131</v>
      </c>
      <c r="I514" s="6" t="s">
        <v>2572</v>
      </c>
      <c r="J514" s="6" t="s">
        <v>4300</v>
      </c>
      <c r="K514" s="9">
        <v>1360</v>
      </c>
      <c r="L514" s="8" t="s">
        <v>4301</v>
      </c>
      <c r="M514" s="9">
        <v>30</v>
      </c>
      <c r="N514" s="6">
        <v>59.899518500000013</v>
      </c>
      <c r="O514" s="6">
        <v>10.628699900000001</v>
      </c>
      <c r="P514" s="6" t="s">
        <v>11768</v>
      </c>
      <c r="Q514" s="6">
        <v>2</v>
      </c>
      <c r="R514" s="6" t="s">
        <v>79</v>
      </c>
      <c r="S514" s="6">
        <v>2020</v>
      </c>
      <c r="T514" s="6">
        <v>62483416</v>
      </c>
      <c r="U514" s="6" t="s">
        <v>80</v>
      </c>
      <c r="V514" s="6">
        <v>83</v>
      </c>
      <c r="W514" s="6" t="s">
        <v>167</v>
      </c>
      <c r="X514" s="6" t="s">
        <v>11769</v>
      </c>
      <c r="Y514" s="6" t="s">
        <v>11770</v>
      </c>
      <c r="Z514" s="6" t="s">
        <v>11771</v>
      </c>
      <c r="AA514" s="6" t="s">
        <v>11772</v>
      </c>
      <c r="AB514" s="6" t="s">
        <v>11773</v>
      </c>
      <c r="AC514" s="6">
        <v>51781</v>
      </c>
      <c r="AD514" s="10" t="str">
        <f>_xlfn.XLOOKUP(AC514,[1]Mapping!B:B,[1]Mapping!C:C,"")</f>
        <v xml:space="preserve">All Other Telecommunications </v>
      </c>
      <c r="AG514" s="6" t="s">
        <v>11774</v>
      </c>
      <c r="AH514" s="6" t="s">
        <v>11775</v>
      </c>
      <c r="AI514" s="6" t="s">
        <v>499</v>
      </c>
      <c r="AJ514" s="6" t="s">
        <v>86</v>
      </c>
      <c r="AK514" s="6" t="s">
        <v>88</v>
      </c>
      <c r="AL514" s="6" t="s">
        <v>89</v>
      </c>
      <c r="AM514" s="6" t="s">
        <v>90</v>
      </c>
      <c r="AN514" s="6" t="s">
        <v>91</v>
      </c>
      <c r="AO514" s="6" t="s">
        <v>92</v>
      </c>
      <c r="AQ514" s="6">
        <v>4813</v>
      </c>
      <c r="AR514" s="6" t="s">
        <v>2296</v>
      </c>
      <c r="AT514" s="6">
        <v>6190</v>
      </c>
      <c r="AU514" s="6" t="s">
        <v>96</v>
      </c>
      <c r="AV514" s="6">
        <v>61.9</v>
      </c>
      <c r="AW514" s="6" t="s">
        <v>96</v>
      </c>
      <c r="AY514" s="6" t="s">
        <v>11776</v>
      </c>
      <c r="AZ514" s="6" t="s">
        <v>11777</v>
      </c>
      <c r="BA514" s="6" t="s">
        <v>11778</v>
      </c>
      <c r="BD514" s="6" t="s">
        <v>11779</v>
      </c>
      <c r="BE514" s="6" t="str">
        <f t="shared" si="14"/>
        <v>telenor.no</v>
      </c>
      <c r="BF514" s="6" t="str">
        <f t="shared" si="15"/>
        <v>no</v>
      </c>
      <c r="BG514" s="6" t="s">
        <v>101</v>
      </c>
      <c r="BH514" s="6" t="s">
        <v>11780</v>
      </c>
      <c r="BI514" s="6" t="s">
        <v>11781</v>
      </c>
      <c r="BJ514" s="6" t="s">
        <v>11782</v>
      </c>
      <c r="BK514" s="6" t="s">
        <v>11783</v>
      </c>
      <c r="BN514" s="6" t="s">
        <v>11784</v>
      </c>
      <c r="BP514" s="6" t="s">
        <v>11785</v>
      </c>
      <c r="BQ514" s="6" t="s">
        <v>11786</v>
      </c>
      <c r="BR514" s="6" t="s">
        <v>105</v>
      </c>
    </row>
    <row r="515" spans="1:70" ht="45" customHeight="1" x14ac:dyDescent="0.25">
      <c r="A515" s="6">
        <v>515</v>
      </c>
      <c r="B515" s="7" t="s">
        <v>11787</v>
      </c>
      <c r="C515" s="8" t="s">
        <v>11765</v>
      </c>
      <c r="D515" s="6" t="s">
        <v>11788</v>
      </c>
      <c r="E515" s="6" t="s">
        <v>11766</v>
      </c>
      <c r="F515" s="8" t="s">
        <v>11767</v>
      </c>
      <c r="G515" s="6" t="s">
        <v>130</v>
      </c>
      <c r="H515" s="6" t="s">
        <v>131</v>
      </c>
      <c r="I515" s="6" t="s">
        <v>2572</v>
      </c>
      <c r="J515" s="6" t="s">
        <v>4300</v>
      </c>
      <c r="K515" s="9">
        <v>1360</v>
      </c>
      <c r="L515" s="8" t="s">
        <v>4301</v>
      </c>
      <c r="M515" s="9" t="s">
        <v>11789</v>
      </c>
      <c r="N515" s="6">
        <v>59.900402300000003</v>
      </c>
      <c r="O515" s="6">
        <v>10.6314834</v>
      </c>
      <c r="P515" s="6" t="s">
        <v>11768</v>
      </c>
      <c r="Q515" s="6">
        <v>2</v>
      </c>
      <c r="R515" s="6" t="s">
        <v>79</v>
      </c>
      <c r="S515" s="6">
        <v>2020</v>
      </c>
      <c r="T515" s="6">
        <v>62483416</v>
      </c>
      <c r="U515" s="6" t="s">
        <v>80</v>
      </c>
      <c r="V515" s="6">
        <v>83</v>
      </c>
      <c r="W515" s="6" t="s">
        <v>167</v>
      </c>
      <c r="X515" s="6" t="s">
        <v>11769</v>
      </c>
      <c r="Y515" s="6" t="s">
        <v>11790</v>
      </c>
      <c r="Z515" s="6" t="s">
        <v>11791</v>
      </c>
      <c r="AA515" s="6" t="s">
        <v>11792</v>
      </c>
      <c r="AB515" s="6" t="s">
        <v>11793</v>
      </c>
      <c r="AC515" s="6">
        <v>517111</v>
      </c>
      <c r="AD515" s="10" t="str">
        <f>_xlfn.XLOOKUP(AC515,[1]Mapping!B:B,[1]Mapping!C:C,"")</f>
        <v xml:space="preserve">Wired Telecommunications Carriers </v>
      </c>
      <c r="AG515" s="6" t="s">
        <v>11794</v>
      </c>
      <c r="AH515" s="6" t="s">
        <v>11795</v>
      </c>
      <c r="AI515" s="6" t="s">
        <v>89</v>
      </c>
      <c r="AJ515" s="6" t="s">
        <v>86</v>
      </c>
      <c r="AK515" s="6" t="s">
        <v>88</v>
      </c>
      <c r="AL515" s="6" t="s">
        <v>89</v>
      </c>
      <c r="AM515" s="6" t="s">
        <v>90</v>
      </c>
      <c r="AN515" s="6" t="s">
        <v>91</v>
      </c>
      <c r="AO515" s="6" t="s">
        <v>92</v>
      </c>
      <c r="AQ515" s="6">
        <v>4813</v>
      </c>
      <c r="AR515" s="6" t="s">
        <v>2296</v>
      </c>
      <c r="AT515" s="6">
        <v>6110</v>
      </c>
      <c r="AU515" s="6" t="s">
        <v>2297</v>
      </c>
      <c r="AV515" s="6">
        <v>61.1</v>
      </c>
      <c r="AW515" s="6" t="s">
        <v>2297</v>
      </c>
      <c r="AY515" s="6" t="s">
        <v>11776</v>
      </c>
      <c r="AZ515" s="6" t="s">
        <v>11777</v>
      </c>
      <c r="BA515" s="6" t="s">
        <v>11778</v>
      </c>
      <c r="BD515" s="6" t="s">
        <v>11796</v>
      </c>
      <c r="BE515" s="6" t="str">
        <f t="shared" ref="BE515:BE578" si="16">LEFT(
  SUBSTITUTE(SUBSTITUTE(SUBSTITUTE(BD515,"https://",""),"http://",""),"www.",""),
  IFERROR(
    FIND("/",SUBSTITUTE(SUBSTITUTE(SUBSTITUTE(BD515,"https://",""),"http://",""),"www.","")&amp;"/")-1,
    LEN(SUBSTITUTE(SUBSTITUTE(SUBSTITUTE(BD515,"https://",""),"http://",""),"www.",""))
  )
)</f>
        <v>telenor.no</v>
      </c>
      <c r="BF515" s="6" t="str">
        <f t="shared" ref="BF515:BF578" si="17">_xlfn.TEXTAFTER(BE515,".",-1)</f>
        <v>no</v>
      </c>
      <c r="BG515" s="6" t="s">
        <v>101</v>
      </c>
      <c r="BH515" s="6" t="s">
        <v>11780</v>
      </c>
      <c r="BI515" s="6" t="s">
        <v>11781</v>
      </c>
      <c r="BJ515" s="6" t="s">
        <v>11782</v>
      </c>
      <c r="BK515" s="6" t="s">
        <v>11783</v>
      </c>
      <c r="BN515" s="6" t="s">
        <v>11784</v>
      </c>
      <c r="BP515" s="6" t="s">
        <v>11785</v>
      </c>
      <c r="BQ515" s="6" t="s">
        <v>11786</v>
      </c>
      <c r="BR515" s="6" t="s">
        <v>105</v>
      </c>
    </row>
    <row r="516" spans="1:70" ht="45" customHeight="1" x14ac:dyDescent="0.25">
      <c r="A516" s="6">
        <v>516</v>
      </c>
      <c r="B516" s="7" t="s">
        <v>11797</v>
      </c>
      <c r="C516" s="8" t="s">
        <v>11798</v>
      </c>
      <c r="D516" s="6" t="s">
        <v>11799</v>
      </c>
      <c r="E516" s="8" t="s">
        <v>11797</v>
      </c>
      <c r="F516" s="8" t="s">
        <v>11800</v>
      </c>
      <c r="G516" s="6" t="s">
        <v>1400</v>
      </c>
      <c r="H516" s="6" t="s">
        <v>1401</v>
      </c>
      <c r="I516" s="8" t="s">
        <v>3964</v>
      </c>
      <c r="J516" s="6" t="s">
        <v>3965</v>
      </c>
      <c r="L516" s="8" t="s">
        <v>11801</v>
      </c>
      <c r="M516" s="9">
        <v>55</v>
      </c>
      <c r="N516" s="6">
        <v>33.668812500000001</v>
      </c>
      <c r="O516" s="6">
        <v>72.998437499999994</v>
      </c>
      <c r="P516" s="6" t="s">
        <v>11802</v>
      </c>
      <c r="Q516" s="6">
        <v>1</v>
      </c>
      <c r="R516" s="6" t="s">
        <v>79</v>
      </c>
      <c r="T516" s="6"/>
      <c r="X516" s="6" t="s">
        <v>11803</v>
      </c>
      <c r="Y516" s="6" t="s">
        <v>11804</v>
      </c>
      <c r="Z516" s="6" t="s">
        <v>11805</v>
      </c>
      <c r="AC516" s="6">
        <v>517810</v>
      </c>
      <c r="AD516" s="10" t="str">
        <f>_xlfn.XLOOKUP(AC516,[1]Mapping!B:B,[1]Mapping!C:C,"")</f>
        <v xml:space="preserve">All Other Telecommunications </v>
      </c>
      <c r="AG516" s="6" t="s">
        <v>89</v>
      </c>
      <c r="AH516" s="6" t="s">
        <v>86</v>
      </c>
      <c r="AI516" s="6" t="s">
        <v>87</v>
      </c>
      <c r="AQ516" s="6" t="s">
        <v>1384</v>
      </c>
      <c r="AR516" s="6" t="s">
        <v>1385</v>
      </c>
      <c r="AT516" s="6">
        <v>6190</v>
      </c>
      <c r="AU516" s="6" t="s">
        <v>96</v>
      </c>
      <c r="AV516" s="6">
        <v>61.9</v>
      </c>
      <c r="AW516" s="6" t="s">
        <v>96</v>
      </c>
      <c r="AY516" s="6">
        <v>923339000000</v>
      </c>
      <c r="AZ516" s="6">
        <v>923339000000</v>
      </c>
      <c r="BE516" s="6" t="str">
        <f t="shared" si="16"/>
        <v/>
      </c>
      <c r="BF516" s="6" t="e">
        <f t="shared" si="17"/>
        <v>#VALUE!</v>
      </c>
      <c r="BQ516" s="6" t="s">
        <v>11806</v>
      </c>
      <c r="BR516" s="6" t="s">
        <v>105</v>
      </c>
    </row>
    <row r="517" spans="1:70" ht="45" customHeight="1" x14ac:dyDescent="0.25">
      <c r="A517" s="6">
        <v>517</v>
      </c>
      <c r="B517" s="7" t="s">
        <v>11807</v>
      </c>
      <c r="C517" s="8" t="s">
        <v>11808</v>
      </c>
      <c r="D517" s="6" t="s">
        <v>11809</v>
      </c>
      <c r="E517" s="8" t="s">
        <v>11807</v>
      </c>
      <c r="F517" s="8" t="s">
        <v>11809</v>
      </c>
      <c r="G517" s="6" t="s">
        <v>315</v>
      </c>
      <c r="H517" s="6" t="s">
        <v>316</v>
      </c>
      <c r="J517" s="6" t="s">
        <v>316</v>
      </c>
      <c r="K517" s="9">
        <v>78881</v>
      </c>
      <c r="L517" s="8" t="s">
        <v>6752</v>
      </c>
      <c r="M517" s="9">
        <v>1</v>
      </c>
      <c r="N517" s="6">
        <v>1.2769305</v>
      </c>
      <c r="O517" s="6">
        <v>103.8459301</v>
      </c>
      <c r="P517" s="6" t="s">
        <v>11810</v>
      </c>
      <c r="Q517" s="6">
        <v>1</v>
      </c>
      <c r="R517" s="6" t="s">
        <v>79</v>
      </c>
      <c r="S517" s="6">
        <v>1998</v>
      </c>
      <c r="T517" s="6"/>
      <c r="X517" s="6" t="s">
        <v>11811</v>
      </c>
      <c r="Y517" s="6" t="s">
        <v>11812</v>
      </c>
      <c r="Z517" s="6" t="s">
        <v>11813</v>
      </c>
      <c r="AA517" s="6" t="s">
        <v>11814</v>
      </c>
      <c r="AB517" s="6" t="s">
        <v>11815</v>
      </c>
      <c r="AC517" s="6">
        <v>51781</v>
      </c>
      <c r="AD517" s="10" t="str">
        <f>_xlfn.XLOOKUP(AC517,[1]Mapping!B:B,[1]Mapping!C:C,"")</f>
        <v xml:space="preserve">All Other Telecommunications </v>
      </c>
      <c r="AG517" s="6" t="s">
        <v>11816</v>
      </c>
      <c r="AH517" s="6" t="s">
        <v>11817</v>
      </c>
      <c r="AI517" s="6" t="s">
        <v>4210</v>
      </c>
      <c r="AJ517" s="6" t="s">
        <v>86</v>
      </c>
      <c r="AK517" s="6" t="s">
        <v>88</v>
      </c>
      <c r="AL517" s="6" t="s">
        <v>89</v>
      </c>
      <c r="AM517" s="6" t="s">
        <v>90</v>
      </c>
      <c r="AN517" s="6" t="s">
        <v>91</v>
      </c>
      <c r="AO517" s="6" t="s">
        <v>92</v>
      </c>
      <c r="AQ517" s="6">
        <v>4899</v>
      </c>
      <c r="AR517" s="6" t="s">
        <v>11818</v>
      </c>
      <c r="AT517" s="6">
        <v>6190</v>
      </c>
      <c r="AU517" s="6" t="s">
        <v>96</v>
      </c>
      <c r="AV517" s="6">
        <v>61.9</v>
      </c>
      <c r="AW517" s="6" t="s">
        <v>96</v>
      </c>
      <c r="AY517" s="6" t="s">
        <v>11819</v>
      </c>
      <c r="BA517" s="6" t="s">
        <v>11820</v>
      </c>
      <c r="BD517" s="6" t="s">
        <v>11821</v>
      </c>
      <c r="BE517" s="6" t="str">
        <f t="shared" si="16"/>
        <v>telenorasia.com</v>
      </c>
      <c r="BF517" s="6" t="str">
        <f t="shared" si="17"/>
        <v>com</v>
      </c>
      <c r="BG517" s="6" t="s">
        <v>101</v>
      </c>
      <c r="BH517" s="6" t="s">
        <v>11822</v>
      </c>
      <c r="BK517" s="6" t="s">
        <v>11823</v>
      </c>
      <c r="BQ517" s="6" t="s">
        <v>11824</v>
      </c>
      <c r="BR517" s="6" t="s">
        <v>105</v>
      </c>
    </row>
    <row r="518" spans="1:70" ht="45" customHeight="1" x14ac:dyDescent="0.25">
      <c r="A518" s="6">
        <v>518</v>
      </c>
      <c r="B518" s="7" t="s">
        <v>11825</v>
      </c>
      <c r="C518" s="8" t="s">
        <v>11826</v>
      </c>
      <c r="D518" s="6" t="s">
        <v>11827</v>
      </c>
      <c r="E518" s="8" t="s">
        <v>11825</v>
      </c>
      <c r="F518" s="8" t="s">
        <v>11828</v>
      </c>
      <c r="G518" s="6" t="s">
        <v>1400</v>
      </c>
      <c r="H518" s="6" t="s">
        <v>1401</v>
      </c>
      <c r="I518" s="8" t="s">
        <v>3964</v>
      </c>
      <c r="J518" s="6" t="s">
        <v>3965</v>
      </c>
      <c r="K518" s="9">
        <v>23200</v>
      </c>
      <c r="L518" s="8" t="s">
        <v>11829</v>
      </c>
      <c r="N518" s="6">
        <v>33.603465999999997</v>
      </c>
      <c r="O518" s="6">
        <v>73.163780700000004</v>
      </c>
      <c r="P518" s="6" t="s">
        <v>9454</v>
      </c>
      <c r="Q518" s="6">
        <v>1</v>
      </c>
      <c r="R518" s="6" t="s">
        <v>79</v>
      </c>
      <c r="T518" s="6">
        <v>1363649</v>
      </c>
      <c r="U518" s="6" t="s">
        <v>80</v>
      </c>
      <c r="V518" s="6">
        <v>150</v>
      </c>
      <c r="W518" s="6" t="s">
        <v>80</v>
      </c>
      <c r="X518" s="6" t="s">
        <v>11830</v>
      </c>
      <c r="Y518" s="6" t="s">
        <v>11831</v>
      </c>
      <c r="Z518" s="6" t="s">
        <v>11832</v>
      </c>
      <c r="AA518" s="6" t="s">
        <v>11833</v>
      </c>
      <c r="AC518" s="6">
        <v>517121</v>
      </c>
      <c r="AD518" s="10" t="str">
        <f>_xlfn.XLOOKUP(AC518,[1]Mapping!B:B,[1]Mapping!C:C,"")</f>
        <v>Telecommunications Resellers</v>
      </c>
      <c r="AG518" s="6" t="s">
        <v>85</v>
      </c>
      <c r="AH518" s="6" t="s">
        <v>86</v>
      </c>
      <c r="AI518" s="6" t="s">
        <v>87</v>
      </c>
      <c r="AJ518" s="6" t="s">
        <v>86</v>
      </c>
      <c r="AK518" s="6" t="s">
        <v>88</v>
      </c>
      <c r="AL518" s="6" t="s">
        <v>89</v>
      </c>
      <c r="AM518" s="6" t="s">
        <v>90</v>
      </c>
      <c r="AN518" s="6" t="s">
        <v>91</v>
      </c>
      <c r="AO518" s="6" t="s">
        <v>92</v>
      </c>
      <c r="AQ518" s="6" t="s">
        <v>93</v>
      </c>
      <c r="AR518" s="6" t="s">
        <v>94</v>
      </c>
      <c r="AT518" s="6">
        <v>6190</v>
      </c>
      <c r="AU518" s="6" t="s">
        <v>96</v>
      </c>
      <c r="AV518" s="6">
        <v>61.9</v>
      </c>
      <c r="AW518" s="6" t="s">
        <v>96</v>
      </c>
      <c r="AY518" s="6" t="s">
        <v>11834</v>
      </c>
      <c r="BD518" s="6" t="s">
        <v>11835</v>
      </c>
      <c r="BE518" s="6" t="str">
        <f t="shared" si="16"/>
        <v>telenor.com.pk</v>
      </c>
      <c r="BF518" s="6" t="str">
        <f t="shared" si="17"/>
        <v>pk</v>
      </c>
      <c r="BG518" s="6" t="s">
        <v>101</v>
      </c>
      <c r="BP518" s="6" t="s">
        <v>11836</v>
      </c>
      <c r="BQ518" s="6" t="s">
        <v>11837</v>
      </c>
      <c r="BR518" s="6" t="s">
        <v>105</v>
      </c>
    </row>
    <row r="519" spans="1:70" ht="45" customHeight="1" x14ac:dyDescent="0.25">
      <c r="A519" s="6">
        <v>519</v>
      </c>
      <c r="B519" s="7" t="s">
        <v>11838</v>
      </c>
      <c r="C519" s="8" t="s">
        <v>11839</v>
      </c>
      <c r="D519" s="6" t="s">
        <v>11755</v>
      </c>
      <c r="E519" s="6" t="s">
        <v>11840</v>
      </c>
      <c r="F519" s="8" t="s">
        <v>11841</v>
      </c>
      <c r="G519" s="6" t="s">
        <v>130</v>
      </c>
      <c r="H519" s="6" t="s">
        <v>131</v>
      </c>
      <c r="I519" s="6" t="s">
        <v>2572</v>
      </c>
      <c r="J519" s="6" t="s">
        <v>4300</v>
      </c>
      <c r="K519" s="9">
        <v>1360</v>
      </c>
      <c r="L519" s="8" t="s">
        <v>4301</v>
      </c>
      <c r="M519" s="9">
        <v>30</v>
      </c>
      <c r="N519" s="6">
        <v>59.899518500000013</v>
      </c>
      <c r="O519" s="6">
        <v>10.628699900000001</v>
      </c>
      <c r="P519" s="6" t="s">
        <v>11842</v>
      </c>
      <c r="Q519" s="6">
        <v>7</v>
      </c>
      <c r="R519" s="6" t="s">
        <v>79</v>
      </c>
      <c r="S519" s="6">
        <v>2011</v>
      </c>
      <c r="T519" s="6">
        <v>139561968</v>
      </c>
      <c r="U519" s="6" t="s">
        <v>80</v>
      </c>
      <c r="V519" s="6">
        <v>230</v>
      </c>
      <c r="W519" s="6" t="s">
        <v>167</v>
      </c>
      <c r="X519" s="6" t="s">
        <v>11769</v>
      </c>
      <c r="Y519" s="6" t="s">
        <v>11843</v>
      </c>
      <c r="Z519" s="6" t="s">
        <v>11844</v>
      </c>
      <c r="AA519" s="6" t="s">
        <v>11845</v>
      </c>
      <c r="AB519" s="6" t="s">
        <v>11846</v>
      </c>
      <c r="AC519" s="6">
        <v>51781</v>
      </c>
      <c r="AD519" s="10" t="str">
        <f>_xlfn.XLOOKUP(AC519,[1]Mapping!B:B,[1]Mapping!C:C,"")</f>
        <v xml:space="preserve">All Other Telecommunications </v>
      </c>
      <c r="AG519" s="6" t="s">
        <v>11847</v>
      </c>
      <c r="AH519" s="6" t="s">
        <v>11848</v>
      </c>
      <c r="AI519" s="6" t="s">
        <v>89</v>
      </c>
      <c r="AJ519" s="6" t="s">
        <v>86</v>
      </c>
      <c r="AK519" s="6" t="s">
        <v>88</v>
      </c>
      <c r="AL519" s="6" t="s">
        <v>89</v>
      </c>
      <c r="AM519" s="6" t="s">
        <v>90</v>
      </c>
      <c r="AN519" s="6" t="s">
        <v>91</v>
      </c>
      <c r="AO519" s="6" t="s">
        <v>92</v>
      </c>
      <c r="AQ519" s="6">
        <v>4813</v>
      </c>
      <c r="AR519" s="6" t="s">
        <v>2296</v>
      </c>
      <c r="AT519" s="6">
        <v>6190</v>
      </c>
      <c r="AU519" s="6" t="s">
        <v>96</v>
      </c>
      <c r="AV519" s="6">
        <v>61.9</v>
      </c>
      <c r="AW519" s="6" t="s">
        <v>96</v>
      </c>
      <c r="AY519" s="6" t="s">
        <v>11776</v>
      </c>
      <c r="AZ519" s="6" t="s">
        <v>11849</v>
      </c>
      <c r="BA519" s="6" t="s">
        <v>11850</v>
      </c>
      <c r="BD519" s="6" t="s">
        <v>11779</v>
      </c>
      <c r="BE519" s="6" t="str">
        <f t="shared" si="16"/>
        <v>telenor.no</v>
      </c>
      <c r="BF519" s="6" t="str">
        <f t="shared" si="17"/>
        <v>no</v>
      </c>
      <c r="BG519" s="6" t="s">
        <v>101</v>
      </c>
      <c r="BH519" s="6" t="s">
        <v>11780</v>
      </c>
      <c r="BI519" s="6" t="s">
        <v>11781</v>
      </c>
      <c r="BJ519" s="6" t="s">
        <v>11782</v>
      </c>
      <c r="BK519" s="6" t="s">
        <v>11783</v>
      </c>
      <c r="BN519" s="6" t="s">
        <v>11784</v>
      </c>
      <c r="BP519" s="6" t="s">
        <v>11851</v>
      </c>
      <c r="BQ519" s="6" t="s">
        <v>11852</v>
      </c>
      <c r="BR519" s="6" t="s">
        <v>105</v>
      </c>
    </row>
    <row r="520" spans="1:70" ht="45" customHeight="1" x14ac:dyDescent="0.25">
      <c r="A520" s="6">
        <v>520</v>
      </c>
      <c r="B520" s="7" t="s">
        <v>11853</v>
      </c>
      <c r="C520" s="8" t="s">
        <v>11854</v>
      </c>
      <c r="D520" s="6" t="s">
        <v>11855</v>
      </c>
      <c r="E520" s="6" t="s">
        <v>11856</v>
      </c>
      <c r="F520" s="8" t="s">
        <v>11857</v>
      </c>
      <c r="G520" s="6" t="s">
        <v>2414</v>
      </c>
      <c r="H520" s="6" t="s">
        <v>2415</v>
      </c>
      <c r="I520" s="6"/>
      <c r="J520" s="6" t="s">
        <v>2416</v>
      </c>
      <c r="K520" s="9">
        <v>2045</v>
      </c>
      <c r="L520" s="8" t="s">
        <v>2417</v>
      </c>
      <c r="M520" s="9">
        <v>1</v>
      </c>
      <c r="N520" s="6">
        <v>47.430209099999999</v>
      </c>
      <c r="O520" s="6">
        <v>18.9366582</v>
      </c>
      <c r="P520" s="6" t="s">
        <v>11858</v>
      </c>
      <c r="Q520" s="6">
        <v>67</v>
      </c>
      <c r="R520" s="6" t="s">
        <v>79</v>
      </c>
      <c r="S520" s="6">
        <v>1994</v>
      </c>
      <c r="T520" s="6">
        <v>221659152</v>
      </c>
      <c r="U520" s="6" t="s">
        <v>80</v>
      </c>
      <c r="V520" s="6">
        <v>1060</v>
      </c>
      <c r="W520" s="6" t="s">
        <v>167</v>
      </c>
      <c r="X520" s="6" t="s">
        <v>11859</v>
      </c>
      <c r="Y520" s="6" t="s">
        <v>11860</v>
      </c>
      <c r="Z520" s="6" t="s">
        <v>11861</v>
      </c>
      <c r="AA520" s="6" t="s">
        <v>11862</v>
      </c>
      <c r="AB520" s="6" t="s">
        <v>11863</v>
      </c>
      <c r="AC520" s="6">
        <v>517122</v>
      </c>
      <c r="AD520" s="10" t="str">
        <f>_xlfn.XLOOKUP(AC520,[1]Mapping!B:B,[1]Mapping!C:C,"")</f>
        <v>Agents for Wireless Telecommunications Services</v>
      </c>
      <c r="AG520" s="6" t="s">
        <v>89</v>
      </c>
      <c r="AH520" s="6" t="s">
        <v>86</v>
      </c>
      <c r="AI520" s="6" t="s">
        <v>87</v>
      </c>
      <c r="AJ520" s="6" t="s">
        <v>86</v>
      </c>
      <c r="AK520" s="6" t="s">
        <v>88</v>
      </c>
      <c r="AL520" s="6" t="s">
        <v>89</v>
      </c>
      <c r="AM520" s="6" t="s">
        <v>90</v>
      </c>
      <c r="AN520" s="6" t="s">
        <v>91</v>
      </c>
      <c r="AO520" s="6" t="s">
        <v>92</v>
      </c>
      <c r="AQ520" s="6" t="s">
        <v>11864</v>
      </c>
      <c r="AR520" s="6" t="s">
        <v>11865</v>
      </c>
      <c r="AS520" s="6" t="s">
        <v>11866</v>
      </c>
      <c r="AT520" s="6" t="s">
        <v>11867</v>
      </c>
      <c r="AU520" s="6" t="s">
        <v>11868</v>
      </c>
      <c r="AV520" s="6" t="s">
        <v>11869</v>
      </c>
      <c r="AW520" s="6" t="s">
        <v>11870</v>
      </c>
      <c r="AX520" s="6" t="s">
        <v>11871</v>
      </c>
      <c r="AY520" s="6" t="s">
        <v>11872</v>
      </c>
      <c r="AZ520" s="6" t="s">
        <v>11873</v>
      </c>
      <c r="BA520" s="6" t="s">
        <v>11874</v>
      </c>
      <c r="BB520" s="6" t="s">
        <v>11875</v>
      </c>
      <c r="BC520" s="6" t="s">
        <v>11876</v>
      </c>
      <c r="BD520" s="6" t="s">
        <v>11877</v>
      </c>
      <c r="BE520" s="6" t="str">
        <f t="shared" si="16"/>
        <v>yettel.hu</v>
      </c>
      <c r="BF520" s="6" t="str">
        <f t="shared" si="17"/>
        <v>hu</v>
      </c>
      <c r="BG520" s="6" t="s">
        <v>8619</v>
      </c>
      <c r="BH520" s="6" t="s">
        <v>11878</v>
      </c>
      <c r="BI520" s="6" t="s">
        <v>11879</v>
      </c>
      <c r="BJ520" s="6" t="s">
        <v>11880</v>
      </c>
      <c r="BK520" s="6" t="s">
        <v>11881</v>
      </c>
      <c r="BL520" s="6" t="s">
        <v>11882</v>
      </c>
      <c r="BM520" s="6" t="s">
        <v>11883</v>
      </c>
      <c r="BN520" s="6" t="s">
        <v>11884</v>
      </c>
      <c r="BP520" s="6" t="s">
        <v>11885</v>
      </c>
      <c r="BQ520" s="6" t="s">
        <v>11886</v>
      </c>
      <c r="BR520" s="6" t="s">
        <v>105</v>
      </c>
    </row>
    <row r="521" spans="1:70" ht="45" customHeight="1" x14ac:dyDescent="0.25">
      <c r="A521" s="6">
        <v>521</v>
      </c>
      <c r="B521" s="7" t="s">
        <v>11887</v>
      </c>
      <c r="C521" s="8" t="s">
        <v>11888</v>
      </c>
      <c r="D521" s="6" t="s">
        <v>11755</v>
      </c>
      <c r="E521" s="8" t="s">
        <v>11887</v>
      </c>
      <c r="F521" s="8" t="s">
        <v>11889</v>
      </c>
      <c r="G521" s="6" t="s">
        <v>130</v>
      </c>
      <c r="H521" s="6" t="s">
        <v>131</v>
      </c>
      <c r="I521" s="8" t="s">
        <v>2572</v>
      </c>
      <c r="J521" s="6" t="s">
        <v>4300</v>
      </c>
      <c r="K521" s="9">
        <v>1360</v>
      </c>
      <c r="L521" s="8" t="s">
        <v>4301</v>
      </c>
      <c r="M521" s="9">
        <v>30</v>
      </c>
      <c r="N521" s="6">
        <v>59.899518500000013</v>
      </c>
      <c r="O521" s="6">
        <v>10.628699900000001</v>
      </c>
      <c r="P521" s="6" t="s">
        <v>11890</v>
      </c>
      <c r="Q521" s="6">
        <v>24</v>
      </c>
      <c r="R521" s="6" t="s">
        <v>79</v>
      </c>
      <c r="S521" s="6">
        <v>1996</v>
      </c>
      <c r="T521" s="6">
        <v>22572068</v>
      </c>
      <c r="U521" s="6" t="s">
        <v>80</v>
      </c>
      <c r="V521" s="6">
        <v>20</v>
      </c>
      <c r="W521" s="6" t="s">
        <v>167</v>
      </c>
      <c r="X521" s="6" t="s">
        <v>11769</v>
      </c>
      <c r="Y521" s="6" t="s">
        <v>11891</v>
      </c>
      <c r="Z521" s="6" t="s">
        <v>11892</v>
      </c>
      <c r="AA521" s="6" t="s">
        <v>11893</v>
      </c>
      <c r="AB521" s="6" t="s">
        <v>11894</v>
      </c>
      <c r="AC521" s="6">
        <v>517122</v>
      </c>
      <c r="AD521" s="10" t="str">
        <f>_xlfn.XLOOKUP(AC521,[1]Mapping!B:B,[1]Mapping!C:C,"")</f>
        <v>Agents for Wireless Telecommunications Services</v>
      </c>
      <c r="AG521" s="6" t="s">
        <v>85</v>
      </c>
      <c r="AH521" s="6" t="s">
        <v>86</v>
      </c>
      <c r="AI521" s="6" t="s">
        <v>87</v>
      </c>
      <c r="AJ521" s="6" t="s">
        <v>86</v>
      </c>
      <c r="AK521" s="6" t="s">
        <v>88</v>
      </c>
      <c r="AL521" s="6" t="s">
        <v>89</v>
      </c>
      <c r="AM521" s="6" t="s">
        <v>90</v>
      </c>
      <c r="AN521" s="6" t="s">
        <v>91</v>
      </c>
      <c r="AO521" s="6" t="s">
        <v>92</v>
      </c>
      <c r="AQ521" s="6" t="s">
        <v>11864</v>
      </c>
      <c r="AR521" s="6" t="s">
        <v>11865</v>
      </c>
      <c r="AT521" s="6" t="s">
        <v>11867</v>
      </c>
      <c r="AU521" s="6" t="s">
        <v>11868</v>
      </c>
      <c r="AV521" s="6" t="s">
        <v>11869</v>
      </c>
      <c r="AW521" s="6" t="s">
        <v>11870</v>
      </c>
      <c r="AY521" s="6" t="s">
        <v>11776</v>
      </c>
      <c r="AZ521" s="6" t="s">
        <v>11895</v>
      </c>
      <c r="BA521" s="6" t="s">
        <v>11896</v>
      </c>
      <c r="BD521" s="6" t="s">
        <v>11779</v>
      </c>
      <c r="BE521" s="6" t="str">
        <f t="shared" si="16"/>
        <v>telenor.no</v>
      </c>
      <c r="BF521" s="6" t="str">
        <f t="shared" si="17"/>
        <v>no</v>
      </c>
      <c r="BG521" s="6" t="s">
        <v>150</v>
      </c>
      <c r="BH521" s="6" t="s">
        <v>11780</v>
      </c>
      <c r="BI521" s="6" t="s">
        <v>11781</v>
      </c>
      <c r="BJ521" s="6" t="s">
        <v>11782</v>
      </c>
      <c r="BK521" s="6" t="s">
        <v>11783</v>
      </c>
      <c r="BN521" s="6" t="s">
        <v>11784</v>
      </c>
      <c r="BP521" s="6" t="s">
        <v>11897</v>
      </c>
      <c r="BQ521" s="6" t="s">
        <v>11898</v>
      </c>
      <c r="BR521" s="6" t="s">
        <v>105</v>
      </c>
    </row>
    <row r="522" spans="1:70" ht="45" customHeight="1" x14ac:dyDescent="0.25">
      <c r="A522" s="6">
        <v>522</v>
      </c>
      <c r="B522" s="7" t="s">
        <v>11899</v>
      </c>
      <c r="C522" s="8" t="s">
        <v>11900</v>
      </c>
      <c r="D522" s="6" t="s">
        <v>11827</v>
      </c>
      <c r="E522" s="6" t="s">
        <v>11840</v>
      </c>
      <c r="F522" s="8" t="s">
        <v>11901</v>
      </c>
      <c r="G522" s="6" t="s">
        <v>1400</v>
      </c>
      <c r="H522" s="6" t="s">
        <v>1401</v>
      </c>
      <c r="I522" s="6" t="s">
        <v>3964</v>
      </c>
      <c r="J522" s="6" t="s">
        <v>3965</v>
      </c>
      <c r="K522" s="9">
        <v>23200</v>
      </c>
      <c r="L522" s="8" t="s">
        <v>11801</v>
      </c>
      <c r="M522" s="9">
        <v>55</v>
      </c>
      <c r="N522" s="6">
        <v>33.603465999999997</v>
      </c>
      <c r="O522" s="6">
        <v>73.163780700000004</v>
      </c>
      <c r="P522" s="6" t="s">
        <v>11902</v>
      </c>
      <c r="Q522" s="6">
        <v>121</v>
      </c>
      <c r="R522" s="6" t="s">
        <v>79</v>
      </c>
      <c r="S522" s="6">
        <v>2004</v>
      </c>
      <c r="T522" s="6">
        <v>451406688</v>
      </c>
      <c r="U522" s="6" t="s">
        <v>167</v>
      </c>
      <c r="V522" s="6">
        <v>22000</v>
      </c>
      <c r="W522" s="6" t="s">
        <v>80</v>
      </c>
      <c r="X522" s="6" t="s">
        <v>11903</v>
      </c>
      <c r="Y522" s="6" t="s">
        <v>11904</v>
      </c>
      <c r="Z522" s="6" t="s">
        <v>11905</v>
      </c>
      <c r="AA522" s="6" t="s">
        <v>11906</v>
      </c>
      <c r="AB522" s="6" t="s">
        <v>11907</v>
      </c>
      <c r="AC522" s="6">
        <v>517312</v>
      </c>
      <c r="AD522" s="17" t="str">
        <f>_xlfn.XLOOKUP(AE522,[1]Mapping!B:B,[1]Mapping!C:C,"")</f>
        <v>Wireless Telecommunications Carriers (except Satellite)</v>
      </c>
      <c r="AE522" s="6">
        <v>517112</v>
      </c>
      <c r="AF522" s="6" t="s">
        <v>711</v>
      </c>
      <c r="AG522" s="6" t="s">
        <v>11908</v>
      </c>
      <c r="AH522" s="6" t="s">
        <v>11909</v>
      </c>
      <c r="AI522" s="6" t="s">
        <v>89</v>
      </c>
      <c r="AJ522" s="6" t="s">
        <v>86</v>
      </c>
      <c r="AK522" s="6" t="s">
        <v>88</v>
      </c>
      <c r="AL522" s="6" t="s">
        <v>89</v>
      </c>
      <c r="AM522" s="6" t="s">
        <v>90</v>
      </c>
      <c r="AN522" s="6" t="s">
        <v>91</v>
      </c>
      <c r="AO522" s="6" t="s">
        <v>92</v>
      </c>
      <c r="AQ522" s="6">
        <v>4812</v>
      </c>
      <c r="AR522" s="6" t="s">
        <v>11910</v>
      </c>
      <c r="AS522" s="6" t="s">
        <v>11911</v>
      </c>
      <c r="AT522" s="6">
        <v>6120</v>
      </c>
      <c r="AU522" s="6" t="s">
        <v>1699</v>
      </c>
      <c r="AV522" s="6">
        <v>61.2</v>
      </c>
      <c r="AW522" s="6" t="s">
        <v>1699</v>
      </c>
      <c r="AX522" s="6" t="s">
        <v>11912</v>
      </c>
      <c r="AY522" s="6" t="s">
        <v>11834</v>
      </c>
      <c r="AZ522" s="6" t="s">
        <v>11913</v>
      </c>
      <c r="BA522" s="6" t="s">
        <v>11914</v>
      </c>
      <c r="BB522" s="6" t="s">
        <v>11914</v>
      </c>
      <c r="BC522" s="6" t="s">
        <v>11915</v>
      </c>
      <c r="BD522" s="6" t="s">
        <v>11835</v>
      </c>
      <c r="BE522" s="6" t="str">
        <f t="shared" si="16"/>
        <v>telenor.com.pk</v>
      </c>
      <c r="BF522" s="6" t="str">
        <f t="shared" si="17"/>
        <v>pk</v>
      </c>
      <c r="BG522" s="6" t="s">
        <v>101</v>
      </c>
      <c r="BH522" s="6" t="s">
        <v>11916</v>
      </c>
      <c r="BI522" s="6" t="s">
        <v>11917</v>
      </c>
      <c r="BJ522" s="6" t="s">
        <v>11918</v>
      </c>
      <c r="BK522" s="6" t="s">
        <v>11919</v>
      </c>
      <c r="BP522" s="6" t="s">
        <v>11920</v>
      </c>
      <c r="BQ522" s="6" t="s">
        <v>11921</v>
      </c>
      <c r="BR522" s="6" t="s">
        <v>105</v>
      </c>
    </row>
    <row r="523" spans="1:70" ht="45" customHeight="1" x14ac:dyDescent="0.25">
      <c r="A523" s="6">
        <v>523</v>
      </c>
      <c r="B523" s="7" t="s">
        <v>11922</v>
      </c>
      <c r="C523" s="8" t="s">
        <v>11808</v>
      </c>
      <c r="D523" s="6" t="s">
        <v>11923</v>
      </c>
      <c r="E523" s="8" t="s">
        <v>11922</v>
      </c>
      <c r="F523" s="8" t="s">
        <v>11809</v>
      </c>
      <c r="G523" s="6" t="s">
        <v>315</v>
      </c>
      <c r="H523" s="6" t="s">
        <v>316</v>
      </c>
      <c r="J523" s="6" t="s">
        <v>316</v>
      </c>
      <c r="L523" s="8" t="s">
        <v>6752</v>
      </c>
      <c r="N523" s="6">
        <v>1.2989123</v>
      </c>
      <c r="O523" s="6">
        <v>103.859319</v>
      </c>
      <c r="P523" s="6" t="s">
        <v>11810</v>
      </c>
      <c r="Q523" s="6">
        <v>1</v>
      </c>
      <c r="R523" s="6" t="s">
        <v>79</v>
      </c>
      <c r="S523" s="6">
        <v>1998</v>
      </c>
      <c r="T523" s="6"/>
      <c r="X523" s="6" t="s">
        <v>11924</v>
      </c>
      <c r="Y523" s="6" t="s">
        <v>11925</v>
      </c>
      <c r="Z523" s="6" t="s">
        <v>11811</v>
      </c>
      <c r="AA523" s="6" t="s">
        <v>11926</v>
      </c>
      <c r="AB523" s="6" t="s">
        <v>11927</v>
      </c>
      <c r="AC523" s="6">
        <v>517121</v>
      </c>
      <c r="AD523" s="10" t="str">
        <f>_xlfn.XLOOKUP(AC523,[1]Mapping!B:B,[1]Mapping!C:C,"")</f>
        <v>Telecommunications Resellers</v>
      </c>
      <c r="AG523" s="6" t="s">
        <v>89</v>
      </c>
      <c r="AH523" s="6" t="s">
        <v>86</v>
      </c>
      <c r="AI523" s="6" t="s">
        <v>87</v>
      </c>
      <c r="AJ523" s="6" t="s">
        <v>86</v>
      </c>
      <c r="AK523" s="6" t="s">
        <v>88</v>
      </c>
      <c r="AL523" s="6" t="s">
        <v>89</v>
      </c>
      <c r="AM523" s="6" t="s">
        <v>90</v>
      </c>
      <c r="AN523" s="6" t="s">
        <v>91</v>
      </c>
      <c r="AO523" s="6" t="s">
        <v>92</v>
      </c>
      <c r="AQ523" s="6" t="s">
        <v>93</v>
      </c>
      <c r="AR523" s="6" t="s">
        <v>94</v>
      </c>
      <c r="AT523" s="6">
        <v>6190</v>
      </c>
      <c r="AU523" s="6" t="s">
        <v>96</v>
      </c>
      <c r="AV523" s="6">
        <v>61.9</v>
      </c>
      <c r="AW523" s="6" t="s">
        <v>96</v>
      </c>
      <c r="AY523" s="6" t="s">
        <v>11928</v>
      </c>
      <c r="BA523" s="6" t="s">
        <v>11820</v>
      </c>
      <c r="BD523" s="6" t="s">
        <v>11929</v>
      </c>
      <c r="BE523" s="6" t="str">
        <f t="shared" si="16"/>
        <v>telenorasia.com</v>
      </c>
      <c r="BF523" s="6" t="str">
        <f t="shared" si="17"/>
        <v>com</v>
      </c>
      <c r="BG523" s="6" t="s">
        <v>101</v>
      </c>
      <c r="BH523" s="6" t="s">
        <v>11930</v>
      </c>
      <c r="BK523" s="6" t="s">
        <v>11931</v>
      </c>
      <c r="BQ523" s="6" t="s">
        <v>11824</v>
      </c>
      <c r="BR523" s="6" t="s">
        <v>105</v>
      </c>
    </row>
    <row r="524" spans="1:70" ht="45" customHeight="1" x14ac:dyDescent="0.25">
      <c r="A524" s="6">
        <v>524</v>
      </c>
      <c r="B524" s="7" t="s">
        <v>11932</v>
      </c>
      <c r="C524" s="8" t="s">
        <v>11933</v>
      </c>
      <c r="D524" s="6" t="s">
        <v>11934</v>
      </c>
      <c r="E524" s="8" t="s">
        <v>11932</v>
      </c>
      <c r="F524" s="8" t="s">
        <v>11935</v>
      </c>
      <c r="G524" s="6" t="s">
        <v>130</v>
      </c>
      <c r="H524" s="6" t="s">
        <v>131</v>
      </c>
      <c r="I524" s="8" t="s">
        <v>2572</v>
      </c>
      <c r="J524" s="6" t="s">
        <v>4300</v>
      </c>
      <c r="K524" s="9">
        <v>1360</v>
      </c>
      <c r="L524" s="8" t="s">
        <v>4301</v>
      </c>
      <c r="M524" s="9" t="s">
        <v>11936</v>
      </c>
      <c r="N524" s="6">
        <v>59.900475999999998</v>
      </c>
      <c r="O524" s="6">
        <v>10.6282874</v>
      </c>
      <c r="P524" s="6" t="s">
        <v>11937</v>
      </c>
      <c r="Q524" s="6">
        <v>1</v>
      </c>
      <c r="R524" s="6" t="s">
        <v>79</v>
      </c>
      <c r="T524" s="6"/>
      <c r="X524" s="6" t="s">
        <v>11769</v>
      </c>
      <c r="Y524" s="6" t="s">
        <v>11938</v>
      </c>
      <c r="Z524" s="6" t="s">
        <v>11939</v>
      </c>
      <c r="AA524" s="6" t="s">
        <v>11940</v>
      </c>
      <c r="AC524" s="6">
        <v>561920</v>
      </c>
      <c r="AD524" s="10" t="str">
        <f>_xlfn.XLOOKUP(AC524,[1]Mapping!B:B,[1]Mapping!C:C,"")</f>
        <v>Convention and Trade Show Organizers</v>
      </c>
      <c r="AG524" s="6" t="s">
        <v>11941</v>
      </c>
      <c r="AH524" s="6" t="s">
        <v>3609</v>
      </c>
      <c r="AI524" s="6" t="s">
        <v>3610</v>
      </c>
      <c r="AJ524" s="6" t="s">
        <v>86</v>
      </c>
      <c r="AK524" s="6" t="s">
        <v>88</v>
      </c>
      <c r="AL524" s="6" t="s">
        <v>89</v>
      </c>
      <c r="AM524" s="6" t="s">
        <v>90</v>
      </c>
      <c r="AN524" s="6" t="s">
        <v>91</v>
      </c>
      <c r="AO524" s="6" t="s">
        <v>92</v>
      </c>
      <c r="AQ524" s="6">
        <v>7389</v>
      </c>
      <c r="AR524" s="6" t="s">
        <v>11942</v>
      </c>
      <c r="AS524" s="6" t="s">
        <v>11943</v>
      </c>
      <c r="AT524" s="6">
        <v>8230</v>
      </c>
      <c r="AU524" s="6" t="s">
        <v>11944</v>
      </c>
      <c r="AV524" s="6">
        <v>82.3</v>
      </c>
      <c r="AW524" s="6" t="s">
        <v>11945</v>
      </c>
      <c r="AX524" s="6" t="s">
        <v>11946</v>
      </c>
      <c r="AY524" s="6" t="s">
        <v>11776</v>
      </c>
      <c r="AZ524" s="6">
        <v>4781533111</v>
      </c>
      <c r="BD524" s="6" t="s">
        <v>11779</v>
      </c>
      <c r="BE524" s="6" t="str">
        <f t="shared" si="16"/>
        <v>telenor.no</v>
      </c>
      <c r="BF524" s="6" t="str">
        <f t="shared" si="17"/>
        <v>no</v>
      </c>
      <c r="BG524" s="6" t="s">
        <v>101</v>
      </c>
      <c r="BH524" s="6" t="s">
        <v>11780</v>
      </c>
      <c r="BI524" s="6" t="s">
        <v>11781</v>
      </c>
      <c r="BJ524" s="6" t="s">
        <v>11782</v>
      </c>
      <c r="BK524" s="6" t="s">
        <v>11783</v>
      </c>
      <c r="BN524" s="6" t="s">
        <v>11784</v>
      </c>
      <c r="BQ524" s="6" t="s">
        <v>11947</v>
      </c>
      <c r="BR524" s="6" t="s">
        <v>105</v>
      </c>
    </row>
    <row r="525" spans="1:70" ht="45" customHeight="1" x14ac:dyDescent="0.25">
      <c r="A525" s="6">
        <v>525</v>
      </c>
      <c r="B525" s="7" t="s">
        <v>11948</v>
      </c>
      <c r="C525" s="8" t="s">
        <v>11839</v>
      </c>
      <c r="D525" s="6" t="s">
        <v>11755</v>
      </c>
      <c r="E525" s="6" t="s">
        <v>11840</v>
      </c>
      <c r="F525" s="8" t="s">
        <v>11841</v>
      </c>
      <c r="G525" s="6" t="s">
        <v>130</v>
      </c>
      <c r="H525" s="6" t="s">
        <v>131</v>
      </c>
      <c r="I525" s="6" t="s">
        <v>2572</v>
      </c>
      <c r="J525" s="6" t="s">
        <v>4300</v>
      </c>
      <c r="K525" s="9">
        <v>1360</v>
      </c>
      <c r="L525" s="8" t="s">
        <v>4301</v>
      </c>
      <c r="M525" s="9">
        <v>30</v>
      </c>
      <c r="N525" s="6">
        <v>59.899518500000013</v>
      </c>
      <c r="O525" s="6">
        <v>10.628699900000001</v>
      </c>
      <c r="P525" s="6" t="s">
        <v>11842</v>
      </c>
      <c r="Q525" s="6">
        <v>7</v>
      </c>
      <c r="R525" s="6" t="s">
        <v>79</v>
      </c>
      <c r="S525" s="6">
        <v>2011</v>
      </c>
      <c r="T525" s="6">
        <v>139561968</v>
      </c>
      <c r="U525" s="6" t="s">
        <v>80</v>
      </c>
      <c r="V525" s="6">
        <v>230</v>
      </c>
      <c r="W525" s="6" t="s">
        <v>167</v>
      </c>
      <c r="X525" s="6" t="s">
        <v>11769</v>
      </c>
      <c r="Y525" s="6" t="s">
        <v>11949</v>
      </c>
      <c r="Z525" s="6" t="s">
        <v>11950</v>
      </c>
      <c r="AA525" s="6" t="s">
        <v>11951</v>
      </c>
      <c r="AB525" s="6" t="s">
        <v>11952</v>
      </c>
      <c r="AC525" s="6">
        <v>517121</v>
      </c>
      <c r="AD525" s="10" t="str">
        <f>_xlfn.XLOOKUP(AC525,[1]Mapping!B:B,[1]Mapping!C:C,"")</f>
        <v>Telecommunications Resellers</v>
      </c>
      <c r="AG525" s="6" t="s">
        <v>89</v>
      </c>
      <c r="AH525" s="6" t="s">
        <v>86</v>
      </c>
      <c r="AI525" s="6" t="s">
        <v>87</v>
      </c>
      <c r="AJ525" s="6" t="s">
        <v>86</v>
      </c>
      <c r="AK525" s="6" t="s">
        <v>88</v>
      </c>
      <c r="AL525" s="6" t="s">
        <v>89</v>
      </c>
      <c r="AM525" s="6" t="s">
        <v>90</v>
      </c>
      <c r="AN525" s="6" t="s">
        <v>91</v>
      </c>
      <c r="AO525" s="6" t="s">
        <v>92</v>
      </c>
      <c r="AQ525" s="6" t="s">
        <v>93</v>
      </c>
      <c r="AR525" s="6" t="s">
        <v>94</v>
      </c>
      <c r="AT525" s="6">
        <v>6190</v>
      </c>
      <c r="AU525" s="6" t="s">
        <v>96</v>
      </c>
      <c r="AV525" s="6">
        <v>61.9</v>
      </c>
      <c r="AW525" s="6" t="s">
        <v>96</v>
      </c>
      <c r="AY525" s="6" t="s">
        <v>11776</v>
      </c>
      <c r="AZ525" s="6" t="s">
        <v>11849</v>
      </c>
      <c r="BA525" s="6" t="s">
        <v>11850</v>
      </c>
      <c r="BD525" s="6" t="s">
        <v>11779</v>
      </c>
      <c r="BE525" s="6" t="str">
        <f t="shared" si="16"/>
        <v>telenor.no</v>
      </c>
      <c r="BF525" s="6" t="str">
        <f t="shared" si="17"/>
        <v>no</v>
      </c>
      <c r="BG525" s="6" t="s">
        <v>101</v>
      </c>
      <c r="BH525" s="6" t="s">
        <v>11780</v>
      </c>
      <c r="BI525" s="6" t="s">
        <v>11781</v>
      </c>
      <c r="BJ525" s="6" t="s">
        <v>11782</v>
      </c>
      <c r="BK525" s="6" t="s">
        <v>11783</v>
      </c>
      <c r="BN525" s="6" t="s">
        <v>11784</v>
      </c>
      <c r="BP525" s="6" t="s">
        <v>11851</v>
      </c>
      <c r="BQ525" s="6" t="s">
        <v>11852</v>
      </c>
      <c r="BR525" s="6" t="s">
        <v>105</v>
      </c>
    </row>
    <row r="526" spans="1:70" ht="45" customHeight="1" x14ac:dyDescent="0.25">
      <c r="A526" s="6">
        <v>526</v>
      </c>
      <c r="B526" s="7" t="s">
        <v>11953</v>
      </c>
      <c r="C526" s="8" t="s">
        <v>11954</v>
      </c>
      <c r="D526" s="6" t="s">
        <v>11955</v>
      </c>
      <c r="E526" s="8" t="s">
        <v>11953</v>
      </c>
      <c r="F526" s="8" t="s">
        <v>11956</v>
      </c>
      <c r="G526" s="6" t="s">
        <v>130</v>
      </c>
      <c r="H526" s="6" t="s">
        <v>131</v>
      </c>
      <c r="I526" s="8" t="s">
        <v>2603</v>
      </c>
      <c r="J526" s="6" t="s">
        <v>2604</v>
      </c>
      <c r="K526" s="9">
        <v>7010</v>
      </c>
      <c r="L526" s="8" t="s">
        <v>11957</v>
      </c>
      <c r="M526" s="9">
        <v>13</v>
      </c>
      <c r="N526" s="6">
        <v>63.4391958</v>
      </c>
      <c r="O526" s="6">
        <v>10.4027624</v>
      </c>
      <c r="P526" s="6" t="s">
        <v>11958</v>
      </c>
      <c r="Q526" s="6">
        <v>1</v>
      </c>
      <c r="R526" s="6" t="s">
        <v>79</v>
      </c>
      <c r="T526" s="6"/>
      <c r="X526" s="6" t="s">
        <v>11959</v>
      </c>
      <c r="Y526" s="6" t="s">
        <v>11960</v>
      </c>
      <c r="Z526" s="6" t="s">
        <v>11961</v>
      </c>
      <c r="AC526" s="6">
        <v>322220</v>
      </c>
      <c r="AD526" s="10" t="str">
        <f>_xlfn.XLOOKUP(AC526,[1]Mapping!B:B,[1]Mapping!C:C,"")</f>
        <v>Paper Bag and Coated and Treated Paper Manufacturing</v>
      </c>
      <c r="AG526" s="6" t="s">
        <v>11962</v>
      </c>
      <c r="AH526" s="6" t="s">
        <v>11963</v>
      </c>
      <c r="AI526" s="6" t="s">
        <v>466</v>
      </c>
      <c r="AJ526" s="6" t="s">
        <v>11964</v>
      </c>
      <c r="AK526" s="6" t="s">
        <v>11965</v>
      </c>
      <c r="AL526" s="6" t="s">
        <v>11966</v>
      </c>
      <c r="AM526" s="6" t="s">
        <v>11967</v>
      </c>
      <c r="AN526" s="6" t="s">
        <v>221</v>
      </c>
      <c r="AO526" s="6" t="s">
        <v>222</v>
      </c>
      <c r="AQ526" s="6" t="s">
        <v>11968</v>
      </c>
      <c r="AR526" s="6" t="s">
        <v>11969</v>
      </c>
      <c r="AT526" s="6" t="s">
        <v>11970</v>
      </c>
      <c r="AU526" s="6" t="s">
        <v>11971</v>
      </c>
      <c r="AV526" s="6" t="s">
        <v>11972</v>
      </c>
      <c r="AW526" s="6" t="s">
        <v>11973</v>
      </c>
      <c r="BA526" s="6" t="s">
        <v>11974</v>
      </c>
      <c r="BD526" s="6" t="s">
        <v>11975</v>
      </c>
      <c r="BE526" s="6" t="str">
        <f t="shared" si="16"/>
        <v>min-sky.no</v>
      </c>
      <c r="BF526" s="6" t="str">
        <f t="shared" si="17"/>
        <v>no</v>
      </c>
      <c r="BG526" s="6" t="s">
        <v>150</v>
      </c>
      <c r="BP526" s="6" t="s">
        <v>11976</v>
      </c>
      <c r="BQ526" s="6" t="s">
        <v>11977</v>
      </c>
      <c r="BR526" s="6" t="s">
        <v>105</v>
      </c>
    </row>
    <row r="527" spans="1:70" ht="45" customHeight="1" x14ac:dyDescent="0.25">
      <c r="A527" s="6">
        <v>527</v>
      </c>
      <c r="B527" s="7" t="s">
        <v>11978</v>
      </c>
      <c r="C527" s="8" t="s">
        <v>11979</v>
      </c>
      <c r="D527" s="6" t="s">
        <v>11980</v>
      </c>
      <c r="E527" s="8" t="s">
        <v>11978</v>
      </c>
      <c r="F527" s="8" t="s">
        <v>11981</v>
      </c>
      <c r="G527" s="6" t="s">
        <v>11982</v>
      </c>
      <c r="H527" s="6" t="s">
        <v>11983</v>
      </c>
      <c r="I527" s="8" t="s">
        <v>11984</v>
      </c>
      <c r="J527" s="6" t="s">
        <v>11985</v>
      </c>
      <c r="K527" s="9">
        <v>9170</v>
      </c>
      <c r="L527" s="8" t="s">
        <v>11986</v>
      </c>
      <c r="M527" s="9">
        <v>8</v>
      </c>
      <c r="N527" s="6">
        <v>78.222384599999998</v>
      </c>
      <c r="O527" s="6">
        <v>15.623180899999999</v>
      </c>
      <c r="P527" s="6" t="s">
        <v>7012</v>
      </c>
      <c r="Q527" s="6">
        <v>1</v>
      </c>
      <c r="R527" s="6" t="s">
        <v>79</v>
      </c>
      <c r="T527" s="6">
        <v>231748</v>
      </c>
      <c r="U527" s="6" t="s">
        <v>80</v>
      </c>
      <c r="V527" s="6">
        <v>1</v>
      </c>
      <c r="W527" s="6" t="s">
        <v>167</v>
      </c>
      <c r="Y527" s="6" t="s">
        <v>11987</v>
      </c>
      <c r="Z527" s="6" t="s">
        <v>11988</v>
      </c>
      <c r="AA527" s="6" t="s">
        <v>11989</v>
      </c>
      <c r="AB527" s="6" t="s">
        <v>11990</v>
      </c>
      <c r="AC527" s="6">
        <v>513110</v>
      </c>
      <c r="AD527" s="10" t="str">
        <f>_xlfn.XLOOKUP(AC527,[1]Mapping!B:B,[1]Mapping!C:C,"")</f>
        <v xml:space="preserve">Newspaper Publishers </v>
      </c>
      <c r="AG527" s="6" t="s">
        <v>3106</v>
      </c>
      <c r="AH527" s="6" t="s">
        <v>3106</v>
      </c>
      <c r="AI527" s="6" t="s">
        <v>1412</v>
      </c>
      <c r="AJ527" s="6" t="s">
        <v>2001</v>
      </c>
      <c r="AK527" s="6" t="s">
        <v>2002</v>
      </c>
      <c r="AL527" s="6" t="s">
        <v>328</v>
      </c>
      <c r="AM527" s="6" t="s">
        <v>329</v>
      </c>
      <c r="AN527" s="6" t="s">
        <v>297</v>
      </c>
      <c r="AO527" s="6" t="s">
        <v>298</v>
      </c>
      <c r="AQ527" s="6" t="s">
        <v>11991</v>
      </c>
      <c r="AR527" s="6" t="s">
        <v>11992</v>
      </c>
      <c r="AT527" s="6">
        <v>5813</v>
      </c>
      <c r="AU527" s="6" t="s">
        <v>3109</v>
      </c>
      <c r="AV527" s="6" t="s">
        <v>3110</v>
      </c>
      <c r="AW527" s="6" t="s">
        <v>3111</v>
      </c>
      <c r="AY527" s="6" t="s">
        <v>11993</v>
      </c>
      <c r="AZ527" s="6" t="s">
        <v>11994</v>
      </c>
      <c r="BA527" s="6" t="s">
        <v>11995</v>
      </c>
      <c r="BD527" s="6" t="s">
        <v>11996</v>
      </c>
      <c r="BE527" s="6" t="str">
        <f t="shared" si="16"/>
        <v>go-svalbard.no</v>
      </c>
      <c r="BF527" s="6" t="str">
        <f t="shared" si="17"/>
        <v>no</v>
      </c>
      <c r="BG527" s="6" t="s">
        <v>150</v>
      </c>
      <c r="BK527" s="6" t="s">
        <v>11997</v>
      </c>
      <c r="BQ527" s="6" t="s">
        <v>11998</v>
      </c>
      <c r="BR527" s="6" t="s">
        <v>105</v>
      </c>
    </row>
    <row r="528" spans="1:70" ht="45" customHeight="1" x14ac:dyDescent="0.25">
      <c r="A528" s="6">
        <v>528</v>
      </c>
      <c r="B528" s="7" t="s">
        <v>11999</v>
      </c>
      <c r="C528" s="8" t="s">
        <v>12000</v>
      </c>
      <c r="D528" s="6" t="s">
        <v>12001</v>
      </c>
      <c r="E528" s="8" t="s">
        <v>12002</v>
      </c>
      <c r="F528" s="8" t="s">
        <v>12002</v>
      </c>
      <c r="G528" s="6" t="s">
        <v>73</v>
      </c>
      <c r="H528" s="6" t="s">
        <v>74</v>
      </c>
      <c r="I528" s="6"/>
      <c r="J528" s="6" t="s">
        <v>388</v>
      </c>
      <c r="K528" s="9">
        <v>5250</v>
      </c>
      <c r="L528" s="8" t="s">
        <v>12003</v>
      </c>
      <c r="M528" s="9" t="s">
        <v>12004</v>
      </c>
      <c r="N528" s="6">
        <v>55.360329499999999</v>
      </c>
      <c r="O528" s="6">
        <v>10.3267449</v>
      </c>
      <c r="P528" s="6" t="s">
        <v>12005</v>
      </c>
      <c r="Q528" s="6">
        <v>1</v>
      </c>
      <c r="R528" s="6" t="s">
        <v>79</v>
      </c>
      <c r="T528" s="6">
        <v>47068976</v>
      </c>
      <c r="U528" s="6" t="s">
        <v>80</v>
      </c>
      <c r="V528" s="6">
        <v>75</v>
      </c>
      <c r="W528" s="6" t="s">
        <v>80</v>
      </c>
      <c r="X528" s="6" t="s">
        <v>12006</v>
      </c>
      <c r="Y528" s="6" t="s">
        <v>12007</v>
      </c>
      <c r="Z528" s="6" t="s">
        <v>12008</v>
      </c>
      <c r="AA528" s="6" t="s">
        <v>12009</v>
      </c>
      <c r="AC528" s="6">
        <v>517810</v>
      </c>
      <c r="AD528" s="10" t="str">
        <f>_xlfn.XLOOKUP(AC528,[1]Mapping!B:B,[1]Mapping!C:C,"")</f>
        <v xml:space="preserve">All Other Telecommunications </v>
      </c>
      <c r="AE528" s="6">
        <v>237130</v>
      </c>
      <c r="AF528" s="6" t="s">
        <v>1846</v>
      </c>
      <c r="AG528" s="6" t="s">
        <v>89</v>
      </c>
      <c r="AH528" s="6" t="s">
        <v>86</v>
      </c>
      <c r="AI528" s="6" t="s">
        <v>87</v>
      </c>
      <c r="AJ528" s="6" t="s">
        <v>86</v>
      </c>
      <c r="AK528" s="6" t="s">
        <v>88</v>
      </c>
      <c r="AL528" s="6" t="s">
        <v>89</v>
      </c>
      <c r="AM528" s="6" t="s">
        <v>90</v>
      </c>
      <c r="AN528" s="6" t="s">
        <v>91</v>
      </c>
      <c r="AO528" s="6" t="s">
        <v>92</v>
      </c>
      <c r="AQ528" s="6" t="s">
        <v>1384</v>
      </c>
      <c r="AR528" s="6" t="s">
        <v>1385</v>
      </c>
      <c r="AS528" s="6" t="s">
        <v>12010</v>
      </c>
      <c r="AT528" s="6">
        <v>6190</v>
      </c>
      <c r="AU528" s="6" t="s">
        <v>96</v>
      </c>
      <c r="AV528" s="6">
        <v>61.9</v>
      </c>
      <c r="AW528" s="6" t="s">
        <v>96</v>
      </c>
      <c r="AX528" s="6" t="s">
        <v>12011</v>
      </c>
      <c r="AY528" s="6" t="s">
        <v>12012</v>
      </c>
      <c r="AZ528" s="6" t="s">
        <v>12013</v>
      </c>
      <c r="BA528" s="6" t="s">
        <v>12014</v>
      </c>
      <c r="BB528" s="6" t="s">
        <v>12015</v>
      </c>
      <c r="BC528" s="6" t="s">
        <v>12016</v>
      </c>
      <c r="BD528" s="6" t="s">
        <v>12017</v>
      </c>
      <c r="BE528" s="6" t="str">
        <f t="shared" si="16"/>
        <v>teleteamet.dk</v>
      </c>
      <c r="BF528" s="6" t="str">
        <f t="shared" si="17"/>
        <v>dk</v>
      </c>
      <c r="BG528" s="6" t="s">
        <v>123</v>
      </c>
      <c r="BJ528" s="6" t="s">
        <v>12018</v>
      </c>
      <c r="BP528" s="6" t="s">
        <v>12019</v>
      </c>
      <c r="BQ528" s="6" t="s">
        <v>12020</v>
      </c>
      <c r="BR528" s="6" t="s">
        <v>105</v>
      </c>
    </row>
    <row r="529" spans="1:70" ht="45" customHeight="1" x14ac:dyDescent="0.25">
      <c r="A529" s="6">
        <v>529</v>
      </c>
      <c r="B529" s="7" t="s">
        <v>12021</v>
      </c>
      <c r="C529" s="8" t="s">
        <v>12022</v>
      </c>
      <c r="D529" s="6" t="s">
        <v>12023</v>
      </c>
      <c r="E529" s="6" t="s">
        <v>12024</v>
      </c>
      <c r="F529" s="8" t="s">
        <v>12025</v>
      </c>
      <c r="G529" s="6" t="s">
        <v>612</v>
      </c>
      <c r="H529" s="6" t="s">
        <v>613</v>
      </c>
      <c r="I529" s="6" t="s">
        <v>614</v>
      </c>
      <c r="J529" s="6" t="s">
        <v>12026</v>
      </c>
      <c r="K529" s="9">
        <v>40160</v>
      </c>
      <c r="L529" s="8" t="s">
        <v>12027</v>
      </c>
      <c r="M529" s="9">
        <v>1</v>
      </c>
      <c r="N529" s="6">
        <v>3.2092472999999999</v>
      </c>
      <c r="O529" s="6">
        <v>101.5711883</v>
      </c>
      <c r="P529" s="6" t="s">
        <v>12028</v>
      </c>
      <c r="Q529" s="6">
        <v>2</v>
      </c>
      <c r="R529" s="6" t="s">
        <v>79</v>
      </c>
      <c r="S529" s="6">
        <v>2005</v>
      </c>
      <c r="T529" s="6"/>
      <c r="X529" s="6" t="s">
        <v>12029</v>
      </c>
      <c r="Y529" s="6" t="s">
        <v>12030</v>
      </c>
      <c r="Z529" s="6" t="s">
        <v>12031</v>
      </c>
      <c r="AA529" s="6" t="s">
        <v>12032</v>
      </c>
      <c r="AC529" s="6">
        <v>517810</v>
      </c>
      <c r="AD529" s="10" t="str">
        <f>_xlfn.XLOOKUP(AC529,[1]Mapping!B:B,[1]Mapping!C:C,"")</f>
        <v xml:space="preserve">All Other Telecommunications </v>
      </c>
      <c r="AG529" s="6" t="s">
        <v>89</v>
      </c>
      <c r="AH529" s="6" t="s">
        <v>86</v>
      </c>
      <c r="AI529" s="6" t="s">
        <v>87</v>
      </c>
      <c r="AQ529" s="6" t="s">
        <v>1384</v>
      </c>
      <c r="AR529" s="6" t="s">
        <v>1385</v>
      </c>
      <c r="AT529" s="6">
        <v>6190</v>
      </c>
      <c r="AU529" s="6" t="s">
        <v>96</v>
      </c>
      <c r="AV529" s="6">
        <v>61.9</v>
      </c>
      <c r="AW529" s="6" t="s">
        <v>96</v>
      </c>
      <c r="AY529" s="6" t="s">
        <v>12033</v>
      </c>
      <c r="AZ529" s="6">
        <v>60361480728</v>
      </c>
      <c r="BA529" s="6" t="s">
        <v>12034</v>
      </c>
      <c r="BB529" s="6" t="s">
        <v>12034</v>
      </c>
      <c r="BD529" s="6" t="s">
        <v>12035</v>
      </c>
      <c r="BE529" s="6" t="str">
        <f t="shared" si="16"/>
        <v>telititeknik.com.my</v>
      </c>
      <c r="BF529" s="6" t="str">
        <f t="shared" si="17"/>
        <v>my</v>
      </c>
      <c r="BG529" s="6" t="s">
        <v>101</v>
      </c>
      <c r="BK529" s="6" t="s">
        <v>12036</v>
      </c>
      <c r="BQ529" s="6" t="s">
        <v>12037</v>
      </c>
      <c r="BR529" s="6" t="s">
        <v>105</v>
      </c>
    </row>
    <row r="530" spans="1:70" ht="45" customHeight="1" x14ac:dyDescent="0.25">
      <c r="A530" s="6">
        <v>530</v>
      </c>
      <c r="B530" s="7" t="s">
        <v>12038</v>
      </c>
      <c r="C530" s="8" t="s">
        <v>12039</v>
      </c>
      <c r="D530" s="6" t="s">
        <v>12038</v>
      </c>
      <c r="E530" s="6" t="s">
        <v>12040</v>
      </c>
      <c r="F530" s="8" t="s">
        <v>12041</v>
      </c>
      <c r="G530" s="6" t="s">
        <v>73</v>
      </c>
      <c r="H530" s="6" t="s">
        <v>74</v>
      </c>
      <c r="I530" s="6"/>
      <c r="J530" s="6" t="s">
        <v>12042</v>
      </c>
      <c r="K530" s="9">
        <v>2765</v>
      </c>
      <c r="L530" s="8" t="s">
        <v>12043</v>
      </c>
      <c r="M530" s="9">
        <v>1</v>
      </c>
      <c r="N530" s="6">
        <v>55.750371100000002</v>
      </c>
      <c r="O530" s="6">
        <v>12.2997952</v>
      </c>
      <c r="P530" s="6" t="s">
        <v>12044</v>
      </c>
      <c r="Q530" s="6">
        <v>12</v>
      </c>
      <c r="R530" s="6" t="s">
        <v>79</v>
      </c>
      <c r="S530" s="6">
        <v>1958</v>
      </c>
      <c r="T530" s="6">
        <v>14575085</v>
      </c>
      <c r="U530" s="6" t="s">
        <v>80</v>
      </c>
      <c r="V530" s="6">
        <v>150</v>
      </c>
      <c r="W530" s="6" t="s">
        <v>80</v>
      </c>
      <c r="X530" s="6" t="s">
        <v>12045</v>
      </c>
      <c r="Y530" s="6" t="s">
        <v>12046</v>
      </c>
      <c r="Z530" s="6" t="s">
        <v>12047</v>
      </c>
      <c r="AA530" s="6" t="s">
        <v>12048</v>
      </c>
      <c r="AB530" s="6" t="s">
        <v>12049</v>
      </c>
      <c r="AC530" s="6">
        <v>812331</v>
      </c>
      <c r="AD530" s="10" t="str">
        <f>_xlfn.XLOOKUP(AC530,[1]Mapping!B:B,[1]Mapping!C:C,"")</f>
        <v xml:space="preserve">Linen Supply </v>
      </c>
      <c r="AG530" s="6" t="s">
        <v>12050</v>
      </c>
      <c r="AH530" s="6" t="s">
        <v>6549</v>
      </c>
      <c r="AI530" s="6" t="s">
        <v>141</v>
      </c>
      <c r="AJ530" s="6" t="s">
        <v>1467</v>
      </c>
      <c r="AK530" s="6" t="s">
        <v>1468</v>
      </c>
      <c r="AL530" s="6" t="s">
        <v>1469</v>
      </c>
      <c r="AM530" s="6" t="s">
        <v>1470</v>
      </c>
      <c r="AN530" s="6" t="s">
        <v>259</v>
      </c>
      <c r="AO530" s="6" t="s">
        <v>260</v>
      </c>
      <c r="AQ530" s="6" t="s">
        <v>12051</v>
      </c>
      <c r="AR530" s="6" t="s">
        <v>12052</v>
      </c>
      <c r="AT530" s="6">
        <v>9601</v>
      </c>
      <c r="AU530" s="6" t="s">
        <v>12053</v>
      </c>
      <c r="AV530" s="6">
        <v>96.01</v>
      </c>
      <c r="AW530" s="6" t="s">
        <v>12054</v>
      </c>
      <c r="AY530" s="6" t="s">
        <v>12055</v>
      </c>
      <c r="AZ530" s="6" t="s">
        <v>12056</v>
      </c>
      <c r="BA530" s="6" t="s">
        <v>12057</v>
      </c>
      <c r="BB530" s="6" t="s">
        <v>12058</v>
      </c>
      <c r="BC530" s="6" t="s">
        <v>12059</v>
      </c>
      <c r="BD530" s="6" t="s">
        <v>12060</v>
      </c>
      <c r="BE530" s="6" t="str">
        <f t="shared" si="16"/>
        <v>textilia.dk</v>
      </c>
      <c r="BF530" s="6" t="str">
        <f t="shared" si="17"/>
        <v>dk</v>
      </c>
      <c r="BG530" s="6" t="s">
        <v>123</v>
      </c>
      <c r="BH530" s="6" t="s">
        <v>12061</v>
      </c>
      <c r="BJ530" s="6" t="s">
        <v>12062</v>
      </c>
      <c r="BK530" s="6" t="s">
        <v>12063</v>
      </c>
      <c r="BN530" s="6" t="s">
        <v>12064</v>
      </c>
      <c r="BP530" s="6" t="s">
        <v>12065</v>
      </c>
      <c r="BQ530" s="6" t="s">
        <v>12066</v>
      </c>
      <c r="BR530" s="6" t="s">
        <v>105</v>
      </c>
    </row>
    <row r="531" spans="1:70" ht="45" customHeight="1" x14ac:dyDescent="0.25">
      <c r="A531" s="6">
        <v>531</v>
      </c>
      <c r="B531" s="7" t="s">
        <v>12067</v>
      </c>
      <c r="C531" s="8" t="s">
        <v>12068</v>
      </c>
      <c r="D531" s="6" t="s">
        <v>12069</v>
      </c>
      <c r="E531" s="8" t="s">
        <v>12067</v>
      </c>
      <c r="F531" s="8" t="s">
        <v>12070</v>
      </c>
      <c r="G531" s="6" t="s">
        <v>1324</v>
      </c>
      <c r="H531" s="6" t="s">
        <v>1325</v>
      </c>
      <c r="I531" s="8" t="s">
        <v>1326</v>
      </c>
      <c r="J531" s="6" t="s">
        <v>1327</v>
      </c>
      <c r="K531" s="9">
        <v>10400</v>
      </c>
      <c r="L531" s="8" t="s">
        <v>8563</v>
      </c>
      <c r="M531" s="9">
        <v>123</v>
      </c>
      <c r="N531" s="6">
        <v>13.767807299999999</v>
      </c>
      <c r="O531" s="6">
        <v>100.5700382</v>
      </c>
      <c r="P531" s="6" t="s">
        <v>12071</v>
      </c>
      <c r="Q531" s="6">
        <v>28</v>
      </c>
      <c r="R531" s="6" t="s">
        <v>79</v>
      </c>
      <c r="S531" s="6">
        <v>1942</v>
      </c>
      <c r="T531" s="6">
        <v>2000000000</v>
      </c>
      <c r="U531" s="6" t="s">
        <v>167</v>
      </c>
      <c r="V531" s="6">
        <v>45000</v>
      </c>
      <c r="W531" s="6" t="s">
        <v>167</v>
      </c>
      <c r="X531" s="6" t="s">
        <v>12072</v>
      </c>
      <c r="Y531" s="6" t="s">
        <v>12073</v>
      </c>
      <c r="Z531" s="6" t="s">
        <v>12074</v>
      </c>
      <c r="AA531" s="6" t="s">
        <v>12075</v>
      </c>
      <c r="AB531" s="6" t="s">
        <v>2585</v>
      </c>
      <c r="AC531" s="6">
        <v>524113</v>
      </c>
      <c r="AD531" s="10" t="str">
        <f>_xlfn.XLOOKUP(AC531,[1]Mapping!B:B,[1]Mapping!C:C,"")</f>
        <v xml:space="preserve">Direct Life Insurance Carriers </v>
      </c>
      <c r="AE531" s="6">
        <v>524128</v>
      </c>
      <c r="AF531" s="6" t="s">
        <v>12076</v>
      </c>
      <c r="AG531" s="6" t="s">
        <v>760</v>
      </c>
      <c r="AH531" s="6" t="s">
        <v>761</v>
      </c>
      <c r="AI531" s="6" t="s">
        <v>119</v>
      </c>
      <c r="AJ531" s="6" t="s">
        <v>761</v>
      </c>
      <c r="AK531" s="6" t="s">
        <v>762</v>
      </c>
      <c r="AL531" s="6" t="s">
        <v>761</v>
      </c>
      <c r="AM531" s="6" t="s">
        <v>763</v>
      </c>
      <c r="AN531" s="6" t="s">
        <v>764</v>
      </c>
      <c r="AO531" s="6" t="s">
        <v>765</v>
      </c>
      <c r="AQ531" s="6" t="s">
        <v>766</v>
      </c>
      <c r="AR531" s="6" t="s">
        <v>767</v>
      </c>
      <c r="AS531" s="6" t="s">
        <v>12077</v>
      </c>
      <c r="AT531" s="6">
        <v>6511</v>
      </c>
      <c r="AU531" s="6" t="s">
        <v>769</v>
      </c>
      <c r="AV531" s="6">
        <v>65.11</v>
      </c>
      <c r="AW531" s="6" t="s">
        <v>769</v>
      </c>
      <c r="AX531" s="6" t="s">
        <v>12078</v>
      </c>
      <c r="AY531" s="6" t="s">
        <v>12079</v>
      </c>
      <c r="AZ531" s="6" t="s">
        <v>12080</v>
      </c>
      <c r="BA531" s="6" t="s">
        <v>12081</v>
      </c>
      <c r="BB531" s="6" t="s">
        <v>12082</v>
      </c>
      <c r="BC531" s="6" t="s">
        <v>12083</v>
      </c>
      <c r="BD531" s="6" t="s">
        <v>12084</v>
      </c>
      <c r="BE531" s="6" t="str">
        <f t="shared" si="16"/>
        <v>thailife.com</v>
      </c>
      <c r="BF531" s="6" t="str">
        <f t="shared" si="17"/>
        <v>com</v>
      </c>
      <c r="BG531" s="6" t="s">
        <v>1851</v>
      </c>
      <c r="BH531" s="6" t="s">
        <v>12085</v>
      </c>
      <c r="BI531" s="6" t="s">
        <v>12086</v>
      </c>
      <c r="BJ531" s="6" t="s">
        <v>12087</v>
      </c>
      <c r="BK531" s="6" t="s">
        <v>12088</v>
      </c>
      <c r="BL531" s="6" t="s">
        <v>12089</v>
      </c>
      <c r="BM531" s="6" t="s">
        <v>12090</v>
      </c>
      <c r="BN531" s="6" t="s">
        <v>12091</v>
      </c>
      <c r="BP531" s="6" t="s">
        <v>12092</v>
      </c>
      <c r="BQ531" s="6" t="s">
        <v>12093</v>
      </c>
      <c r="BR531" s="6" t="s">
        <v>105</v>
      </c>
    </row>
    <row r="532" spans="1:70" ht="45" customHeight="1" x14ac:dyDescent="0.25">
      <c r="A532" s="6">
        <v>532</v>
      </c>
      <c r="B532" s="7" t="s">
        <v>12094</v>
      </c>
      <c r="C532" s="8" t="s">
        <v>12095</v>
      </c>
      <c r="D532" s="6" t="s">
        <v>12096</v>
      </c>
      <c r="E532" s="6" t="s">
        <v>1013</v>
      </c>
      <c r="F532" s="8" t="s">
        <v>12097</v>
      </c>
      <c r="G532" s="6" t="s">
        <v>73</v>
      </c>
      <c r="H532" s="6" t="s">
        <v>74</v>
      </c>
      <c r="I532" s="6"/>
      <c r="J532" s="6" t="s">
        <v>1494</v>
      </c>
      <c r="K532" s="9">
        <v>2750</v>
      </c>
      <c r="L532" s="8" t="s">
        <v>12098</v>
      </c>
      <c r="M532" s="9">
        <v>5</v>
      </c>
      <c r="N532" s="6">
        <v>55.730042900000001</v>
      </c>
      <c r="O532" s="6">
        <v>12.3520939</v>
      </c>
      <c r="P532" s="6" t="s">
        <v>12099</v>
      </c>
      <c r="Q532" s="6">
        <v>1</v>
      </c>
      <c r="R532" s="6" t="s">
        <v>79</v>
      </c>
      <c r="S532" s="6">
        <v>1993</v>
      </c>
      <c r="V532" s="6">
        <v>27</v>
      </c>
      <c r="W532" s="6" t="s">
        <v>80</v>
      </c>
      <c r="X532" s="6" t="s">
        <v>12100</v>
      </c>
      <c r="Y532" s="6" t="s">
        <v>12101</v>
      </c>
      <c r="Z532" s="6" t="s">
        <v>12102</v>
      </c>
      <c r="AA532" s="6" t="s">
        <v>12103</v>
      </c>
      <c r="AB532" s="6" t="s">
        <v>12104</v>
      </c>
      <c r="AC532" s="10">
        <f>_xlfn.XLOOKUP(AH532,[1]Mapping!C:C,[1]Mapping!B:B,"",1)</f>
        <v>532</v>
      </c>
      <c r="AD532" s="10" t="str">
        <f>_xlfn.XLOOKUP(AC532,[1]Mapping!B:B,[1]Mapping!C:C,"")</f>
        <v xml:space="preserve">Rental and Leasing ServicesT </v>
      </c>
      <c r="AG532" s="6" t="s">
        <v>12105</v>
      </c>
      <c r="AH532" s="6" t="s">
        <v>5567</v>
      </c>
      <c r="AI532" s="6" t="s">
        <v>3762</v>
      </c>
      <c r="AJ532" s="6" t="s">
        <v>217</v>
      </c>
      <c r="AK532" s="6" t="s">
        <v>218</v>
      </c>
      <c r="AL532" s="6" t="s">
        <v>219</v>
      </c>
      <c r="AM532" s="6" t="s">
        <v>220</v>
      </c>
      <c r="AN532" s="6" t="s">
        <v>221</v>
      </c>
      <c r="AO532" s="6" t="s">
        <v>222</v>
      </c>
      <c r="AY532" s="6" t="s">
        <v>12106</v>
      </c>
      <c r="AZ532" s="6" t="s">
        <v>12107</v>
      </c>
      <c r="BA532" s="6" t="s">
        <v>12108</v>
      </c>
      <c r="BB532" s="6" t="s">
        <v>12109</v>
      </c>
      <c r="BD532" s="11" t="s">
        <v>12110</v>
      </c>
      <c r="BE532" s="6" t="str">
        <f t="shared" si="16"/>
        <v>tec.dk</v>
      </c>
      <c r="BF532" s="6" t="str">
        <f t="shared" si="17"/>
        <v>dk</v>
      </c>
      <c r="BG532" s="6" t="s">
        <v>337</v>
      </c>
      <c r="BH532" s="6" t="s">
        <v>12111</v>
      </c>
      <c r="BJ532" s="6" t="s">
        <v>12112</v>
      </c>
      <c r="BK532" s="6" t="s">
        <v>12113</v>
      </c>
      <c r="BN532" s="6" t="s">
        <v>12114</v>
      </c>
      <c r="BP532" s="6" t="s">
        <v>12115</v>
      </c>
      <c r="BQ532" s="6" t="s">
        <v>12116</v>
      </c>
      <c r="BR532" s="6" t="s">
        <v>105</v>
      </c>
    </row>
    <row r="533" spans="1:70" ht="45" customHeight="1" x14ac:dyDescent="0.25">
      <c r="A533" s="6">
        <v>533</v>
      </c>
      <c r="B533" s="7" t="s">
        <v>12117</v>
      </c>
      <c r="C533" s="8" t="s">
        <v>12118</v>
      </c>
      <c r="D533" s="6" t="s">
        <v>1040</v>
      </c>
      <c r="E533" s="6" t="s">
        <v>1040</v>
      </c>
      <c r="F533" s="8" t="s">
        <v>1040</v>
      </c>
      <c r="G533" s="6" t="s">
        <v>130</v>
      </c>
      <c r="H533" s="6" t="s">
        <v>131</v>
      </c>
      <c r="I533" s="6" t="s">
        <v>132</v>
      </c>
      <c r="J533" s="6" t="s">
        <v>132</v>
      </c>
      <c r="K533" s="9">
        <v>377</v>
      </c>
      <c r="L533" s="8" t="s">
        <v>12119</v>
      </c>
      <c r="M533" s="9" t="s">
        <v>12120</v>
      </c>
      <c r="N533" s="6">
        <v>59.933942199999997</v>
      </c>
      <c r="O533" s="6">
        <v>10.6761789</v>
      </c>
      <c r="P533" s="6" t="s">
        <v>12121</v>
      </c>
      <c r="Q533" s="6">
        <v>1</v>
      </c>
      <c r="R533" s="6" t="s">
        <v>79</v>
      </c>
      <c r="S533" s="6">
        <v>2006</v>
      </c>
      <c r="T533" s="12">
        <v>2972000000</v>
      </c>
      <c r="V533" s="6">
        <v>15000</v>
      </c>
      <c r="X533" s="6" t="s">
        <v>12122</v>
      </c>
      <c r="Y533" s="6" t="s">
        <v>12123</v>
      </c>
      <c r="AC533" s="10">
        <f>_xlfn.XLOOKUP(AH533,[1]Mapping!C:C,[1]Mapping!B:B,"",1)</f>
        <v>212311</v>
      </c>
      <c r="AD533" s="10" t="s">
        <v>12124</v>
      </c>
      <c r="AE533" s="6">
        <v>334613</v>
      </c>
      <c r="AF533" s="6" t="s">
        <v>12125</v>
      </c>
      <c r="AG533" s="6" t="s">
        <v>176</v>
      </c>
      <c r="AH533" s="6" t="s">
        <v>12126</v>
      </c>
      <c r="AI533" s="6" t="s">
        <v>1290</v>
      </c>
      <c r="AJ533" s="6" t="s">
        <v>12127</v>
      </c>
      <c r="AK533" s="6">
        <v>3674</v>
      </c>
      <c r="AL533" s="6" t="s">
        <v>12127</v>
      </c>
      <c r="AM533" s="6">
        <v>3600</v>
      </c>
      <c r="AN533" s="6" t="s">
        <v>176</v>
      </c>
      <c r="AO533" s="6">
        <v>4500</v>
      </c>
      <c r="AQ533" s="6">
        <v>3577</v>
      </c>
      <c r="AR533" s="6" t="s">
        <v>12128</v>
      </c>
      <c r="AT533" s="6">
        <v>2680</v>
      </c>
      <c r="AU533" s="6" t="s">
        <v>12129</v>
      </c>
      <c r="AV533" s="6">
        <v>26.8</v>
      </c>
      <c r="AW533" s="6" t="s">
        <v>12130</v>
      </c>
      <c r="AX533" s="6">
        <v>2600</v>
      </c>
      <c r="AY533" s="6" t="s">
        <v>12131</v>
      </c>
      <c r="AZ533" s="6">
        <v>4722417770</v>
      </c>
      <c r="BD533" s="6" t="s">
        <v>12132</v>
      </c>
      <c r="BE533" s="6" t="str">
        <f t="shared" si="16"/>
        <v>youtube.com</v>
      </c>
      <c r="BF533" s="6" t="str">
        <f t="shared" si="17"/>
        <v>com</v>
      </c>
      <c r="BG533" s="6" t="s">
        <v>101</v>
      </c>
      <c r="BN533" s="6" t="s">
        <v>12133</v>
      </c>
      <c r="BQ533" s="6" t="s">
        <v>12134</v>
      </c>
      <c r="BR533" s="6" t="s">
        <v>105</v>
      </c>
    </row>
    <row r="534" spans="1:70" ht="45" customHeight="1" x14ac:dyDescent="0.25">
      <c r="A534" s="6">
        <v>534</v>
      </c>
      <c r="B534" s="7" t="s">
        <v>12135</v>
      </c>
      <c r="C534" s="8" t="s">
        <v>12136</v>
      </c>
      <c r="D534" s="6" t="s">
        <v>12137</v>
      </c>
      <c r="E534" s="8" t="s">
        <v>12135</v>
      </c>
      <c r="F534" s="8" t="s">
        <v>12138</v>
      </c>
      <c r="G534" s="6" t="s">
        <v>160</v>
      </c>
      <c r="H534" s="6" t="s">
        <v>161</v>
      </c>
      <c r="I534" s="8" t="s">
        <v>281</v>
      </c>
      <c r="J534" s="6" t="s">
        <v>12139</v>
      </c>
      <c r="K534" s="9" t="s">
        <v>12140</v>
      </c>
      <c r="L534" s="8" t="s">
        <v>12141</v>
      </c>
      <c r="M534" s="9">
        <v>12</v>
      </c>
      <c r="N534" s="6">
        <v>59.280662199999988</v>
      </c>
      <c r="O534" s="6">
        <v>18.0028389</v>
      </c>
      <c r="P534" s="6" t="s">
        <v>12142</v>
      </c>
      <c r="Q534" s="6">
        <v>1</v>
      </c>
      <c r="R534" s="6" t="s">
        <v>79</v>
      </c>
      <c r="T534" s="6">
        <v>605797</v>
      </c>
      <c r="U534" s="6" t="s">
        <v>80</v>
      </c>
      <c r="V534" s="6">
        <v>4</v>
      </c>
      <c r="W534" s="6" t="s">
        <v>80</v>
      </c>
      <c r="Y534" s="6" t="s">
        <v>12143</v>
      </c>
      <c r="Z534" s="6" t="s">
        <v>12144</v>
      </c>
      <c r="AC534" s="6">
        <v>512191</v>
      </c>
      <c r="AD534" s="10" t="str">
        <f>_xlfn.XLOOKUP(AC534,[1]Mapping!B:B,[1]Mapping!C:C,"")</f>
        <v xml:space="preserve">Teleproduction and Other Postproduction Services </v>
      </c>
      <c r="AG534" s="6" t="s">
        <v>12145</v>
      </c>
      <c r="AH534" s="6" t="s">
        <v>1411</v>
      </c>
      <c r="AI534" s="6" t="s">
        <v>1412</v>
      </c>
      <c r="AJ534" s="6" t="s">
        <v>2001</v>
      </c>
      <c r="AK534" s="6" t="s">
        <v>2002</v>
      </c>
      <c r="AL534" s="6" t="s">
        <v>328</v>
      </c>
      <c r="AM534" s="6" t="s">
        <v>329</v>
      </c>
      <c r="AN534" s="6" t="s">
        <v>297</v>
      </c>
      <c r="AO534" s="6" t="s">
        <v>298</v>
      </c>
      <c r="AQ534" s="6">
        <v>7819</v>
      </c>
      <c r="AR534" s="6" t="s">
        <v>12146</v>
      </c>
      <c r="AT534" s="6">
        <v>5912</v>
      </c>
      <c r="AU534" s="6" t="s">
        <v>12147</v>
      </c>
      <c r="AV534" s="6">
        <v>59.12</v>
      </c>
      <c r="AW534" s="6" t="s">
        <v>12147</v>
      </c>
      <c r="AY534" s="6" t="s">
        <v>12148</v>
      </c>
      <c r="AZ534" s="6">
        <v>46708290641</v>
      </c>
      <c r="BA534" s="6" t="s">
        <v>12149</v>
      </c>
      <c r="BD534" s="6" t="s">
        <v>12150</v>
      </c>
      <c r="BE534" s="6" t="str">
        <f t="shared" si="16"/>
        <v>thalesgroup.com</v>
      </c>
      <c r="BF534" s="6" t="str">
        <f t="shared" si="17"/>
        <v>com</v>
      </c>
      <c r="BG534" s="6" t="s">
        <v>123</v>
      </c>
      <c r="BK534" s="6" t="s">
        <v>12151</v>
      </c>
      <c r="BN534" s="6" t="s">
        <v>12152</v>
      </c>
      <c r="BP534" s="6" t="s">
        <v>12153</v>
      </c>
      <c r="BQ534" s="6" t="s">
        <v>12154</v>
      </c>
      <c r="BR534" s="6" t="s">
        <v>105</v>
      </c>
    </row>
    <row r="535" spans="1:70" ht="45" customHeight="1" x14ac:dyDescent="0.25">
      <c r="A535" s="6">
        <v>535</v>
      </c>
      <c r="B535" s="7" t="s">
        <v>12155</v>
      </c>
      <c r="C535" s="8" t="s">
        <v>12156</v>
      </c>
      <c r="D535" s="6" t="s">
        <v>12157</v>
      </c>
      <c r="E535" s="8" t="s">
        <v>12155</v>
      </c>
      <c r="F535" s="8" t="s">
        <v>12158</v>
      </c>
      <c r="G535" s="6" t="s">
        <v>130</v>
      </c>
      <c r="H535" s="6" t="s">
        <v>131</v>
      </c>
      <c r="I535" s="8" t="s">
        <v>2572</v>
      </c>
      <c r="J535" s="6" t="s">
        <v>4300</v>
      </c>
      <c r="K535" s="9">
        <v>1360</v>
      </c>
      <c r="L535" s="8" t="s">
        <v>4301</v>
      </c>
      <c r="M535" s="9">
        <v>20</v>
      </c>
      <c r="N535" s="6">
        <v>59.902511400000002</v>
      </c>
      <c r="O535" s="6">
        <v>10.6275873</v>
      </c>
      <c r="P535" s="6" t="s">
        <v>12159</v>
      </c>
      <c r="Q535" s="6">
        <v>1</v>
      </c>
      <c r="R535" s="6" t="s">
        <v>79</v>
      </c>
      <c r="T535" s="6"/>
      <c r="X535" s="6" t="s">
        <v>12160</v>
      </c>
      <c r="Y535" s="6" t="s">
        <v>12161</v>
      </c>
      <c r="Z535" s="6" t="s">
        <v>12162</v>
      </c>
      <c r="AA535" s="6" t="s">
        <v>12162</v>
      </c>
      <c r="AC535" s="6">
        <v>541512</v>
      </c>
      <c r="AD535" s="10" t="str">
        <f>_xlfn.XLOOKUP(AC535,[1]Mapping!B:B,[1]Mapping!C:C,"")</f>
        <v xml:space="preserve">Computer Systems Design Services </v>
      </c>
      <c r="AG535" s="6" t="s">
        <v>581</v>
      </c>
      <c r="AH535" s="6" t="s">
        <v>174</v>
      </c>
      <c r="AI535" s="6" t="s">
        <v>87</v>
      </c>
      <c r="AJ535" s="6" t="s">
        <v>174</v>
      </c>
      <c r="AK535" s="6" t="s">
        <v>175</v>
      </c>
      <c r="AL535" s="6" t="s">
        <v>176</v>
      </c>
      <c r="AM535" s="6" t="s">
        <v>177</v>
      </c>
      <c r="AN535" s="6" t="s">
        <v>91</v>
      </c>
      <c r="AO535" s="6" t="s">
        <v>92</v>
      </c>
      <c r="AQ535" s="6" t="s">
        <v>582</v>
      </c>
      <c r="AR535" s="6" t="s">
        <v>583</v>
      </c>
      <c r="AS535" s="6" t="s">
        <v>3689</v>
      </c>
      <c r="AT535" s="6">
        <v>6202</v>
      </c>
      <c r="AU535" s="6" t="s">
        <v>584</v>
      </c>
      <c r="AV535" s="6" t="s">
        <v>585</v>
      </c>
      <c r="AW535" s="6" t="s">
        <v>586</v>
      </c>
      <c r="AX535" s="6" t="s">
        <v>3692</v>
      </c>
      <c r="AY535" s="6" t="s">
        <v>12163</v>
      </c>
      <c r="BA535" s="6" t="s">
        <v>12164</v>
      </c>
      <c r="BD535" s="6" t="s">
        <v>12165</v>
      </c>
      <c r="BE535" s="6" t="str">
        <f t="shared" si="16"/>
        <v>tietoevry.com</v>
      </c>
      <c r="BF535" s="6" t="str">
        <f t="shared" si="17"/>
        <v>com</v>
      </c>
      <c r="BG535" s="6" t="s">
        <v>150</v>
      </c>
      <c r="BH535" s="6" t="s">
        <v>12166</v>
      </c>
      <c r="BJ535" s="6" t="s">
        <v>12167</v>
      </c>
      <c r="BK535" s="6" t="s">
        <v>12168</v>
      </c>
      <c r="BN535" s="6" t="s">
        <v>12169</v>
      </c>
      <c r="BP535" s="6" t="s">
        <v>12170</v>
      </c>
      <c r="BQ535" s="6" t="s">
        <v>12171</v>
      </c>
      <c r="BR535" s="6" t="s">
        <v>105</v>
      </c>
    </row>
    <row r="536" spans="1:70" ht="45" customHeight="1" x14ac:dyDescent="0.25">
      <c r="A536" s="6">
        <v>536</v>
      </c>
      <c r="B536" s="7" t="s">
        <v>12172</v>
      </c>
      <c r="C536" s="8" t="s">
        <v>12156</v>
      </c>
      <c r="D536" s="6" t="s">
        <v>12157</v>
      </c>
      <c r="E536" s="8" t="s">
        <v>12172</v>
      </c>
      <c r="F536" s="8" t="s">
        <v>12158</v>
      </c>
      <c r="G536" s="6" t="s">
        <v>130</v>
      </c>
      <c r="H536" s="6" t="s">
        <v>131</v>
      </c>
      <c r="I536" s="8" t="s">
        <v>2572</v>
      </c>
      <c r="J536" s="6" t="s">
        <v>4300</v>
      </c>
      <c r="K536" s="9">
        <v>1360</v>
      </c>
      <c r="L536" s="8" t="s">
        <v>4301</v>
      </c>
      <c r="M536" s="9">
        <v>20</v>
      </c>
      <c r="N536" s="6">
        <v>59.902511400000002</v>
      </c>
      <c r="O536" s="6">
        <v>10.6275873</v>
      </c>
      <c r="P536" s="6" t="s">
        <v>12159</v>
      </c>
      <c r="Q536" s="6">
        <v>1</v>
      </c>
      <c r="R536" s="6" t="s">
        <v>79</v>
      </c>
      <c r="T536" s="6"/>
      <c r="X536" s="6" t="s">
        <v>12160</v>
      </c>
      <c r="Y536" s="6" t="s">
        <v>12161</v>
      </c>
      <c r="Z536" s="6" t="s">
        <v>12162</v>
      </c>
      <c r="AA536" s="6" t="s">
        <v>12162</v>
      </c>
      <c r="AC536" s="6">
        <v>541512</v>
      </c>
      <c r="AD536" s="10" t="str">
        <f>_xlfn.XLOOKUP(AC536,[1]Mapping!B:B,[1]Mapping!C:C,"")</f>
        <v xml:space="preserve">Computer Systems Design Services </v>
      </c>
      <c r="AG536" s="6" t="s">
        <v>581</v>
      </c>
      <c r="AH536" s="6" t="s">
        <v>174</v>
      </c>
      <c r="AI536" s="6" t="s">
        <v>87</v>
      </c>
      <c r="AJ536" s="6" t="s">
        <v>174</v>
      </c>
      <c r="AK536" s="6" t="s">
        <v>175</v>
      </c>
      <c r="AL536" s="6" t="s">
        <v>176</v>
      </c>
      <c r="AM536" s="6" t="s">
        <v>177</v>
      </c>
      <c r="AN536" s="6" t="s">
        <v>91</v>
      </c>
      <c r="AO536" s="6" t="s">
        <v>92</v>
      </c>
      <c r="AQ536" s="6" t="s">
        <v>582</v>
      </c>
      <c r="AR536" s="6" t="s">
        <v>583</v>
      </c>
      <c r="AS536" s="6" t="s">
        <v>3689</v>
      </c>
      <c r="AT536" s="6">
        <v>6202</v>
      </c>
      <c r="AU536" s="6" t="s">
        <v>584</v>
      </c>
      <c r="AV536" s="6" t="s">
        <v>585</v>
      </c>
      <c r="AW536" s="6" t="s">
        <v>586</v>
      </c>
      <c r="AX536" s="6" t="s">
        <v>3692</v>
      </c>
      <c r="AY536" s="6" t="s">
        <v>12163</v>
      </c>
      <c r="BA536" s="6" t="s">
        <v>12164</v>
      </c>
      <c r="BD536" s="6" t="s">
        <v>12165</v>
      </c>
      <c r="BE536" s="6" t="str">
        <f t="shared" si="16"/>
        <v>tietoevry.com</v>
      </c>
      <c r="BF536" s="6" t="str">
        <f t="shared" si="17"/>
        <v>com</v>
      </c>
      <c r="BG536" s="6" t="s">
        <v>150</v>
      </c>
      <c r="BH536" s="6" t="s">
        <v>12166</v>
      </c>
      <c r="BJ536" s="6" t="s">
        <v>12167</v>
      </c>
      <c r="BK536" s="6" t="s">
        <v>12168</v>
      </c>
      <c r="BN536" s="6" t="s">
        <v>12169</v>
      </c>
      <c r="BP536" s="6" t="s">
        <v>12170</v>
      </c>
      <c r="BQ536" s="6" t="s">
        <v>12171</v>
      </c>
      <c r="BR536" s="6" t="s">
        <v>105</v>
      </c>
    </row>
    <row r="537" spans="1:70" ht="45" customHeight="1" x14ac:dyDescent="0.25">
      <c r="A537" s="6">
        <v>537</v>
      </c>
      <c r="B537" s="7" t="s">
        <v>12173</v>
      </c>
      <c r="C537" s="8" t="s">
        <v>12174</v>
      </c>
      <c r="D537" s="6" t="s">
        <v>12175</v>
      </c>
      <c r="E537" s="8" t="s">
        <v>12173</v>
      </c>
      <c r="F537" s="8" t="s">
        <v>12176</v>
      </c>
      <c r="G537" s="6" t="s">
        <v>130</v>
      </c>
      <c r="H537" s="6" t="s">
        <v>131</v>
      </c>
      <c r="I537" s="8" t="s">
        <v>132</v>
      </c>
      <c r="J537" s="6" t="s">
        <v>132</v>
      </c>
      <c r="K537" s="9">
        <v>668</v>
      </c>
      <c r="L537" s="8" t="s">
        <v>12177</v>
      </c>
      <c r="M537" s="9">
        <v>1</v>
      </c>
      <c r="N537" s="6">
        <v>59.926545899999986</v>
      </c>
      <c r="O537" s="6">
        <v>10.852024500000001</v>
      </c>
      <c r="P537" s="6" t="s">
        <v>12178</v>
      </c>
      <c r="Q537" s="6">
        <v>1</v>
      </c>
      <c r="R537" s="6" t="s">
        <v>79</v>
      </c>
      <c r="S537" s="6">
        <v>1991</v>
      </c>
      <c r="T537" s="6">
        <v>5715034</v>
      </c>
      <c r="U537" s="6" t="s">
        <v>80</v>
      </c>
      <c r="V537" s="6">
        <v>6</v>
      </c>
      <c r="W537" s="6" t="s">
        <v>167</v>
      </c>
      <c r="X537" s="6" t="s">
        <v>12179</v>
      </c>
      <c r="Y537" s="6" t="s">
        <v>12180</v>
      </c>
      <c r="Z537" s="6" t="s">
        <v>12181</v>
      </c>
      <c r="AA537" s="6" t="s">
        <v>12182</v>
      </c>
      <c r="AB537" s="6" t="s">
        <v>12183</v>
      </c>
      <c r="AC537" s="6">
        <v>517810</v>
      </c>
      <c r="AD537" s="10" t="str">
        <f>_xlfn.XLOOKUP(AC537,[1]Mapping!B:B,[1]Mapping!C:C,"")</f>
        <v xml:space="preserve">All Other Telecommunications </v>
      </c>
      <c r="AG537" s="6" t="s">
        <v>89</v>
      </c>
      <c r="AH537" s="6" t="s">
        <v>86</v>
      </c>
      <c r="AI537" s="6" t="s">
        <v>87</v>
      </c>
      <c r="AJ537" s="6" t="s">
        <v>86</v>
      </c>
      <c r="AK537" s="6" t="s">
        <v>88</v>
      </c>
      <c r="AL537" s="6" t="s">
        <v>89</v>
      </c>
      <c r="AM537" s="6" t="s">
        <v>90</v>
      </c>
      <c r="AN537" s="6" t="s">
        <v>91</v>
      </c>
      <c r="AO537" s="6" t="s">
        <v>92</v>
      </c>
      <c r="AQ537" s="6" t="s">
        <v>1384</v>
      </c>
      <c r="AR537" s="6" t="s">
        <v>1385</v>
      </c>
      <c r="AT537" s="6">
        <v>6190</v>
      </c>
      <c r="AU537" s="6" t="s">
        <v>96</v>
      </c>
      <c r="AV537" s="6">
        <v>61.9</v>
      </c>
      <c r="AW537" s="6" t="s">
        <v>96</v>
      </c>
      <c r="AY537" s="6" t="s">
        <v>12184</v>
      </c>
      <c r="AZ537" s="6" t="s">
        <v>12185</v>
      </c>
      <c r="BA537" s="6" t="s">
        <v>12186</v>
      </c>
      <c r="BB537" s="6" t="s">
        <v>12187</v>
      </c>
      <c r="BC537" s="6" t="s">
        <v>12187</v>
      </c>
      <c r="BD537" s="6" t="s">
        <v>12188</v>
      </c>
      <c r="BE537" s="6" t="str">
        <f t="shared" si="16"/>
        <v>tinexgroup.no</v>
      </c>
      <c r="BF537" s="6" t="str">
        <f t="shared" si="17"/>
        <v>no</v>
      </c>
      <c r="BG537" s="6" t="s">
        <v>150</v>
      </c>
      <c r="BH537" s="6" t="s">
        <v>12189</v>
      </c>
      <c r="BI537" s="6" t="s">
        <v>12190</v>
      </c>
      <c r="BJ537" s="6" t="s">
        <v>12191</v>
      </c>
      <c r="BK537" s="6" t="s">
        <v>12192</v>
      </c>
      <c r="BP537" s="6" t="s">
        <v>12193</v>
      </c>
      <c r="BQ537" s="6" t="s">
        <v>12194</v>
      </c>
      <c r="BR537" s="6" t="s">
        <v>105</v>
      </c>
    </row>
    <row r="538" spans="1:70" ht="45" customHeight="1" x14ac:dyDescent="0.25">
      <c r="A538" s="6">
        <v>538</v>
      </c>
      <c r="B538" s="7" t="s">
        <v>12195</v>
      </c>
      <c r="C538" s="8" t="s">
        <v>12196</v>
      </c>
      <c r="D538" s="6" t="s">
        <v>11604</v>
      </c>
      <c r="E538" s="8" t="s">
        <v>12195</v>
      </c>
      <c r="F538" s="8" t="s">
        <v>12197</v>
      </c>
      <c r="G538" s="6" t="s">
        <v>612</v>
      </c>
      <c r="H538" s="6" t="s">
        <v>613</v>
      </c>
      <c r="I538" s="8" t="s">
        <v>1305</v>
      </c>
      <c r="J538" s="6" t="s">
        <v>752</v>
      </c>
      <c r="K538" s="9">
        <v>59100</v>
      </c>
      <c r="L538" s="8" t="s">
        <v>4794</v>
      </c>
      <c r="N538" s="6">
        <v>3.1161340000000002</v>
      </c>
      <c r="O538" s="6">
        <v>101.66488099999999</v>
      </c>
      <c r="P538" s="6" t="s">
        <v>12198</v>
      </c>
      <c r="Q538" s="6">
        <v>1</v>
      </c>
      <c r="R538" s="6" t="s">
        <v>79</v>
      </c>
      <c r="T538" s="6">
        <v>15191</v>
      </c>
      <c r="U538" s="6" t="s">
        <v>80</v>
      </c>
      <c r="V538" s="6">
        <v>1</v>
      </c>
      <c r="W538" s="6" t="s">
        <v>167</v>
      </c>
      <c r="X538" s="6" t="s">
        <v>12199</v>
      </c>
      <c r="Y538" s="6" t="s">
        <v>12200</v>
      </c>
      <c r="Z538" s="6" t="s">
        <v>12201</v>
      </c>
      <c r="AA538" s="6" t="s">
        <v>12202</v>
      </c>
      <c r="AB538" s="6" t="s">
        <v>12203</v>
      </c>
      <c r="AC538" s="6">
        <v>541219</v>
      </c>
      <c r="AD538" s="10" t="str">
        <f>_xlfn.XLOOKUP(AC538,[1]Mapping!B:B,[1]Mapping!C:C,"")</f>
        <v xml:space="preserve">Other Accounting Services </v>
      </c>
      <c r="AG538" s="6" t="s">
        <v>1094</v>
      </c>
      <c r="AH538" s="6" t="s">
        <v>1095</v>
      </c>
      <c r="AI538" s="6" t="s">
        <v>119</v>
      </c>
      <c r="AJ538" s="6" t="s">
        <v>293</v>
      </c>
      <c r="AK538" s="6" t="s">
        <v>294</v>
      </c>
      <c r="AL538" s="6" t="s">
        <v>295</v>
      </c>
      <c r="AM538" s="6" t="s">
        <v>296</v>
      </c>
      <c r="AN538" s="6" t="s">
        <v>297</v>
      </c>
      <c r="AO538" s="6" t="s">
        <v>298</v>
      </c>
      <c r="AQ538" s="6">
        <v>8721</v>
      </c>
      <c r="AR538" s="6" t="s">
        <v>1096</v>
      </c>
      <c r="AT538" s="6">
        <v>6920</v>
      </c>
      <c r="AU538" s="6" t="s">
        <v>1098</v>
      </c>
      <c r="AV538" s="6">
        <v>69.2</v>
      </c>
      <c r="AW538" s="6" t="s">
        <v>1098</v>
      </c>
      <c r="AY538" s="6" t="s">
        <v>11613</v>
      </c>
      <c r="AZ538" s="6" t="s">
        <v>12204</v>
      </c>
      <c r="BA538" s="6" t="s">
        <v>12205</v>
      </c>
      <c r="BB538" s="6" t="s">
        <v>12206</v>
      </c>
      <c r="BC538" s="6" t="s">
        <v>12205</v>
      </c>
      <c r="BD538" s="6" t="s">
        <v>12207</v>
      </c>
      <c r="BE538" s="6" t="str">
        <f t="shared" si="16"/>
        <v>tmmgtservices.com.my</v>
      </c>
      <c r="BF538" s="6" t="str">
        <f t="shared" si="17"/>
        <v>my</v>
      </c>
      <c r="BG538" s="6" t="s">
        <v>101</v>
      </c>
      <c r="BH538" s="6" t="s">
        <v>12208</v>
      </c>
      <c r="BP538" s="6" t="s">
        <v>12209</v>
      </c>
      <c r="BQ538" s="6" t="s">
        <v>12210</v>
      </c>
      <c r="BR538" s="6" t="s">
        <v>105</v>
      </c>
    </row>
    <row r="539" spans="1:70" ht="45" customHeight="1" x14ac:dyDescent="0.25">
      <c r="A539" s="6">
        <v>539</v>
      </c>
      <c r="B539" s="7" t="s">
        <v>12211</v>
      </c>
      <c r="C539" s="8" t="s">
        <v>12212</v>
      </c>
      <c r="D539" s="6" t="s">
        <v>12213</v>
      </c>
      <c r="E539" s="6" t="s">
        <v>12214</v>
      </c>
      <c r="F539" s="8" t="s">
        <v>12215</v>
      </c>
      <c r="G539" s="6" t="s">
        <v>452</v>
      </c>
      <c r="H539" s="6" t="s">
        <v>453</v>
      </c>
      <c r="I539" s="6"/>
      <c r="J539" s="6" t="s">
        <v>12216</v>
      </c>
      <c r="K539" s="9">
        <v>528402</v>
      </c>
      <c r="L539" s="8" t="s">
        <v>12217</v>
      </c>
      <c r="M539" s="9" t="s">
        <v>12218</v>
      </c>
      <c r="N539" s="6">
        <v>22.559339999999999</v>
      </c>
      <c r="O539" s="6">
        <v>113.45534000000001</v>
      </c>
      <c r="P539" s="6" t="s">
        <v>12219</v>
      </c>
      <c r="Q539" s="6">
        <v>3</v>
      </c>
      <c r="R539" s="6" t="s">
        <v>906</v>
      </c>
      <c r="S539" s="6">
        <v>1996</v>
      </c>
      <c r="T539" s="6">
        <v>177100000</v>
      </c>
      <c r="U539" s="6" t="s">
        <v>167</v>
      </c>
      <c r="V539" s="6">
        <v>35</v>
      </c>
      <c r="W539" s="6" t="s">
        <v>167</v>
      </c>
      <c r="X539" s="6" t="s">
        <v>12220</v>
      </c>
      <c r="Y539" s="6" t="s">
        <v>12221</v>
      </c>
      <c r="Z539" s="6" t="s">
        <v>12222</v>
      </c>
      <c r="AB539" s="6" t="s">
        <v>12223</v>
      </c>
      <c r="AC539" s="6">
        <v>334419</v>
      </c>
      <c r="AD539" s="10" t="str">
        <f>_xlfn.XLOOKUP(AC539,[1]Mapping!B:B,[1]Mapping!C:C,"")</f>
        <v xml:space="preserve">Other Electronic Component Manufacturing </v>
      </c>
      <c r="AE539" s="6">
        <v>334220</v>
      </c>
      <c r="AF539" s="6" t="s">
        <v>4540</v>
      </c>
      <c r="AG539" s="6" t="s">
        <v>1184</v>
      </c>
      <c r="AH539" s="6" t="s">
        <v>432</v>
      </c>
      <c r="AI539" s="6" t="s">
        <v>733</v>
      </c>
      <c r="AJ539" s="6" t="s">
        <v>86</v>
      </c>
      <c r="AK539" s="6" t="s">
        <v>88</v>
      </c>
      <c r="AL539" s="6" t="s">
        <v>89</v>
      </c>
      <c r="AM539" s="6" t="s">
        <v>90</v>
      </c>
      <c r="AN539" s="6" t="s">
        <v>91</v>
      </c>
      <c r="AO539" s="6" t="s">
        <v>92</v>
      </c>
      <c r="AQ539" s="6" t="s">
        <v>12224</v>
      </c>
      <c r="AR539" s="6" t="s">
        <v>12225</v>
      </c>
      <c r="AT539" s="6">
        <v>2610</v>
      </c>
      <c r="AU539" s="6" t="s">
        <v>5967</v>
      </c>
      <c r="AV539" s="6" t="s">
        <v>5968</v>
      </c>
      <c r="AW539" s="6" t="s">
        <v>5969</v>
      </c>
      <c r="AY539" s="6" t="s">
        <v>12226</v>
      </c>
      <c r="AZ539" s="6" t="s">
        <v>12227</v>
      </c>
      <c r="BA539" s="6" t="s">
        <v>12228</v>
      </c>
      <c r="BB539" s="6" t="s">
        <v>12228</v>
      </c>
      <c r="BC539" s="6" t="s">
        <v>12229</v>
      </c>
      <c r="BD539" s="6" t="s">
        <v>12230</v>
      </c>
      <c r="BE539" s="6" t="str">
        <f t="shared" si="16"/>
        <v>tycc.cn</v>
      </c>
      <c r="BF539" s="6" t="str">
        <f t="shared" si="17"/>
        <v>cn</v>
      </c>
      <c r="BG539" s="6" t="s">
        <v>744</v>
      </c>
      <c r="BK539" s="6" t="s">
        <v>12231</v>
      </c>
      <c r="BP539" s="6" t="s">
        <v>12232</v>
      </c>
      <c r="BQ539" s="6" t="s">
        <v>12233</v>
      </c>
      <c r="BR539" s="6" t="s">
        <v>105</v>
      </c>
    </row>
    <row r="540" spans="1:70" ht="45" customHeight="1" x14ac:dyDescent="0.25">
      <c r="A540" s="6">
        <v>540</v>
      </c>
      <c r="B540" s="7" t="s">
        <v>12234</v>
      </c>
      <c r="C540" s="8" t="s">
        <v>12235</v>
      </c>
      <c r="D540" s="6" t="s">
        <v>12236</v>
      </c>
      <c r="E540" s="6" t="s">
        <v>12237</v>
      </c>
      <c r="F540" s="8" t="s">
        <v>12238</v>
      </c>
      <c r="G540" s="6" t="s">
        <v>2438</v>
      </c>
      <c r="H540" s="6" t="s">
        <v>2439</v>
      </c>
      <c r="I540" s="6" t="s">
        <v>2439</v>
      </c>
      <c r="J540" s="6" t="s">
        <v>2439</v>
      </c>
      <c r="L540" s="8" t="s">
        <v>12239</v>
      </c>
      <c r="M540" s="9">
        <v>9</v>
      </c>
      <c r="N540" s="6">
        <v>22.301512299999999</v>
      </c>
      <c r="O540" s="6">
        <v>114.17899180000001</v>
      </c>
      <c r="P540" s="6" t="s">
        <v>12240</v>
      </c>
      <c r="Q540" s="6">
        <v>3</v>
      </c>
      <c r="R540" s="6" t="s">
        <v>79</v>
      </c>
      <c r="S540" s="6">
        <v>2013</v>
      </c>
      <c r="T540" s="6">
        <v>12792588</v>
      </c>
      <c r="U540" s="6" t="s">
        <v>80</v>
      </c>
      <c r="V540" s="6">
        <v>125</v>
      </c>
      <c r="W540" s="6" t="s">
        <v>80</v>
      </c>
      <c r="X540" s="6" t="s">
        <v>12241</v>
      </c>
      <c r="Y540" s="6" t="s">
        <v>12242</v>
      </c>
      <c r="Z540" s="6" t="s">
        <v>12243</v>
      </c>
      <c r="AA540" s="6" t="s">
        <v>12244</v>
      </c>
      <c r="AB540" s="6" t="s">
        <v>12245</v>
      </c>
      <c r="AC540" s="6">
        <v>456120</v>
      </c>
      <c r="AD540" s="10" t="str">
        <f>_xlfn.XLOOKUP(AC540,[1]Mapping!B:B,[1]Mapping!C:C,"")</f>
        <v xml:space="preserve">Cosmetics, Beauty Supplies, and Perfume Retailers </v>
      </c>
      <c r="AG540" s="6" t="s">
        <v>880</v>
      </c>
      <c r="AH540" s="6" t="s">
        <v>881</v>
      </c>
      <c r="AI540" s="6" t="s">
        <v>882</v>
      </c>
      <c r="AJ540" s="6" t="s">
        <v>255</v>
      </c>
      <c r="AK540" s="6" t="s">
        <v>256</v>
      </c>
      <c r="AL540" s="6" t="s">
        <v>257</v>
      </c>
      <c r="AM540" s="6" t="s">
        <v>258</v>
      </c>
      <c r="AN540" s="6" t="s">
        <v>259</v>
      </c>
      <c r="AO540" s="6" t="s">
        <v>260</v>
      </c>
      <c r="AQ540" s="6" t="s">
        <v>12246</v>
      </c>
      <c r="AR540" s="6" t="s">
        <v>12247</v>
      </c>
      <c r="AS540" s="6" t="s">
        <v>12248</v>
      </c>
      <c r="AT540" s="6" t="s">
        <v>12249</v>
      </c>
      <c r="AU540" s="6" t="s">
        <v>12250</v>
      </c>
      <c r="AV540" s="6" t="s">
        <v>12251</v>
      </c>
      <c r="AW540" s="6" t="s">
        <v>12252</v>
      </c>
      <c r="AX540" s="6" t="s">
        <v>12253</v>
      </c>
      <c r="AY540" s="6" t="s">
        <v>12254</v>
      </c>
      <c r="BA540" s="6" t="s">
        <v>12255</v>
      </c>
      <c r="BD540" s="6" t="s">
        <v>12256</v>
      </c>
      <c r="BE540" s="6" t="str">
        <f t="shared" si="16"/>
        <v>tp-link.com</v>
      </c>
      <c r="BF540" s="6" t="str">
        <f t="shared" si="17"/>
        <v>com</v>
      </c>
      <c r="BG540" s="6" t="s">
        <v>101</v>
      </c>
      <c r="BH540" s="6" t="s">
        <v>12257</v>
      </c>
      <c r="BJ540" s="6" t="s">
        <v>12258</v>
      </c>
      <c r="BK540" s="6" t="s">
        <v>12259</v>
      </c>
      <c r="BN540" s="6" t="s">
        <v>12260</v>
      </c>
      <c r="BP540" s="6" t="s">
        <v>12261</v>
      </c>
      <c r="BQ540" s="6" t="s">
        <v>12262</v>
      </c>
      <c r="BR540" s="6" t="s">
        <v>105</v>
      </c>
    </row>
    <row r="541" spans="1:70" ht="45" customHeight="1" x14ac:dyDescent="0.25">
      <c r="A541" s="6">
        <v>541</v>
      </c>
      <c r="B541" s="7" t="s">
        <v>12263</v>
      </c>
      <c r="C541" s="8" t="s">
        <v>12264</v>
      </c>
      <c r="D541" s="6" t="s">
        <v>12265</v>
      </c>
      <c r="E541" s="8" t="s">
        <v>12266</v>
      </c>
      <c r="F541" s="8" t="s">
        <v>12266</v>
      </c>
      <c r="G541" s="6" t="s">
        <v>73</v>
      </c>
      <c r="H541" s="6" t="s">
        <v>74</v>
      </c>
      <c r="I541" s="6"/>
      <c r="J541" s="6" t="s">
        <v>4836</v>
      </c>
      <c r="K541" s="9">
        <v>8300</v>
      </c>
      <c r="L541" s="8" t="s">
        <v>12267</v>
      </c>
      <c r="M541" s="9">
        <v>28</v>
      </c>
      <c r="N541" s="6">
        <v>55.980881500000002</v>
      </c>
      <c r="O541" s="6">
        <v>10.055559499999999</v>
      </c>
      <c r="P541" s="6" t="s">
        <v>12268</v>
      </c>
      <c r="Q541" s="6">
        <v>2</v>
      </c>
      <c r="R541" s="6" t="s">
        <v>79</v>
      </c>
      <c r="T541" s="6"/>
      <c r="X541" s="6" t="s">
        <v>12269</v>
      </c>
      <c r="Y541" s="6" t="s">
        <v>12270</v>
      </c>
      <c r="Z541" s="6" t="s">
        <v>12271</v>
      </c>
      <c r="AA541" s="6" t="s">
        <v>12272</v>
      </c>
      <c r="AB541" s="6" t="s">
        <v>12273</v>
      </c>
      <c r="AC541" s="6">
        <v>334510</v>
      </c>
      <c r="AD541" s="10" t="str">
        <f>_xlfn.XLOOKUP(AC541,[1]Mapping!B:B,[1]Mapping!C:C,"")</f>
        <v xml:space="preserve">Electromedical and Electrotherapeutic Apparatus Manufacturing </v>
      </c>
      <c r="AG541" s="6" t="s">
        <v>4493</v>
      </c>
      <c r="AH541" s="6" t="s">
        <v>4494</v>
      </c>
      <c r="AI541" s="6" t="s">
        <v>466</v>
      </c>
      <c r="AJ541" s="6" t="s">
        <v>3148</v>
      </c>
      <c r="AK541" s="6" t="s">
        <v>3149</v>
      </c>
      <c r="AL541" s="6" t="s">
        <v>3150</v>
      </c>
      <c r="AM541" s="6" t="s">
        <v>3151</v>
      </c>
      <c r="AN541" s="6" t="s">
        <v>2585</v>
      </c>
      <c r="AO541" s="6" t="s">
        <v>2586</v>
      </c>
      <c r="AQ541" s="6" t="s">
        <v>12274</v>
      </c>
      <c r="AR541" s="6" t="s">
        <v>12275</v>
      </c>
      <c r="AS541" s="6" t="s">
        <v>12276</v>
      </c>
      <c r="AT541" s="6">
        <v>2660</v>
      </c>
      <c r="AU541" s="6" t="s">
        <v>8750</v>
      </c>
      <c r="AV541" s="6">
        <v>26.6</v>
      </c>
      <c r="AW541" s="6" t="s">
        <v>8750</v>
      </c>
      <c r="AX541" s="6" t="s">
        <v>12277</v>
      </c>
      <c r="AY541" s="6" t="s">
        <v>12278</v>
      </c>
      <c r="AZ541" s="6" t="s">
        <v>12279</v>
      </c>
      <c r="BA541" s="6" t="s">
        <v>12280</v>
      </c>
      <c r="BD541" s="6" t="s">
        <v>12281</v>
      </c>
      <c r="BE541" s="6" t="str">
        <f t="shared" si="16"/>
        <v>tmo.dk</v>
      </c>
      <c r="BF541" s="6" t="str">
        <f t="shared" si="17"/>
        <v>dk</v>
      </c>
      <c r="BG541" s="6" t="s">
        <v>123</v>
      </c>
      <c r="BH541" s="6" t="s">
        <v>12282</v>
      </c>
      <c r="BJ541" s="6" t="s">
        <v>12283</v>
      </c>
      <c r="BK541" s="6" t="s">
        <v>12284</v>
      </c>
      <c r="BN541" s="6" t="s">
        <v>12285</v>
      </c>
      <c r="BP541" s="6" t="s">
        <v>12286</v>
      </c>
      <c r="BQ541" s="6" t="s">
        <v>12287</v>
      </c>
      <c r="BR541" s="6" t="s">
        <v>105</v>
      </c>
    </row>
    <row r="542" spans="1:70" ht="45" customHeight="1" x14ac:dyDescent="0.25">
      <c r="A542" s="6">
        <v>542</v>
      </c>
      <c r="B542" s="7" t="s">
        <v>12288</v>
      </c>
      <c r="C542" s="8" t="s">
        <v>12289</v>
      </c>
      <c r="D542" s="6" t="s">
        <v>12290</v>
      </c>
      <c r="E542" s="8" t="s">
        <v>12291</v>
      </c>
      <c r="F542" s="8" t="s">
        <v>12292</v>
      </c>
      <c r="G542" s="6" t="s">
        <v>73</v>
      </c>
      <c r="H542" s="6" t="s">
        <v>74</v>
      </c>
      <c r="J542" s="6" t="s">
        <v>12293</v>
      </c>
      <c r="K542" s="9">
        <v>8900</v>
      </c>
      <c r="L542" s="8" t="s">
        <v>12294</v>
      </c>
      <c r="M542" s="9">
        <v>26</v>
      </c>
      <c r="N542" s="6">
        <v>56.468070500000003</v>
      </c>
      <c r="O542" s="6">
        <v>10.0297377</v>
      </c>
      <c r="P542" s="6" t="s">
        <v>12295</v>
      </c>
      <c r="Q542" s="6">
        <v>5</v>
      </c>
      <c r="R542" s="6" t="s">
        <v>79</v>
      </c>
      <c r="S542" s="6">
        <v>2010</v>
      </c>
      <c r="T542" s="6">
        <v>62988128</v>
      </c>
      <c r="U542" s="6" t="s">
        <v>80</v>
      </c>
      <c r="V542" s="6">
        <v>500</v>
      </c>
      <c r="W542" s="6" t="s">
        <v>167</v>
      </c>
      <c r="X542" s="6" t="s">
        <v>12296</v>
      </c>
      <c r="Y542" s="6" t="s">
        <v>12297</v>
      </c>
      <c r="Z542" s="6" t="s">
        <v>12298</v>
      </c>
      <c r="AA542" s="6" t="s">
        <v>12299</v>
      </c>
      <c r="AB542" s="6" t="s">
        <v>12300</v>
      </c>
      <c r="AC542" s="6">
        <v>611519</v>
      </c>
      <c r="AD542" s="10" t="str">
        <f>_xlfn.XLOOKUP(AC542,[1]Mapping!B:B,[1]Mapping!C:C,"")</f>
        <v xml:space="preserve">Other Technical and Trade Schools </v>
      </c>
      <c r="AG542" s="6" t="s">
        <v>12301</v>
      </c>
      <c r="AH542" s="6" t="s">
        <v>1669</v>
      </c>
      <c r="AI542" s="6" t="s">
        <v>942</v>
      </c>
      <c r="AJ542" s="6" t="s">
        <v>942</v>
      </c>
      <c r="AK542" s="6" t="s">
        <v>2921</v>
      </c>
      <c r="AL542" s="6" t="s">
        <v>295</v>
      </c>
      <c r="AM542" s="6" t="s">
        <v>296</v>
      </c>
      <c r="AN542" s="6" t="s">
        <v>297</v>
      </c>
      <c r="AO542" s="6" t="s">
        <v>298</v>
      </c>
      <c r="AQ542" s="6" t="s">
        <v>12302</v>
      </c>
      <c r="AR542" s="6" t="s">
        <v>12303</v>
      </c>
      <c r="AT542" s="6">
        <v>8522</v>
      </c>
      <c r="AU542" s="6" t="s">
        <v>12304</v>
      </c>
      <c r="AV542" s="6">
        <v>85.32</v>
      </c>
      <c r="AW542" s="6" t="s">
        <v>12304</v>
      </c>
      <c r="AY542" s="6" t="s">
        <v>12305</v>
      </c>
      <c r="AZ542" s="6" t="s">
        <v>12306</v>
      </c>
      <c r="BA542" s="6" t="s">
        <v>12307</v>
      </c>
      <c r="BB542" s="6" t="s">
        <v>12308</v>
      </c>
      <c r="BC542" s="6" t="s">
        <v>12309</v>
      </c>
      <c r="BD542" s="6" t="s">
        <v>12310</v>
      </c>
      <c r="BE542" s="6" t="str">
        <f t="shared" si="16"/>
        <v>tradium.dk</v>
      </c>
      <c r="BF542" s="6" t="str">
        <f t="shared" si="17"/>
        <v>dk</v>
      </c>
      <c r="BG542" s="6" t="s">
        <v>123</v>
      </c>
      <c r="BH542" s="6" t="s">
        <v>12311</v>
      </c>
      <c r="BJ542" s="6" t="s">
        <v>12312</v>
      </c>
      <c r="BK542" s="6" t="s">
        <v>12313</v>
      </c>
      <c r="BN542" s="6" t="s">
        <v>12314</v>
      </c>
      <c r="BP542" s="6" t="s">
        <v>12315</v>
      </c>
      <c r="BQ542" s="6" t="s">
        <v>12316</v>
      </c>
      <c r="BR542" s="6" t="s">
        <v>105</v>
      </c>
    </row>
    <row r="543" spans="1:70" ht="45" customHeight="1" x14ac:dyDescent="0.25">
      <c r="A543" s="6">
        <v>543</v>
      </c>
      <c r="B543" s="7" t="s">
        <v>12317</v>
      </c>
      <c r="C543" s="8" t="s">
        <v>12318</v>
      </c>
      <c r="D543" s="6" t="s">
        <v>12319</v>
      </c>
      <c r="E543" s="8" t="s">
        <v>12317</v>
      </c>
      <c r="F543" s="8" t="s">
        <v>12320</v>
      </c>
      <c r="G543" s="6" t="s">
        <v>160</v>
      </c>
      <c r="H543" s="6" t="s">
        <v>161</v>
      </c>
      <c r="I543" s="8" t="s">
        <v>281</v>
      </c>
      <c r="J543" s="6" t="s">
        <v>282</v>
      </c>
      <c r="K543" s="9" t="s">
        <v>12321</v>
      </c>
      <c r="L543" s="8" t="s">
        <v>12322</v>
      </c>
      <c r="M543" s="9">
        <v>40</v>
      </c>
      <c r="N543" s="6">
        <v>59.347433000000002</v>
      </c>
      <c r="O543" s="6">
        <v>18.0380553</v>
      </c>
      <c r="P543" s="6" t="s">
        <v>12323</v>
      </c>
      <c r="Q543" s="6">
        <v>1</v>
      </c>
      <c r="R543" s="6" t="s">
        <v>79</v>
      </c>
      <c r="S543" s="6">
        <v>2006</v>
      </c>
      <c r="T543" s="6">
        <v>156700000</v>
      </c>
      <c r="U543" s="6" t="s">
        <v>167</v>
      </c>
      <c r="V543" s="6">
        <v>48</v>
      </c>
      <c r="W543" s="6" t="s">
        <v>167</v>
      </c>
      <c r="X543" s="6" t="s">
        <v>12324</v>
      </c>
      <c r="Y543" s="6" t="s">
        <v>12325</v>
      </c>
      <c r="Z543" s="6" t="s">
        <v>12326</v>
      </c>
      <c r="AA543" s="6" t="s">
        <v>12327</v>
      </c>
      <c r="AB543" s="6" t="s">
        <v>12328</v>
      </c>
      <c r="AC543" s="6">
        <v>517810</v>
      </c>
      <c r="AD543" s="10" t="str">
        <f>_xlfn.XLOOKUP(AC543,[1]Mapping!B:B,[1]Mapping!C:C,"")</f>
        <v xml:space="preserve">All Other Telecommunications </v>
      </c>
      <c r="AG543" s="6" t="s">
        <v>85</v>
      </c>
      <c r="AH543" s="6" t="s">
        <v>86</v>
      </c>
      <c r="AI543" s="6" t="s">
        <v>87</v>
      </c>
      <c r="AQ543" s="6" t="s">
        <v>1384</v>
      </c>
      <c r="AR543" s="6" t="s">
        <v>1385</v>
      </c>
      <c r="AT543" s="6">
        <v>6190</v>
      </c>
      <c r="AU543" s="6" t="s">
        <v>96</v>
      </c>
      <c r="AV543" s="6">
        <v>61.9</v>
      </c>
      <c r="AW543" s="6" t="s">
        <v>96</v>
      </c>
      <c r="AY543" s="6" t="s">
        <v>12329</v>
      </c>
      <c r="AZ543" s="6">
        <v>46841088000</v>
      </c>
      <c r="BD543" s="6" t="s">
        <v>12330</v>
      </c>
      <c r="BE543" s="6" t="str">
        <f t="shared" si="16"/>
        <v>transcom.com</v>
      </c>
      <c r="BF543" s="6" t="str">
        <f t="shared" si="17"/>
        <v>com</v>
      </c>
      <c r="BG543" s="6" t="s">
        <v>101</v>
      </c>
      <c r="BH543" s="6" t="s">
        <v>12331</v>
      </c>
      <c r="BI543" s="6" t="s">
        <v>12332</v>
      </c>
      <c r="BK543" s="6" t="s">
        <v>12333</v>
      </c>
      <c r="BQ543" s="6" t="s">
        <v>12334</v>
      </c>
      <c r="BR543" s="6" t="s">
        <v>105</v>
      </c>
    </row>
    <row r="544" spans="1:70" ht="45" customHeight="1" x14ac:dyDescent="0.25">
      <c r="A544" s="6">
        <v>544</v>
      </c>
      <c r="B544" s="7" t="s">
        <v>12335</v>
      </c>
      <c r="C544" s="8" t="s">
        <v>12336</v>
      </c>
      <c r="D544" s="6" t="s">
        <v>12337</v>
      </c>
      <c r="E544" s="8" t="s">
        <v>12335</v>
      </c>
      <c r="F544" s="8" t="s">
        <v>12338</v>
      </c>
      <c r="G544" s="6" t="s">
        <v>315</v>
      </c>
      <c r="H544" s="6" t="s">
        <v>316</v>
      </c>
      <c r="J544" s="6" t="s">
        <v>316</v>
      </c>
      <c r="K544" s="9">
        <v>38986</v>
      </c>
      <c r="L544" s="8" t="s">
        <v>2465</v>
      </c>
      <c r="N544" s="6">
        <v>1.2947218</v>
      </c>
      <c r="O544" s="6">
        <v>103.8597326</v>
      </c>
      <c r="P544" s="6" t="s">
        <v>2466</v>
      </c>
      <c r="Q544" s="6">
        <v>1</v>
      </c>
      <c r="R544" s="6" t="s">
        <v>79</v>
      </c>
      <c r="T544" s="6"/>
      <c r="X544" s="6" t="s">
        <v>12339</v>
      </c>
      <c r="Y544" s="6" t="s">
        <v>12340</v>
      </c>
      <c r="Z544" s="6" t="s">
        <v>12341</v>
      </c>
      <c r="AA544" s="6" t="s">
        <v>12342</v>
      </c>
      <c r="AC544" s="6">
        <v>458110</v>
      </c>
      <c r="AD544" s="10" t="str">
        <f>_xlfn.XLOOKUP(AC544,[1]Mapping!B:B,[1]Mapping!C:C,"")</f>
        <v xml:space="preserve">Clothing and Clothing Accessories Retailers </v>
      </c>
      <c r="AG544" s="6" t="s">
        <v>1465</v>
      </c>
      <c r="AH544" s="6" t="s">
        <v>1466</v>
      </c>
      <c r="AI544" s="6" t="s">
        <v>1467</v>
      </c>
      <c r="AJ544" s="6" t="s">
        <v>255</v>
      </c>
      <c r="AK544" s="6" t="s">
        <v>256</v>
      </c>
      <c r="AL544" s="6" t="s">
        <v>257</v>
      </c>
      <c r="AM544" s="6" t="s">
        <v>258</v>
      </c>
      <c r="AN544" s="6" t="s">
        <v>259</v>
      </c>
      <c r="AO544" s="6" t="s">
        <v>260</v>
      </c>
      <c r="AQ544" s="6" t="s">
        <v>1471</v>
      </c>
      <c r="AR544" s="6" t="s">
        <v>1472</v>
      </c>
      <c r="AT544" s="6" t="s">
        <v>1474</v>
      </c>
      <c r="AU544" s="6" t="s">
        <v>1475</v>
      </c>
      <c r="AV544" s="6" t="s">
        <v>1476</v>
      </c>
      <c r="AW544" s="6" t="s">
        <v>1477</v>
      </c>
      <c r="AY544" s="6" t="s">
        <v>12343</v>
      </c>
      <c r="AZ544" s="6" t="s">
        <v>12344</v>
      </c>
      <c r="BA544" s="6" t="s">
        <v>12345</v>
      </c>
      <c r="BB544" s="6" t="s">
        <v>12345</v>
      </c>
      <c r="BD544" s="6" t="s">
        <v>12346</v>
      </c>
      <c r="BE544" s="6" t="str">
        <f t="shared" si="16"/>
        <v>trendmicro.com</v>
      </c>
      <c r="BF544" s="6" t="str">
        <f t="shared" si="17"/>
        <v>com</v>
      </c>
      <c r="BG544" s="6" t="s">
        <v>101</v>
      </c>
      <c r="BH544" s="6" t="s">
        <v>12347</v>
      </c>
      <c r="BI544" s="6" t="s">
        <v>12348</v>
      </c>
      <c r="BJ544" s="6" t="s">
        <v>12349</v>
      </c>
      <c r="BK544" s="6" t="s">
        <v>12350</v>
      </c>
      <c r="BN544" s="6" t="s">
        <v>12351</v>
      </c>
      <c r="BP544" s="6" t="s">
        <v>12352</v>
      </c>
      <c r="BQ544" s="6" t="s">
        <v>12353</v>
      </c>
      <c r="BR544" s="6" t="s">
        <v>105</v>
      </c>
    </row>
    <row r="545" spans="1:70" ht="45" customHeight="1" x14ac:dyDescent="0.25">
      <c r="A545" s="6">
        <v>545</v>
      </c>
      <c r="B545" s="7" t="s">
        <v>12354</v>
      </c>
      <c r="C545" s="8" t="s">
        <v>12355</v>
      </c>
      <c r="D545" s="6" t="s">
        <v>12354</v>
      </c>
      <c r="E545" s="6" t="s">
        <v>12356</v>
      </c>
      <c r="F545" s="8" t="s">
        <v>12357</v>
      </c>
      <c r="G545" s="6" t="s">
        <v>73</v>
      </c>
      <c r="H545" s="6" t="s">
        <v>74</v>
      </c>
      <c r="I545" s="6"/>
      <c r="J545" s="6" t="s">
        <v>3031</v>
      </c>
      <c r="K545" s="9">
        <v>8200</v>
      </c>
      <c r="L545" s="8" t="s">
        <v>12358</v>
      </c>
      <c r="M545" s="9">
        <v>3</v>
      </c>
      <c r="N545" s="6">
        <v>56.218835599999998</v>
      </c>
      <c r="O545" s="6">
        <v>10.1480009</v>
      </c>
      <c r="P545" s="6" t="s">
        <v>12359</v>
      </c>
      <c r="Q545" s="6">
        <v>1</v>
      </c>
      <c r="R545" s="6" t="s">
        <v>79</v>
      </c>
      <c r="T545" s="6">
        <v>13319402</v>
      </c>
      <c r="U545" s="6" t="s">
        <v>80</v>
      </c>
      <c r="V545" s="6">
        <v>75</v>
      </c>
      <c r="W545" s="6" t="s">
        <v>80</v>
      </c>
      <c r="X545" s="6" t="s">
        <v>12360</v>
      </c>
      <c r="Y545" s="6" t="s">
        <v>12361</v>
      </c>
      <c r="Z545" s="6" t="s">
        <v>12362</v>
      </c>
      <c r="AA545" s="6" t="s">
        <v>12363</v>
      </c>
      <c r="AB545" s="6" t="s">
        <v>12364</v>
      </c>
      <c r="AC545" s="6">
        <v>611420</v>
      </c>
      <c r="AD545" s="10" t="str">
        <f>_xlfn.XLOOKUP(AC545,[1]Mapping!B:B,[1]Mapping!C:C,"")</f>
        <v xml:space="preserve">Computer Training </v>
      </c>
      <c r="AG545" s="6" t="s">
        <v>5240</v>
      </c>
      <c r="AH545" s="6" t="s">
        <v>1669</v>
      </c>
      <c r="AI545" s="6" t="s">
        <v>942</v>
      </c>
      <c r="AJ545" s="6" t="s">
        <v>942</v>
      </c>
      <c r="AK545" s="6" t="s">
        <v>2921</v>
      </c>
      <c r="AL545" s="6" t="s">
        <v>295</v>
      </c>
      <c r="AM545" s="6" t="s">
        <v>296</v>
      </c>
      <c r="AN545" s="6" t="s">
        <v>297</v>
      </c>
      <c r="AO545" s="6" t="s">
        <v>298</v>
      </c>
      <c r="AQ545" s="6">
        <v>8243</v>
      </c>
      <c r="AR545" s="6" t="s">
        <v>2922</v>
      </c>
      <c r="AT545" s="6">
        <v>8549</v>
      </c>
      <c r="AU545" s="6" t="s">
        <v>2924</v>
      </c>
      <c r="AV545" s="6" t="s">
        <v>2925</v>
      </c>
      <c r="AW545" s="6" t="s">
        <v>2926</v>
      </c>
      <c r="AY545" s="6" t="s">
        <v>12365</v>
      </c>
      <c r="AZ545" s="6" t="s">
        <v>12366</v>
      </c>
      <c r="BA545" s="6" t="s">
        <v>12367</v>
      </c>
      <c r="BB545" s="6" t="s">
        <v>12368</v>
      </c>
      <c r="BD545" s="6" t="s">
        <v>12369</v>
      </c>
      <c r="BE545" s="6" t="str">
        <f t="shared" si="16"/>
        <v>trifork.com</v>
      </c>
      <c r="BF545" s="6" t="str">
        <f t="shared" si="17"/>
        <v>com</v>
      </c>
      <c r="BG545" s="6" t="s">
        <v>101</v>
      </c>
      <c r="BH545" s="6" t="s">
        <v>12370</v>
      </c>
      <c r="BK545" s="6" t="s">
        <v>12371</v>
      </c>
      <c r="BN545" s="6" t="s">
        <v>12372</v>
      </c>
      <c r="BP545" s="6" t="s">
        <v>12373</v>
      </c>
      <c r="BQ545" s="6" t="s">
        <v>12374</v>
      </c>
      <c r="BR545" s="6" t="s">
        <v>105</v>
      </c>
    </row>
    <row r="546" spans="1:70" ht="45" customHeight="1" x14ac:dyDescent="0.25">
      <c r="A546" s="6">
        <v>546</v>
      </c>
      <c r="B546" s="7" t="s">
        <v>12375</v>
      </c>
      <c r="C546" s="8" t="s">
        <v>12376</v>
      </c>
      <c r="D546" s="6" t="s">
        <v>12377</v>
      </c>
      <c r="E546" s="8" t="s">
        <v>12375</v>
      </c>
      <c r="F546" s="8" t="s">
        <v>12378</v>
      </c>
      <c r="G546" s="6" t="s">
        <v>1324</v>
      </c>
      <c r="H546" s="6" t="s">
        <v>1325</v>
      </c>
      <c r="I546" s="8" t="s">
        <v>1326</v>
      </c>
      <c r="J546" s="6" t="s">
        <v>1327</v>
      </c>
      <c r="K546" s="9">
        <v>10310</v>
      </c>
      <c r="L546" s="8" t="s">
        <v>12379</v>
      </c>
      <c r="M546" s="9">
        <v>9</v>
      </c>
      <c r="N546" s="6">
        <v>13.7581121</v>
      </c>
      <c r="O546" s="6">
        <v>100.56592379999999</v>
      </c>
      <c r="P546" s="6" t="s">
        <v>12380</v>
      </c>
      <c r="Q546" s="6">
        <v>34</v>
      </c>
      <c r="R546" s="6" t="s">
        <v>906</v>
      </c>
      <c r="S546" s="6">
        <v>2010</v>
      </c>
      <c r="T546" s="6"/>
      <c r="X546" s="6" t="s">
        <v>12381</v>
      </c>
      <c r="Y546" s="6" t="s">
        <v>12382</v>
      </c>
      <c r="Z546" s="6" t="s">
        <v>12383</v>
      </c>
      <c r="AA546" s="6" t="s">
        <v>12384</v>
      </c>
      <c r="AB546" s="6" t="s">
        <v>12385</v>
      </c>
      <c r="AC546" s="6">
        <v>517810</v>
      </c>
      <c r="AD546" s="10" t="str">
        <f>_xlfn.XLOOKUP(AC546,[1]Mapping!B:B,[1]Mapping!C:C,"")</f>
        <v xml:space="preserve">All Other Telecommunications </v>
      </c>
      <c r="AG546" s="6" t="s">
        <v>89</v>
      </c>
      <c r="AH546" s="6" t="s">
        <v>86</v>
      </c>
      <c r="AI546" s="6" t="s">
        <v>87</v>
      </c>
      <c r="AQ546" s="6" t="s">
        <v>1384</v>
      </c>
      <c r="AR546" s="6" t="s">
        <v>1385</v>
      </c>
      <c r="AS546" s="6" t="s">
        <v>12386</v>
      </c>
      <c r="AT546" s="6">
        <v>6190</v>
      </c>
      <c r="AU546" s="6" t="s">
        <v>96</v>
      </c>
      <c r="AV546" s="6">
        <v>61.9</v>
      </c>
      <c r="AW546" s="6" t="s">
        <v>96</v>
      </c>
      <c r="AX546" s="6" t="s">
        <v>12387</v>
      </c>
      <c r="AY546" s="6" t="s">
        <v>12388</v>
      </c>
      <c r="AZ546" s="6">
        <v>66638455863</v>
      </c>
      <c r="BA546" s="6" t="s">
        <v>12389</v>
      </c>
      <c r="BD546" s="6" t="s">
        <v>12390</v>
      </c>
      <c r="BE546" s="6" t="str">
        <f t="shared" si="16"/>
        <v>truecorp.co.th</v>
      </c>
      <c r="BF546" s="6" t="str">
        <f t="shared" si="17"/>
        <v>th</v>
      </c>
      <c r="BG546" s="6" t="s">
        <v>1851</v>
      </c>
      <c r="BH546" s="6" t="s">
        <v>12391</v>
      </c>
      <c r="BP546" s="6" t="s">
        <v>12392</v>
      </c>
      <c r="BQ546" s="6" t="s">
        <v>12393</v>
      </c>
      <c r="BR546" s="6" t="s">
        <v>105</v>
      </c>
    </row>
    <row r="547" spans="1:70" ht="45" customHeight="1" x14ac:dyDescent="0.25">
      <c r="A547" s="6">
        <v>547</v>
      </c>
      <c r="B547" s="7" t="s">
        <v>12394</v>
      </c>
      <c r="C547" s="8" t="s">
        <v>12395</v>
      </c>
      <c r="D547" s="6" t="s">
        <v>12394</v>
      </c>
      <c r="E547" s="6" t="s">
        <v>12396</v>
      </c>
      <c r="F547" s="8" t="s">
        <v>12397</v>
      </c>
      <c r="G547" s="6" t="s">
        <v>73</v>
      </c>
      <c r="H547" s="6" t="s">
        <v>74</v>
      </c>
      <c r="I547" s="6"/>
      <c r="J547" s="6" t="s">
        <v>12398</v>
      </c>
      <c r="K547" s="9">
        <v>2300</v>
      </c>
      <c r="L547" s="8" t="s">
        <v>12399</v>
      </c>
      <c r="M547" s="9">
        <v>41</v>
      </c>
      <c r="N547" s="6">
        <v>55.664208599999988</v>
      </c>
      <c r="O547" s="6">
        <v>12.573543300000001</v>
      </c>
      <c r="P547" s="6" t="s">
        <v>12400</v>
      </c>
      <c r="Q547" s="6">
        <v>1</v>
      </c>
      <c r="R547" s="6" t="s">
        <v>79</v>
      </c>
      <c r="S547" s="6">
        <v>2004</v>
      </c>
      <c r="T547" s="6">
        <v>5614217</v>
      </c>
      <c r="U547" s="6" t="s">
        <v>80</v>
      </c>
      <c r="V547" s="6">
        <v>25</v>
      </c>
      <c r="W547" s="6" t="s">
        <v>167</v>
      </c>
      <c r="X547" s="6" t="s">
        <v>12401</v>
      </c>
      <c r="Y547" s="6" t="s">
        <v>12402</v>
      </c>
      <c r="Z547" s="6" t="s">
        <v>12403</v>
      </c>
      <c r="AA547" s="6" t="s">
        <v>12404</v>
      </c>
      <c r="AB547" s="6" t="s">
        <v>12405</v>
      </c>
      <c r="AC547" s="6">
        <v>518210</v>
      </c>
      <c r="AD547" s="10" t="str">
        <f>_xlfn.XLOOKUP(AC547,[1]Mapping!B:B,[1]Mapping!C:C,"")</f>
        <v>Computing Infrastructure Providers, Data Processing, Web Hosting, and Related Services</v>
      </c>
      <c r="AG547" s="6" t="s">
        <v>173</v>
      </c>
      <c r="AH547" s="6" t="s">
        <v>86</v>
      </c>
      <c r="AI547" s="6" t="s">
        <v>87</v>
      </c>
      <c r="AJ547" s="6" t="s">
        <v>174</v>
      </c>
      <c r="AK547" s="6" t="s">
        <v>175</v>
      </c>
      <c r="AL547" s="6" t="s">
        <v>176</v>
      </c>
      <c r="AM547" s="6" t="s">
        <v>177</v>
      </c>
      <c r="AN547" s="6" t="s">
        <v>91</v>
      </c>
      <c r="AO547" s="6" t="s">
        <v>92</v>
      </c>
      <c r="AQ547" s="6" t="s">
        <v>178</v>
      </c>
      <c r="AR547" s="6" t="s">
        <v>179</v>
      </c>
      <c r="AT547" s="6" t="s">
        <v>181</v>
      </c>
      <c r="AU547" s="6" t="s">
        <v>182</v>
      </c>
      <c r="AV547" s="6" t="s">
        <v>183</v>
      </c>
      <c r="AW547" s="6" t="s">
        <v>184</v>
      </c>
      <c r="AY547" s="6" t="s">
        <v>12406</v>
      </c>
      <c r="AZ547" s="6">
        <v>4588331000</v>
      </c>
      <c r="BA547" s="6" t="s">
        <v>12407</v>
      </c>
      <c r="BB547" s="6" t="s">
        <v>12408</v>
      </c>
      <c r="BD547" s="6" t="s">
        <v>12409</v>
      </c>
      <c r="BE547" s="6" t="str">
        <f t="shared" si="16"/>
        <v>trustzone.com</v>
      </c>
      <c r="BF547" s="6" t="str">
        <f t="shared" si="17"/>
        <v>com</v>
      </c>
      <c r="BG547" s="6" t="s">
        <v>101</v>
      </c>
      <c r="BH547" s="6" t="s">
        <v>12410</v>
      </c>
      <c r="BK547" s="6" t="s">
        <v>12411</v>
      </c>
      <c r="BP547" s="6" t="s">
        <v>12412</v>
      </c>
      <c r="BQ547" s="6" t="s">
        <v>12413</v>
      </c>
      <c r="BR547" s="6" t="s">
        <v>105</v>
      </c>
    </row>
    <row r="548" spans="1:70" ht="45" customHeight="1" x14ac:dyDescent="0.25">
      <c r="A548" s="6">
        <v>548</v>
      </c>
      <c r="B548" s="7" t="s">
        <v>12414</v>
      </c>
      <c r="C548" s="8" t="s">
        <v>12415</v>
      </c>
      <c r="D548" s="6" t="s">
        <v>12416</v>
      </c>
      <c r="E548" s="6" t="s">
        <v>12417</v>
      </c>
      <c r="F548" s="8" t="s">
        <v>12418</v>
      </c>
      <c r="G548" s="6" t="s">
        <v>612</v>
      </c>
      <c r="H548" s="6" t="s">
        <v>613</v>
      </c>
      <c r="I548" s="6" t="s">
        <v>614</v>
      </c>
      <c r="J548" s="6" t="s">
        <v>615</v>
      </c>
      <c r="K548" s="9">
        <v>40150</v>
      </c>
      <c r="L548" s="8" t="s">
        <v>12419</v>
      </c>
      <c r="M548" s="9">
        <v>14</v>
      </c>
      <c r="N548" s="6">
        <v>3.0847351999999999</v>
      </c>
      <c r="O548" s="6">
        <v>101.5637916</v>
      </c>
      <c r="P548" s="6" t="s">
        <v>12420</v>
      </c>
      <c r="Q548" s="6">
        <v>1</v>
      </c>
      <c r="R548" s="6" t="s">
        <v>79</v>
      </c>
      <c r="S548" s="6">
        <v>1997</v>
      </c>
      <c r="T548" s="6">
        <v>4307692</v>
      </c>
      <c r="U548" s="6" t="s">
        <v>80</v>
      </c>
      <c r="V548" s="6">
        <v>75</v>
      </c>
      <c r="W548" s="6" t="s">
        <v>80</v>
      </c>
      <c r="X548" s="6" t="s">
        <v>12421</v>
      </c>
      <c r="Y548" s="6" t="s">
        <v>12422</v>
      </c>
      <c r="Z548" s="6" t="s">
        <v>12423</v>
      </c>
      <c r="AA548" s="6" t="s">
        <v>12424</v>
      </c>
      <c r="AC548" s="6">
        <v>221310</v>
      </c>
      <c r="AD548" s="10" t="str">
        <f>_xlfn.XLOOKUP(AC548,[1]Mapping!B:B,[1]Mapping!C:C,"")</f>
        <v xml:space="preserve">Water Supply and Irrigation Systems </v>
      </c>
      <c r="AG548" s="6" t="s">
        <v>3972</v>
      </c>
      <c r="AH548" s="6" t="s">
        <v>3761</v>
      </c>
      <c r="AI548" s="6" t="s">
        <v>3762</v>
      </c>
      <c r="AQ548" s="6" t="s">
        <v>12425</v>
      </c>
      <c r="AR548" s="6" t="s">
        <v>12426</v>
      </c>
      <c r="AS548" s="6" t="s">
        <v>12427</v>
      </c>
      <c r="AT548" s="6" t="s">
        <v>12428</v>
      </c>
      <c r="AU548" s="6" t="s">
        <v>12429</v>
      </c>
      <c r="AV548" s="6" t="s">
        <v>12430</v>
      </c>
      <c r="AW548" s="6" t="s">
        <v>12431</v>
      </c>
      <c r="AX548" s="6" t="s">
        <v>12432</v>
      </c>
      <c r="AY548" s="6" t="s">
        <v>12433</v>
      </c>
      <c r="AZ548" s="6" t="s">
        <v>12434</v>
      </c>
      <c r="BA548" s="6" t="s">
        <v>12435</v>
      </c>
      <c r="BB548" s="6" t="s">
        <v>12435</v>
      </c>
      <c r="BD548" s="6" t="s">
        <v>12436</v>
      </c>
      <c r="BE548" s="6" t="str">
        <f t="shared" si="16"/>
        <v>time.com.my</v>
      </c>
      <c r="BF548" s="6" t="str">
        <f t="shared" si="17"/>
        <v>my</v>
      </c>
      <c r="BG548" s="6" t="s">
        <v>101</v>
      </c>
      <c r="BH548" s="6" t="s">
        <v>12437</v>
      </c>
      <c r="BJ548" s="6" t="s">
        <v>12438</v>
      </c>
      <c r="BK548" s="6" t="s">
        <v>12439</v>
      </c>
      <c r="BQ548" s="6" t="s">
        <v>12440</v>
      </c>
      <c r="BR548" s="6" t="s">
        <v>105</v>
      </c>
    </row>
    <row r="549" spans="1:70" ht="45" customHeight="1" x14ac:dyDescent="0.25">
      <c r="A549" s="6">
        <v>549</v>
      </c>
      <c r="B549" s="7" t="s">
        <v>12441</v>
      </c>
      <c r="C549" s="8" t="s">
        <v>12442</v>
      </c>
      <c r="D549" s="6" t="s">
        <v>12443</v>
      </c>
      <c r="E549" s="8" t="s">
        <v>12441</v>
      </c>
      <c r="F549" s="8" t="s">
        <v>12444</v>
      </c>
      <c r="G549" s="6" t="s">
        <v>73</v>
      </c>
      <c r="H549" s="6" t="s">
        <v>74</v>
      </c>
      <c r="J549" s="6" t="s">
        <v>486</v>
      </c>
      <c r="K549" s="9">
        <v>2300</v>
      </c>
      <c r="L549" s="8" t="s">
        <v>12445</v>
      </c>
      <c r="M549" s="9" t="s">
        <v>12446</v>
      </c>
      <c r="N549" s="6">
        <v>55.665067099999987</v>
      </c>
      <c r="O549" s="6">
        <v>12.6281868</v>
      </c>
      <c r="P549" s="6" t="s">
        <v>12447</v>
      </c>
      <c r="Q549" s="6">
        <v>1</v>
      </c>
      <c r="R549" s="6" t="s">
        <v>79</v>
      </c>
      <c r="S549" s="6">
        <v>2013</v>
      </c>
      <c r="T549" s="6"/>
      <c r="X549" s="6" t="s">
        <v>12448</v>
      </c>
      <c r="Y549" s="6" t="s">
        <v>12449</v>
      </c>
      <c r="Z549" s="6" t="s">
        <v>12450</v>
      </c>
      <c r="AA549" s="6" t="s">
        <v>12451</v>
      </c>
      <c r="AB549" s="6" t="s">
        <v>12452</v>
      </c>
      <c r="AC549" s="6">
        <v>812112</v>
      </c>
      <c r="AD549" s="10" t="str">
        <f>_xlfn.XLOOKUP(AC549,[1]Mapping!B:B,[1]Mapping!C:C,"")</f>
        <v xml:space="preserve">Beauty Salons </v>
      </c>
      <c r="AG549" s="6" t="s">
        <v>12453</v>
      </c>
      <c r="AH549" s="6" t="s">
        <v>12454</v>
      </c>
      <c r="AI549" s="6" t="s">
        <v>1893</v>
      </c>
      <c r="AJ549" s="6" t="s">
        <v>293</v>
      </c>
      <c r="AK549" s="6" t="s">
        <v>294</v>
      </c>
      <c r="AL549" s="6" t="s">
        <v>295</v>
      </c>
      <c r="AM549" s="6" t="s">
        <v>296</v>
      </c>
      <c r="AN549" s="6" t="s">
        <v>297</v>
      </c>
      <c r="AO549" s="6" t="s">
        <v>298</v>
      </c>
      <c r="AQ549" s="6">
        <v>7231</v>
      </c>
      <c r="AR549" s="6" t="s">
        <v>12455</v>
      </c>
      <c r="AS549" s="6" t="s">
        <v>12456</v>
      </c>
      <c r="AT549" s="6">
        <v>9602</v>
      </c>
      <c r="AU549" s="6" t="s">
        <v>12457</v>
      </c>
      <c r="AV549" s="6">
        <v>96.02</v>
      </c>
      <c r="AW549" s="6" t="s">
        <v>12457</v>
      </c>
      <c r="AX549" s="6" t="s">
        <v>12458</v>
      </c>
      <c r="AY549" s="6" t="s">
        <v>12459</v>
      </c>
      <c r="AZ549" s="6" t="s">
        <v>12460</v>
      </c>
      <c r="BA549" s="6" t="s">
        <v>12461</v>
      </c>
      <c r="BB549" s="6" t="s">
        <v>12462</v>
      </c>
      <c r="BD549" s="6" t="s">
        <v>12463</v>
      </c>
      <c r="BE549" s="6" t="str">
        <f t="shared" si="16"/>
        <v>tt-network.dk</v>
      </c>
      <c r="BF549" s="6" t="str">
        <f t="shared" si="17"/>
        <v>dk</v>
      </c>
      <c r="BG549" s="6" t="s">
        <v>123</v>
      </c>
      <c r="BH549" s="6" t="s">
        <v>12464</v>
      </c>
      <c r="BJ549" s="6" t="s">
        <v>12465</v>
      </c>
      <c r="BP549" s="6" t="s">
        <v>12466</v>
      </c>
      <c r="BQ549" s="6" t="s">
        <v>12467</v>
      </c>
      <c r="BR549" s="6" t="s">
        <v>105</v>
      </c>
    </row>
    <row r="550" spans="1:70" ht="45" customHeight="1" x14ac:dyDescent="0.25">
      <c r="A550" s="6">
        <v>550</v>
      </c>
      <c r="B550" s="7" t="s">
        <v>12468</v>
      </c>
      <c r="C550" s="8" t="s">
        <v>12469</v>
      </c>
      <c r="D550" s="6" t="s">
        <v>12470</v>
      </c>
      <c r="E550" s="8" t="s">
        <v>12468</v>
      </c>
      <c r="F550" s="8" t="s">
        <v>12471</v>
      </c>
      <c r="G550" s="6" t="s">
        <v>6391</v>
      </c>
      <c r="H550" s="6" t="s">
        <v>6392</v>
      </c>
      <c r="I550" s="8" t="s">
        <v>12472</v>
      </c>
      <c r="J550" s="6" t="s">
        <v>12473</v>
      </c>
      <c r="K550" s="9" t="s">
        <v>12474</v>
      </c>
      <c r="L550" s="8" t="s">
        <v>12475</v>
      </c>
      <c r="M550" s="9">
        <v>838</v>
      </c>
      <c r="N550" s="6">
        <v>48.424455199999997</v>
      </c>
      <c r="O550" s="6">
        <v>-123.3608595</v>
      </c>
      <c r="P550" s="6" t="s">
        <v>12476</v>
      </c>
      <c r="Q550" s="6">
        <v>1</v>
      </c>
      <c r="R550" s="6" t="s">
        <v>79</v>
      </c>
      <c r="S550" s="6">
        <v>2011</v>
      </c>
      <c r="T550" s="6">
        <v>12000000</v>
      </c>
      <c r="U550" s="6" t="s">
        <v>167</v>
      </c>
      <c r="V550" s="6">
        <v>3</v>
      </c>
      <c r="W550" s="6" t="s">
        <v>167</v>
      </c>
      <c r="X550" s="6" t="s">
        <v>12477</v>
      </c>
      <c r="Y550" s="6" t="s">
        <v>12478</v>
      </c>
      <c r="Z550" s="6" t="s">
        <v>12477</v>
      </c>
      <c r="AA550" s="6" t="s">
        <v>12479</v>
      </c>
      <c r="AB550" s="6" t="s">
        <v>12480</v>
      </c>
      <c r="AC550" s="6">
        <v>517122</v>
      </c>
      <c r="AD550" s="10" t="str">
        <f>_xlfn.XLOOKUP(AC550,[1]Mapping!B:B,[1]Mapping!C:C,"")</f>
        <v>Agents for Wireless Telecommunications Services</v>
      </c>
      <c r="AG550" s="6" t="s">
        <v>89</v>
      </c>
      <c r="AH550" s="6" t="s">
        <v>86</v>
      </c>
      <c r="AI550" s="6" t="s">
        <v>87</v>
      </c>
      <c r="AJ550" s="6" t="s">
        <v>174</v>
      </c>
      <c r="AK550" s="6" t="s">
        <v>175</v>
      </c>
      <c r="AL550" s="6" t="s">
        <v>176</v>
      </c>
      <c r="AM550" s="6" t="s">
        <v>177</v>
      </c>
      <c r="AN550" s="6" t="s">
        <v>91</v>
      </c>
      <c r="AO550" s="6" t="s">
        <v>92</v>
      </c>
      <c r="AQ550" s="6" t="s">
        <v>11864</v>
      </c>
      <c r="AR550" s="6" t="s">
        <v>11865</v>
      </c>
      <c r="AS550" s="6" t="s">
        <v>12481</v>
      </c>
      <c r="AT550" s="6" t="s">
        <v>11867</v>
      </c>
      <c r="AU550" s="6" t="s">
        <v>11868</v>
      </c>
      <c r="AV550" s="6" t="s">
        <v>11869</v>
      </c>
      <c r="AW550" s="6" t="s">
        <v>11870</v>
      </c>
      <c r="AX550" s="6" t="s">
        <v>12482</v>
      </c>
      <c r="AY550" s="6" t="s">
        <v>12483</v>
      </c>
      <c r="AZ550" s="6">
        <v>18556888352</v>
      </c>
      <c r="BA550" s="6" t="s">
        <v>12484</v>
      </c>
      <c r="BB550" s="6" t="s">
        <v>12485</v>
      </c>
      <c r="BD550" s="6" t="s">
        <v>12486</v>
      </c>
      <c r="BE550" s="6" t="str">
        <f t="shared" si="16"/>
        <v>tutela.com</v>
      </c>
      <c r="BF550" s="6" t="str">
        <f t="shared" si="17"/>
        <v>com</v>
      </c>
      <c r="BG550" s="6" t="s">
        <v>101</v>
      </c>
      <c r="BH550" s="6" t="s">
        <v>12487</v>
      </c>
      <c r="BI550" s="6" t="s">
        <v>12488</v>
      </c>
      <c r="BJ550" s="6" t="s">
        <v>12489</v>
      </c>
      <c r="BK550" s="6" t="s">
        <v>12490</v>
      </c>
      <c r="BP550" s="6" t="s">
        <v>12491</v>
      </c>
      <c r="BQ550" s="6" t="s">
        <v>12492</v>
      </c>
      <c r="BR550" s="6" t="s">
        <v>105</v>
      </c>
    </row>
    <row r="551" spans="1:70" ht="45" customHeight="1" x14ac:dyDescent="0.25">
      <c r="A551" s="6">
        <v>551</v>
      </c>
      <c r="B551" s="7" t="s">
        <v>12493</v>
      </c>
      <c r="C551" s="8" t="s">
        <v>12494</v>
      </c>
      <c r="D551" s="6" t="s">
        <v>12495</v>
      </c>
      <c r="E551" s="6" t="s">
        <v>12496</v>
      </c>
      <c r="F551" s="8" t="s">
        <v>12497</v>
      </c>
      <c r="G551" s="6" t="s">
        <v>840</v>
      </c>
      <c r="H551" s="6" t="s">
        <v>841</v>
      </c>
      <c r="I551" s="6" t="s">
        <v>12498</v>
      </c>
      <c r="J551" s="6" t="s">
        <v>12499</v>
      </c>
      <c r="K551" s="9" t="s">
        <v>12500</v>
      </c>
      <c r="L551" s="8" t="s">
        <v>12501</v>
      </c>
      <c r="N551" s="6">
        <v>51.615687200000004</v>
      </c>
      <c r="O551" s="6">
        <v>-2.6727976999999998</v>
      </c>
      <c r="P551" s="6" t="s">
        <v>12502</v>
      </c>
      <c r="Q551" s="6">
        <v>11</v>
      </c>
      <c r="R551" s="6" t="s">
        <v>79</v>
      </c>
      <c r="S551" s="6">
        <v>2005</v>
      </c>
      <c r="T551" s="6">
        <v>66500000</v>
      </c>
      <c r="U551" s="6" t="s">
        <v>167</v>
      </c>
      <c r="V551" s="6">
        <v>160</v>
      </c>
      <c r="W551" s="6" t="s">
        <v>167</v>
      </c>
      <c r="X551" s="6" t="s">
        <v>12503</v>
      </c>
      <c r="Y551" s="6" t="s">
        <v>12504</v>
      </c>
      <c r="Z551" s="6" t="s">
        <v>12505</v>
      </c>
      <c r="AA551" s="6" t="s">
        <v>12506</v>
      </c>
      <c r="AB551" s="6" t="s">
        <v>12507</v>
      </c>
      <c r="AC551" s="6">
        <v>517810</v>
      </c>
      <c r="AD551" s="10" t="str">
        <f>_xlfn.XLOOKUP(AC551,[1]Mapping!B:B,[1]Mapping!C:C,"")</f>
        <v xml:space="preserve">All Other Telecommunications </v>
      </c>
      <c r="AG551" s="6" t="s">
        <v>89</v>
      </c>
      <c r="AH551" s="6" t="s">
        <v>86</v>
      </c>
      <c r="AI551" s="6" t="s">
        <v>87</v>
      </c>
      <c r="AJ551" s="6" t="s">
        <v>86</v>
      </c>
      <c r="AK551" s="6" t="s">
        <v>88</v>
      </c>
      <c r="AL551" s="6" t="s">
        <v>89</v>
      </c>
      <c r="AM551" s="6" t="s">
        <v>90</v>
      </c>
      <c r="AN551" s="6" t="s">
        <v>91</v>
      </c>
      <c r="AO551" s="6" t="s">
        <v>92</v>
      </c>
      <c r="AQ551" s="6" t="s">
        <v>1384</v>
      </c>
      <c r="AR551" s="6" t="s">
        <v>1385</v>
      </c>
      <c r="AS551" s="6" t="s">
        <v>12508</v>
      </c>
      <c r="AT551" s="6">
        <v>6190</v>
      </c>
      <c r="AU551" s="6" t="s">
        <v>96</v>
      </c>
      <c r="AV551" s="6">
        <v>61.9</v>
      </c>
      <c r="AW551" s="6" t="s">
        <v>96</v>
      </c>
      <c r="AX551" s="6" t="s">
        <v>12509</v>
      </c>
      <c r="AY551" s="6" t="s">
        <v>12510</v>
      </c>
      <c r="AZ551" s="6" t="s">
        <v>12511</v>
      </c>
      <c r="BA551" s="6" t="s">
        <v>12512</v>
      </c>
      <c r="BB551" s="6" t="s">
        <v>12513</v>
      </c>
      <c r="BD551" s="6" t="s">
        <v>12514</v>
      </c>
      <c r="BE551" s="6" t="str">
        <f t="shared" si="16"/>
        <v>txo.com</v>
      </c>
      <c r="BF551" s="6" t="str">
        <f t="shared" si="17"/>
        <v>com</v>
      </c>
      <c r="BG551" s="6" t="s">
        <v>101</v>
      </c>
      <c r="BH551" s="6" t="s">
        <v>12515</v>
      </c>
      <c r="BI551" s="6" t="s">
        <v>12516</v>
      </c>
      <c r="BK551" s="6" t="s">
        <v>12517</v>
      </c>
      <c r="BN551" s="6" t="s">
        <v>12518</v>
      </c>
      <c r="BP551" s="6" t="s">
        <v>12519</v>
      </c>
      <c r="BQ551" s="6" t="s">
        <v>12520</v>
      </c>
      <c r="BR551" s="6" t="s">
        <v>105</v>
      </c>
    </row>
    <row r="552" spans="1:70" ht="45" customHeight="1" x14ac:dyDescent="0.25">
      <c r="A552" s="6">
        <v>552</v>
      </c>
      <c r="B552" s="7" t="s">
        <v>12521</v>
      </c>
      <c r="C552" s="8" t="s">
        <v>12522</v>
      </c>
      <c r="D552" s="6" t="s">
        <v>12523</v>
      </c>
      <c r="E552" s="8" t="s">
        <v>12521</v>
      </c>
      <c r="F552" s="8" t="s">
        <v>12524</v>
      </c>
      <c r="G552" s="6" t="s">
        <v>12525</v>
      </c>
      <c r="H552" s="6" t="s">
        <v>12526</v>
      </c>
      <c r="I552" s="8" t="s">
        <v>12527</v>
      </c>
      <c r="J552" s="6" t="s">
        <v>12527</v>
      </c>
      <c r="K552" s="9">
        <v>10613</v>
      </c>
      <c r="L552" s="8" t="s">
        <v>12528</v>
      </c>
      <c r="M552" s="9">
        <v>201</v>
      </c>
      <c r="N552" s="6">
        <v>44.450007399999997</v>
      </c>
      <c r="O552" s="6">
        <v>26.094617700000001</v>
      </c>
      <c r="P552" s="6" t="s">
        <v>12529</v>
      </c>
      <c r="Q552" s="6">
        <v>2</v>
      </c>
      <c r="R552" s="6" t="s">
        <v>79</v>
      </c>
      <c r="S552" s="6">
        <v>2019</v>
      </c>
      <c r="T552" s="6">
        <v>932032</v>
      </c>
      <c r="U552" s="6" t="s">
        <v>80</v>
      </c>
      <c r="V552" s="6">
        <v>75</v>
      </c>
      <c r="W552" s="6" t="s">
        <v>80</v>
      </c>
      <c r="X552" s="6" t="s">
        <v>12530</v>
      </c>
      <c r="Y552" s="6" t="s">
        <v>12531</v>
      </c>
      <c r="Z552" s="6" t="s">
        <v>12532</v>
      </c>
      <c r="AA552" s="6" t="s">
        <v>12533</v>
      </c>
      <c r="AB552" s="6" t="s">
        <v>12534</v>
      </c>
      <c r="AC552" s="6">
        <v>624310</v>
      </c>
      <c r="AD552" s="10" t="str">
        <f>_xlfn.XLOOKUP(AC552,[1]Mapping!B:B,[1]Mapping!C:C,"")</f>
        <v xml:space="preserve">Vocational Rehabilitation Services </v>
      </c>
      <c r="AG552" s="6" t="s">
        <v>12535</v>
      </c>
      <c r="AH552" s="6" t="s">
        <v>9098</v>
      </c>
      <c r="AI552" s="6" t="s">
        <v>1164</v>
      </c>
      <c r="AQ552" s="6">
        <v>8331</v>
      </c>
      <c r="AR552" s="6" t="s">
        <v>12536</v>
      </c>
      <c r="AT552" s="6">
        <v>8890</v>
      </c>
      <c r="AU552" s="6" t="s">
        <v>11418</v>
      </c>
      <c r="AV552" s="6" t="s">
        <v>11419</v>
      </c>
      <c r="AW552" s="6" t="s">
        <v>11420</v>
      </c>
      <c r="BA552" s="6" t="s">
        <v>12537</v>
      </c>
      <c r="BB552" s="6" t="s">
        <v>12538</v>
      </c>
      <c r="BD552" s="6" t="s">
        <v>12539</v>
      </c>
      <c r="BE552" s="6" t="str">
        <f t="shared" si="16"/>
        <v>uipath.com</v>
      </c>
      <c r="BF552" s="6" t="str">
        <f t="shared" si="17"/>
        <v>com</v>
      </c>
      <c r="BG552" s="6" t="s">
        <v>101</v>
      </c>
      <c r="BH552" s="6" t="s">
        <v>12540</v>
      </c>
      <c r="BI552" s="6" t="s">
        <v>12541</v>
      </c>
      <c r="BJ552" s="6" t="s">
        <v>12542</v>
      </c>
      <c r="BK552" s="6" t="s">
        <v>12543</v>
      </c>
      <c r="BN552" s="6" t="s">
        <v>12544</v>
      </c>
      <c r="BP552" s="6" t="s">
        <v>12545</v>
      </c>
      <c r="BQ552" s="6" t="s">
        <v>12546</v>
      </c>
      <c r="BR552" s="6" t="s">
        <v>105</v>
      </c>
    </row>
    <row r="553" spans="1:70" ht="45" customHeight="1" x14ac:dyDescent="0.25">
      <c r="A553" s="6">
        <v>553</v>
      </c>
      <c r="B553" s="7" t="s">
        <v>12547</v>
      </c>
      <c r="C553" s="8" t="s">
        <v>12548</v>
      </c>
      <c r="D553" s="6" t="s">
        <v>12549</v>
      </c>
      <c r="E553" s="6" t="s">
        <v>12550</v>
      </c>
      <c r="F553" s="8" t="s">
        <v>12551</v>
      </c>
      <c r="G553" s="6" t="s">
        <v>1400</v>
      </c>
      <c r="H553" s="6" t="s">
        <v>1401</v>
      </c>
      <c r="I553" s="6" t="s">
        <v>1402</v>
      </c>
      <c r="J553" s="6" t="s">
        <v>1403</v>
      </c>
      <c r="K553" s="9">
        <v>75600</v>
      </c>
      <c r="L553" s="8" t="s">
        <v>5884</v>
      </c>
      <c r="M553" s="9">
        <v>99</v>
      </c>
      <c r="N553" s="6">
        <v>24.854267</v>
      </c>
      <c r="O553" s="6">
        <v>67.029142199999995</v>
      </c>
      <c r="P553" s="6" t="s">
        <v>12552</v>
      </c>
      <c r="Q553" s="6">
        <v>1</v>
      </c>
      <c r="R553" s="6" t="s">
        <v>79</v>
      </c>
      <c r="S553" s="6">
        <v>1989</v>
      </c>
      <c r="T553" s="6">
        <v>280704</v>
      </c>
      <c r="U553" s="6" t="s">
        <v>80</v>
      </c>
      <c r="V553" s="6">
        <v>75</v>
      </c>
      <c r="W553" s="6" t="s">
        <v>80</v>
      </c>
      <c r="X553" s="6" t="s">
        <v>12553</v>
      </c>
      <c r="Y553" s="6" t="s">
        <v>12554</v>
      </c>
      <c r="Z553" s="6" t="s">
        <v>12555</v>
      </c>
      <c r="AA553" s="6" t="s">
        <v>12556</v>
      </c>
      <c r="AC553" s="6">
        <v>541380</v>
      </c>
      <c r="AD553" s="10" t="str">
        <f>_xlfn.XLOOKUP(AC553,[1]Mapping!B:B,[1]Mapping!C:C,"")</f>
        <v>Testing Laboratories and Services</v>
      </c>
      <c r="AG553" s="6" t="s">
        <v>4884</v>
      </c>
      <c r="AH553" s="6" t="s">
        <v>2348</v>
      </c>
      <c r="AI553" s="6" t="s">
        <v>4822</v>
      </c>
      <c r="AJ553" s="6" t="s">
        <v>653</v>
      </c>
      <c r="AK553" s="6" t="s">
        <v>654</v>
      </c>
      <c r="AL553" s="6" t="s">
        <v>655</v>
      </c>
      <c r="AM553" s="6" t="s">
        <v>656</v>
      </c>
      <c r="AN553" s="6" t="s">
        <v>655</v>
      </c>
      <c r="AO553" s="6" t="s">
        <v>657</v>
      </c>
      <c r="AQ553" s="6">
        <v>8734</v>
      </c>
      <c r="AR553" s="6" t="s">
        <v>12557</v>
      </c>
      <c r="AT553" s="6">
        <v>7120</v>
      </c>
      <c r="AU553" s="6" t="s">
        <v>12558</v>
      </c>
      <c r="AV553" s="6">
        <v>71.2</v>
      </c>
      <c r="AW553" s="6" t="s">
        <v>12558</v>
      </c>
      <c r="AY553" s="6" t="s">
        <v>12559</v>
      </c>
      <c r="AZ553" s="6" t="s">
        <v>12560</v>
      </c>
      <c r="BA553" s="6" t="s">
        <v>12561</v>
      </c>
      <c r="BB553" s="6" t="s">
        <v>12561</v>
      </c>
      <c r="BD553" s="6" t="s">
        <v>12562</v>
      </c>
      <c r="BE553" s="6" t="str">
        <f t="shared" si="16"/>
        <v>uniteam.com.pk</v>
      </c>
      <c r="BF553" s="6" t="str">
        <f t="shared" si="17"/>
        <v>pk</v>
      </c>
      <c r="BG553" s="6" t="s">
        <v>101</v>
      </c>
      <c r="BP553" s="6" t="s">
        <v>7136</v>
      </c>
      <c r="BQ553" s="6" t="s">
        <v>12563</v>
      </c>
      <c r="BR553" s="6" t="s">
        <v>105</v>
      </c>
    </row>
    <row r="554" spans="1:70" ht="45" customHeight="1" x14ac:dyDescent="0.25">
      <c r="A554" s="6">
        <v>554</v>
      </c>
      <c r="B554" s="7" t="s">
        <v>12564</v>
      </c>
      <c r="C554" s="8" t="s">
        <v>12565</v>
      </c>
      <c r="D554" s="6" t="s">
        <v>12566</v>
      </c>
      <c r="E554" s="6" t="s">
        <v>12567</v>
      </c>
      <c r="F554" s="8" t="s">
        <v>12568</v>
      </c>
      <c r="G554" s="6" t="s">
        <v>1324</v>
      </c>
      <c r="H554" s="6" t="s">
        <v>1325</v>
      </c>
      <c r="I554" s="6" t="s">
        <v>1326</v>
      </c>
      <c r="J554" s="6" t="s">
        <v>1327</v>
      </c>
      <c r="K554" s="9">
        <v>10900</v>
      </c>
      <c r="L554" s="8" t="s">
        <v>12569</v>
      </c>
      <c r="M554" s="9">
        <v>499</v>
      </c>
      <c r="N554" s="6">
        <v>13.8511366</v>
      </c>
      <c r="O554" s="6">
        <v>100.5621745</v>
      </c>
      <c r="P554" s="6" t="s">
        <v>12570</v>
      </c>
      <c r="Q554" s="6">
        <v>4</v>
      </c>
      <c r="R554" s="6" t="s">
        <v>79</v>
      </c>
      <c r="T554" s="6">
        <v>3797702</v>
      </c>
      <c r="U554" s="6" t="s">
        <v>80</v>
      </c>
      <c r="V554" s="6">
        <v>150</v>
      </c>
      <c r="W554" s="6" t="s">
        <v>80</v>
      </c>
      <c r="X554" s="6" t="s">
        <v>12571</v>
      </c>
      <c r="Y554" s="6" t="s">
        <v>12572</v>
      </c>
      <c r="Z554" s="6" t="s">
        <v>12573</v>
      </c>
      <c r="AA554" s="6" t="s">
        <v>12574</v>
      </c>
      <c r="AB554" s="6" t="s">
        <v>12575</v>
      </c>
      <c r="AC554" s="6">
        <v>518210</v>
      </c>
      <c r="AD554" s="10" t="str">
        <f>_xlfn.XLOOKUP(AC554,[1]Mapping!B:B,[1]Mapping!C:C,"")</f>
        <v>Computing Infrastructure Providers, Data Processing, Web Hosting, and Related Services</v>
      </c>
      <c r="AG554" s="6" t="s">
        <v>173</v>
      </c>
      <c r="AH554" s="6" t="s">
        <v>86</v>
      </c>
      <c r="AI554" s="6" t="s">
        <v>87</v>
      </c>
      <c r="AJ554" s="6" t="s">
        <v>86</v>
      </c>
      <c r="AK554" s="6" t="s">
        <v>88</v>
      </c>
      <c r="AL554" s="6" t="s">
        <v>89</v>
      </c>
      <c r="AM554" s="6" t="s">
        <v>90</v>
      </c>
      <c r="AN554" s="6" t="s">
        <v>91</v>
      </c>
      <c r="AO554" s="6" t="s">
        <v>92</v>
      </c>
      <c r="AQ554" s="6" t="s">
        <v>178</v>
      </c>
      <c r="AR554" s="6" t="s">
        <v>179</v>
      </c>
      <c r="AS554" s="6" t="s">
        <v>12576</v>
      </c>
      <c r="AT554" s="6" t="s">
        <v>181</v>
      </c>
      <c r="AU554" s="6" t="s">
        <v>182</v>
      </c>
      <c r="AV554" s="6" t="s">
        <v>183</v>
      </c>
      <c r="AW554" s="6" t="s">
        <v>184</v>
      </c>
      <c r="AX554" s="6" t="s">
        <v>12577</v>
      </c>
      <c r="AY554" s="6" t="s">
        <v>12578</v>
      </c>
      <c r="AZ554" s="6" t="s">
        <v>12579</v>
      </c>
      <c r="BA554" s="6" t="s">
        <v>12580</v>
      </c>
      <c r="BB554" s="6" t="s">
        <v>12580</v>
      </c>
      <c r="BC554" s="6" t="s">
        <v>12581</v>
      </c>
      <c r="BD554" s="6" t="s">
        <v>12582</v>
      </c>
      <c r="BE554" s="6" t="str">
        <f t="shared" si="16"/>
        <v>uih.co.th</v>
      </c>
      <c r="BF554" s="6" t="str">
        <f t="shared" si="17"/>
        <v>th</v>
      </c>
      <c r="BG554" s="6" t="s">
        <v>101</v>
      </c>
      <c r="BH554" s="6" t="s">
        <v>12583</v>
      </c>
      <c r="BK554" s="6" t="s">
        <v>12584</v>
      </c>
      <c r="BP554" s="6" t="s">
        <v>12585</v>
      </c>
      <c r="BQ554" s="6" t="s">
        <v>12586</v>
      </c>
      <c r="BR554" s="6" t="s">
        <v>105</v>
      </c>
    </row>
    <row r="555" spans="1:70" ht="45" customHeight="1" x14ac:dyDescent="0.25">
      <c r="A555" s="6">
        <v>555</v>
      </c>
      <c r="B555" s="7" t="s">
        <v>12587</v>
      </c>
      <c r="C555" s="8" t="s">
        <v>12588</v>
      </c>
      <c r="D555" s="6" t="s">
        <v>12589</v>
      </c>
      <c r="E555" s="6" t="s">
        <v>12590</v>
      </c>
      <c r="F555" s="8" t="s">
        <v>12591</v>
      </c>
      <c r="G555" s="6" t="s">
        <v>73</v>
      </c>
      <c r="H555" s="6" t="s">
        <v>74</v>
      </c>
      <c r="I555" s="6"/>
      <c r="J555" s="6" t="s">
        <v>3083</v>
      </c>
      <c r="K555" s="9">
        <v>2800</v>
      </c>
      <c r="L555" s="8" t="s">
        <v>3084</v>
      </c>
      <c r="M555" s="9" t="s">
        <v>12592</v>
      </c>
      <c r="N555" s="6">
        <v>55.770291800000003</v>
      </c>
      <c r="O555" s="6">
        <v>12.5035094</v>
      </c>
      <c r="P555" s="6" t="s">
        <v>12593</v>
      </c>
      <c r="Q555" s="6">
        <v>1</v>
      </c>
      <c r="R555" s="6" t="s">
        <v>79</v>
      </c>
      <c r="T555" s="6">
        <v>211696</v>
      </c>
      <c r="U555" s="6" t="s">
        <v>80</v>
      </c>
      <c r="V555" s="6">
        <v>1</v>
      </c>
      <c r="W555" s="6" t="s">
        <v>167</v>
      </c>
      <c r="X555" s="6" t="s">
        <v>12594</v>
      </c>
      <c r="Y555" s="6" t="s">
        <v>12595</v>
      </c>
      <c r="Z555" s="6" t="s">
        <v>12596</v>
      </c>
      <c r="AA555" s="6" t="s">
        <v>12597</v>
      </c>
      <c r="AB555" s="6" t="s">
        <v>12598</v>
      </c>
      <c r="AC555" s="6">
        <v>541611</v>
      </c>
      <c r="AD555" s="10" t="str">
        <f>_xlfn.XLOOKUP(AC555,[1]Mapping!B:B,[1]Mapping!C:C,"")</f>
        <v xml:space="preserve">Administrative Management and General Management Consulting Services </v>
      </c>
      <c r="AG555" s="6" t="s">
        <v>376</v>
      </c>
      <c r="AH555" s="6" t="s">
        <v>376</v>
      </c>
      <c r="AI555" s="6" t="s">
        <v>141</v>
      </c>
      <c r="AJ555" s="6" t="s">
        <v>1580</v>
      </c>
      <c r="AK555" s="6" t="s">
        <v>1581</v>
      </c>
      <c r="AL555" s="6" t="s">
        <v>1582</v>
      </c>
      <c r="AM555" s="6" t="s">
        <v>1583</v>
      </c>
      <c r="AN555" s="6" t="s">
        <v>764</v>
      </c>
      <c r="AO555" s="6" t="s">
        <v>765</v>
      </c>
      <c r="AQ555" s="6">
        <v>8742</v>
      </c>
      <c r="AR555" s="6" t="s">
        <v>377</v>
      </c>
      <c r="AT555" s="6">
        <v>7020</v>
      </c>
      <c r="AU555" s="6" t="s">
        <v>378</v>
      </c>
      <c r="AV555" s="6" t="s">
        <v>379</v>
      </c>
      <c r="AW555" s="6" t="s">
        <v>380</v>
      </c>
      <c r="AY555" s="6" t="s">
        <v>12599</v>
      </c>
      <c r="AZ555" s="6" t="s">
        <v>12600</v>
      </c>
      <c r="BA555" s="6" t="s">
        <v>12601</v>
      </c>
      <c r="BB555" s="6" t="s">
        <v>12601</v>
      </c>
      <c r="BD555" s="6" t="s">
        <v>12602</v>
      </c>
      <c r="BE555" s="6" t="str">
        <f t="shared" si="16"/>
        <v>roested.dk</v>
      </c>
      <c r="BF555" s="6" t="str">
        <f t="shared" si="17"/>
        <v>dk</v>
      </c>
      <c r="BG555" s="6" t="s">
        <v>101</v>
      </c>
      <c r="BK555" s="6" t="s">
        <v>12603</v>
      </c>
      <c r="BP555" s="6" t="s">
        <v>3698</v>
      </c>
      <c r="BQ555" s="6" t="s">
        <v>12604</v>
      </c>
      <c r="BR555" s="6" t="s">
        <v>105</v>
      </c>
    </row>
    <row r="556" spans="1:70" ht="45" customHeight="1" x14ac:dyDescent="0.25">
      <c r="A556" s="6">
        <v>556</v>
      </c>
      <c r="B556" s="7" t="s">
        <v>12605</v>
      </c>
      <c r="C556" s="8" t="s">
        <v>12606</v>
      </c>
      <c r="D556" s="6" t="s">
        <v>12607</v>
      </c>
      <c r="E556" s="8" t="s">
        <v>12605</v>
      </c>
      <c r="F556" s="8" t="s">
        <v>12607</v>
      </c>
      <c r="G556" s="6" t="s">
        <v>130</v>
      </c>
      <c r="H556" s="6" t="s">
        <v>131</v>
      </c>
      <c r="I556" s="8" t="s">
        <v>12608</v>
      </c>
      <c r="J556" s="6" t="s">
        <v>12609</v>
      </c>
      <c r="K556" s="9">
        <v>4879</v>
      </c>
      <c r="L556" s="8" t="s">
        <v>12610</v>
      </c>
      <c r="M556" s="9">
        <v>1</v>
      </c>
      <c r="N556" s="6">
        <v>58.336357999999997</v>
      </c>
      <c r="O556" s="6">
        <v>8.5758461999999991</v>
      </c>
      <c r="P556" s="6" t="s">
        <v>12611</v>
      </c>
      <c r="Q556" s="6">
        <v>1</v>
      </c>
      <c r="R556" s="6" t="s">
        <v>79</v>
      </c>
      <c r="S556" s="6">
        <v>1998</v>
      </c>
      <c r="T556" s="6">
        <v>5100000</v>
      </c>
      <c r="U556" s="6" t="s">
        <v>167</v>
      </c>
      <c r="V556" s="6">
        <v>27</v>
      </c>
      <c r="W556" s="6" t="s">
        <v>167</v>
      </c>
      <c r="X556" s="6" t="s">
        <v>12612</v>
      </c>
      <c r="Y556" s="6" t="s">
        <v>12613</v>
      </c>
      <c r="Z556" s="6" t="s">
        <v>12612</v>
      </c>
      <c r="AA556" s="6" t="s">
        <v>12614</v>
      </c>
      <c r="AB556" s="6" t="s">
        <v>12615</v>
      </c>
      <c r="AC556" s="6">
        <v>517121</v>
      </c>
      <c r="AD556" s="10" t="str">
        <f>_xlfn.XLOOKUP(AC556,[1]Mapping!B:B,[1]Mapping!C:C,"")</f>
        <v>Telecommunications Resellers</v>
      </c>
      <c r="AG556" s="6" t="s">
        <v>89</v>
      </c>
      <c r="AH556" s="6" t="s">
        <v>86</v>
      </c>
      <c r="AI556" s="6" t="s">
        <v>87</v>
      </c>
      <c r="AJ556" s="6" t="s">
        <v>86</v>
      </c>
      <c r="AK556" s="6" t="s">
        <v>88</v>
      </c>
      <c r="AL556" s="6" t="s">
        <v>89</v>
      </c>
      <c r="AM556" s="6" t="s">
        <v>90</v>
      </c>
      <c r="AN556" s="6" t="s">
        <v>91</v>
      </c>
      <c r="AO556" s="6" t="s">
        <v>92</v>
      </c>
      <c r="AQ556" s="6" t="s">
        <v>93</v>
      </c>
      <c r="AR556" s="6" t="s">
        <v>94</v>
      </c>
      <c r="AS556" s="6" t="s">
        <v>12616</v>
      </c>
      <c r="AT556" s="6">
        <v>6190</v>
      </c>
      <c r="AU556" s="6" t="s">
        <v>96</v>
      </c>
      <c r="AV556" s="6">
        <v>61.9</v>
      </c>
      <c r="AW556" s="6" t="s">
        <v>96</v>
      </c>
      <c r="AX556" s="6" t="s">
        <v>12617</v>
      </c>
      <c r="AY556" s="6" t="s">
        <v>12618</v>
      </c>
      <c r="AZ556" s="6">
        <v>4741213184</v>
      </c>
      <c r="BA556" s="6" t="s">
        <v>12619</v>
      </c>
      <c r="BB556" s="6" t="s">
        <v>12620</v>
      </c>
      <c r="BC556" s="6" t="s">
        <v>12621</v>
      </c>
      <c r="BD556" s="11" t="s">
        <v>12622</v>
      </c>
      <c r="BE556" s="6" t="str">
        <f t="shared" si="16"/>
        <v>utel.tech</v>
      </c>
      <c r="BF556" s="6" t="str">
        <f t="shared" si="17"/>
        <v>tech</v>
      </c>
      <c r="BG556" s="6" t="s">
        <v>101</v>
      </c>
      <c r="BH556" s="6" t="s">
        <v>12623</v>
      </c>
      <c r="BI556" s="6" t="s">
        <v>12624</v>
      </c>
      <c r="BK556" s="6" t="s">
        <v>12625</v>
      </c>
      <c r="BP556" s="6" t="s">
        <v>12626</v>
      </c>
      <c r="BQ556" s="6" t="s">
        <v>12627</v>
      </c>
      <c r="BR556" s="6" t="s">
        <v>105</v>
      </c>
    </row>
    <row r="557" spans="1:70" ht="45" customHeight="1" x14ac:dyDescent="0.25">
      <c r="A557" s="6">
        <v>557</v>
      </c>
      <c r="B557" s="7" t="s">
        <v>12628</v>
      </c>
      <c r="C557" s="8" t="s">
        <v>12629</v>
      </c>
      <c r="D557" s="6" t="s">
        <v>12630</v>
      </c>
      <c r="E557" s="6" t="s">
        <v>12631</v>
      </c>
      <c r="F557" s="8" t="s">
        <v>12632</v>
      </c>
      <c r="G557" s="6" t="s">
        <v>418</v>
      </c>
      <c r="H557" s="6" t="s">
        <v>419</v>
      </c>
      <c r="I557" s="6" t="s">
        <v>420</v>
      </c>
      <c r="J557" s="6" t="s">
        <v>421</v>
      </c>
      <c r="K557" s="9">
        <v>75015</v>
      </c>
      <c r="L557" s="8" t="s">
        <v>12633</v>
      </c>
      <c r="M557" s="9">
        <v>10</v>
      </c>
      <c r="N557" s="6">
        <v>48.8535611</v>
      </c>
      <c r="O557" s="6">
        <v>2.2891683</v>
      </c>
      <c r="P557" s="6" t="s">
        <v>12634</v>
      </c>
      <c r="Q557" s="6">
        <v>23</v>
      </c>
      <c r="R557" s="6" t="s">
        <v>79</v>
      </c>
      <c r="S557" s="6">
        <v>1993</v>
      </c>
      <c r="T557" s="6">
        <v>3110750208</v>
      </c>
      <c r="U557" s="6" t="s">
        <v>167</v>
      </c>
      <c r="V557" s="6">
        <v>16676</v>
      </c>
      <c r="W557" s="6" t="s">
        <v>167</v>
      </c>
      <c r="X557" s="6" t="s">
        <v>12635</v>
      </c>
      <c r="Y557" s="6" t="s">
        <v>12636</v>
      </c>
      <c r="Z557" s="6" t="s">
        <v>12637</v>
      </c>
      <c r="AA557" s="6" t="s">
        <v>12638</v>
      </c>
      <c r="AB557" s="6" t="s">
        <v>11761</v>
      </c>
      <c r="AC557" s="6">
        <v>517810</v>
      </c>
      <c r="AD557" s="10" t="str">
        <f>_xlfn.XLOOKUP(AC557,[1]Mapping!B:B,[1]Mapping!C:C,"")</f>
        <v xml:space="preserve">All Other Telecommunications </v>
      </c>
      <c r="AG557" s="6" t="s">
        <v>173</v>
      </c>
      <c r="AH557" s="6" t="s">
        <v>86</v>
      </c>
      <c r="AI557" s="6" t="s">
        <v>87</v>
      </c>
      <c r="AJ557" s="6" t="s">
        <v>86</v>
      </c>
      <c r="AK557" s="6" t="s">
        <v>88</v>
      </c>
      <c r="AL557" s="6" t="s">
        <v>89</v>
      </c>
      <c r="AM557" s="6" t="s">
        <v>90</v>
      </c>
      <c r="AN557" s="6" t="s">
        <v>91</v>
      </c>
      <c r="AO557" s="6" t="s">
        <v>92</v>
      </c>
      <c r="AQ557" s="6" t="s">
        <v>1384</v>
      </c>
      <c r="AR557" s="6" t="s">
        <v>1385</v>
      </c>
      <c r="AS557" s="6" t="s">
        <v>1973</v>
      </c>
      <c r="AT557" s="6">
        <v>6190</v>
      </c>
      <c r="AU557" s="6" t="s">
        <v>96</v>
      </c>
      <c r="AV557" s="6">
        <v>61.9</v>
      </c>
      <c r="AW557" s="6" t="s">
        <v>96</v>
      </c>
      <c r="AX557" s="6" t="s">
        <v>1974</v>
      </c>
      <c r="AY557" s="6">
        <v>18664923362</v>
      </c>
      <c r="AZ557" s="6" t="s">
        <v>12639</v>
      </c>
      <c r="BA557" s="6" t="s">
        <v>12640</v>
      </c>
      <c r="BB557" s="6" t="s">
        <v>12641</v>
      </c>
      <c r="BC557" s="6" t="s">
        <v>12642</v>
      </c>
      <c r="BD557" s="6" t="s">
        <v>12643</v>
      </c>
      <c r="BE557" s="6" t="str">
        <f t="shared" si="16"/>
        <v>vantiva.com</v>
      </c>
      <c r="BF557" s="6" t="str">
        <f t="shared" si="17"/>
        <v>com</v>
      </c>
      <c r="BG557" s="6" t="s">
        <v>101</v>
      </c>
      <c r="BH557" s="6" t="s">
        <v>12644</v>
      </c>
      <c r="BI557" s="6" t="s">
        <v>12645</v>
      </c>
      <c r="BJ557" s="6" t="s">
        <v>12646</v>
      </c>
      <c r="BK557" s="6" t="s">
        <v>12647</v>
      </c>
      <c r="BN557" s="6" t="s">
        <v>12648</v>
      </c>
      <c r="BP557" s="6" t="s">
        <v>12649</v>
      </c>
      <c r="BQ557" s="6" t="s">
        <v>12650</v>
      </c>
      <c r="BR557" s="6" t="s">
        <v>105</v>
      </c>
    </row>
    <row r="558" spans="1:70" ht="45" customHeight="1" x14ac:dyDescent="0.25">
      <c r="A558" s="6">
        <v>558</v>
      </c>
      <c r="B558" s="7" t="s">
        <v>12651</v>
      </c>
      <c r="C558" s="8" t="s">
        <v>12652</v>
      </c>
      <c r="D558" s="6" t="s">
        <v>12653</v>
      </c>
      <c r="E558" s="6" t="s">
        <v>12654</v>
      </c>
      <c r="F558" s="8" t="s">
        <v>12655</v>
      </c>
      <c r="G558" s="6" t="s">
        <v>612</v>
      </c>
      <c r="H558" s="6" t="s">
        <v>613</v>
      </c>
      <c r="I558" s="6" t="s">
        <v>614</v>
      </c>
      <c r="J558" s="6" t="s">
        <v>1763</v>
      </c>
      <c r="K558" s="9">
        <v>46200</v>
      </c>
      <c r="L558" s="8" t="s">
        <v>12656</v>
      </c>
      <c r="M558" s="9">
        <v>3</v>
      </c>
      <c r="N558" s="6">
        <v>3.1107721000000002</v>
      </c>
      <c r="O558" s="6">
        <v>101.63728829999999</v>
      </c>
      <c r="P558" s="6" t="s">
        <v>12657</v>
      </c>
      <c r="Q558" s="6">
        <v>7</v>
      </c>
      <c r="R558" s="6" t="s">
        <v>79</v>
      </c>
      <c r="T558" s="6"/>
      <c r="X558" s="6" t="s">
        <v>12658</v>
      </c>
      <c r="Y558" s="6" t="s">
        <v>12659</v>
      </c>
      <c r="Z558" s="6" t="s">
        <v>12660</v>
      </c>
      <c r="AA558" s="6" t="s">
        <v>12661</v>
      </c>
      <c r="AC558" s="6">
        <v>334419</v>
      </c>
      <c r="AD558" s="10" t="str">
        <f>_xlfn.XLOOKUP(AC558,[1]Mapping!B:B,[1]Mapping!C:C,"")</f>
        <v xml:space="preserve">Other Electronic Component Manufacturing </v>
      </c>
      <c r="AG558" s="6" t="s">
        <v>1184</v>
      </c>
      <c r="AH558" s="6" t="s">
        <v>432</v>
      </c>
      <c r="AI558" s="6" t="s">
        <v>733</v>
      </c>
      <c r="AJ558" s="6" t="s">
        <v>174</v>
      </c>
      <c r="AK558" s="6" t="s">
        <v>175</v>
      </c>
      <c r="AL558" s="6" t="s">
        <v>176</v>
      </c>
      <c r="AM558" s="6" t="s">
        <v>177</v>
      </c>
      <c r="AN558" s="6" t="s">
        <v>91</v>
      </c>
      <c r="AO558" s="6" t="s">
        <v>92</v>
      </c>
      <c r="AQ558" s="6" t="s">
        <v>12224</v>
      </c>
      <c r="AR558" s="6" t="s">
        <v>12225</v>
      </c>
      <c r="AS558" s="6" t="s">
        <v>12662</v>
      </c>
      <c r="AT558" s="6">
        <v>2610</v>
      </c>
      <c r="AU558" s="6" t="s">
        <v>5967</v>
      </c>
      <c r="AV558" s="6" t="s">
        <v>5968</v>
      </c>
      <c r="AW558" s="6" t="s">
        <v>5969</v>
      </c>
      <c r="AX558" s="6" t="s">
        <v>12663</v>
      </c>
      <c r="AY558" s="6" t="s">
        <v>12664</v>
      </c>
      <c r="AZ558" s="6" t="s">
        <v>12665</v>
      </c>
      <c r="BA558" s="6" t="s">
        <v>12666</v>
      </c>
      <c r="BD558" s="6" t="s">
        <v>12667</v>
      </c>
      <c r="BE558" s="6" t="str">
        <f t="shared" si="16"/>
        <v>vertiv.com</v>
      </c>
      <c r="BF558" s="6" t="str">
        <f t="shared" si="17"/>
        <v>com</v>
      </c>
      <c r="BG558" s="6" t="s">
        <v>744</v>
      </c>
      <c r="BK558" s="6" t="s">
        <v>12668</v>
      </c>
      <c r="BP558" s="6" t="s">
        <v>12669</v>
      </c>
      <c r="BQ558" s="6" t="s">
        <v>12670</v>
      </c>
      <c r="BR558" s="6" t="s">
        <v>105</v>
      </c>
    </row>
    <row r="559" spans="1:70" ht="45" customHeight="1" x14ac:dyDescent="0.25">
      <c r="A559" s="6">
        <v>559</v>
      </c>
      <c r="B559" s="7" t="s">
        <v>12671</v>
      </c>
      <c r="C559" s="8" t="s">
        <v>12672</v>
      </c>
      <c r="D559" s="6" t="s">
        <v>12673</v>
      </c>
      <c r="E559" s="6" t="s">
        <v>12674</v>
      </c>
      <c r="F559" s="8" t="s">
        <v>12675</v>
      </c>
      <c r="G559" s="6" t="s">
        <v>1324</v>
      </c>
      <c r="H559" s="6" t="s">
        <v>1325</v>
      </c>
      <c r="I559" s="6" t="s">
        <v>1326</v>
      </c>
      <c r="K559" s="9">
        <v>10900</v>
      </c>
      <c r="L559" s="8" t="s">
        <v>12676</v>
      </c>
      <c r="N559" s="6">
        <v>13.8079819</v>
      </c>
      <c r="O559" s="6">
        <v>100.5586852</v>
      </c>
      <c r="P559" s="6" t="s">
        <v>12677</v>
      </c>
      <c r="Q559" s="6">
        <v>1</v>
      </c>
      <c r="R559" s="6" t="s">
        <v>79</v>
      </c>
      <c r="T559" s="6"/>
      <c r="X559" s="6" t="s">
        <v>12678</v>
      </c>
      <c r="Y559" s="6" t="s">
        <v>12679</v>
      </c>
      <c r="Z559" s="6" t="s">
        <v>12680</v>
      </c>
      <c r="AA559" s="6" t="s">
        <v>12681</v>
      </c>
      <c r="AC559" s="6">
        <v>334220</v>
      </c>
      <c r="AD559" s="10" t="str">
        <f>_xlfn.XLOOKUP(AC559,[1]Mapping!B:B,[1]Mapping!C:C,"")</f>
        <v>Radio and Television Broadcasting and Wireless Communications Equipment Manufacturing</v>
      </c>
      <c r="AG559" s="6" t="s">
        <v>1719</v>
      </c>
      <c r="AH559" s="6" t="s">
        <v>965</v>
      </c>
      <c r="AI559" s="6" t="s">
        <v>733</v>
      </c>
      <c r="AJ559" s="6" t="s">
        <v>432</v>
      </c>
      <c r="AK559" s="6" t="s">
        <v>433</v>
      </c>
      <c r="AL559" s="6" t="s">
        <v>434</v>
      </c>
      <c r="AM559" s="6" t="s">
        <v>435</v>
      </c>
      <c r="AN559" s="6" t="s">
        <v>436</v>
      </c>
      <c r="AO559" s="6" t="s">
        <v>437</v>
      </c>
      <c r="AQ559" s="6" t="s">
        <v>1720</v>
      </c>
      <c r="AR559" s="6" t="s">
        <v>1721</v>
      </c>
      <c r="AS559" s="6" t="s">
        <v>12682</v>
      </c>
      <c r="AT559" s="6" t="s">
        <v>1722</v>
      </c>
      <c r="AU559" s="6" t="s">
        <v>1723</v>
      </c>
      <c r="AV559" s="6" t="s">
        <v>1724</v>
      </c>
      <c r="AW559" s="6" t="s">
        <v>1725</v>
      </c>
      <c r="AX559" s="6" t="s">
        <v>12683</v>
      </c>
      <c r="AY559" s="6" t="s">
        <v>12684</v>
      </c>
      <c r="AZ559" s="6" t="s">
        <v>12685</v>
      </c>
      <c r="BA559" s="6" t="s">
        <v>12686</v>
      </c>
      <c r="BD559" s="6" t="s">
        <v>12687</v>
      </c>
      <c r="BE559" s="6" t="str">
        <f t="shared" si="16"/>
        <v>vertiv.com</v>
      </c>
      <c r="BF559" s="6" t="str">
        <f t="shared" si="17"/>
        <v>com</v>
      </c>
      <c r="BG559" s="6" t="s">
        <v>12688</v>
      </c>
      <c r="BP559" s="6" t="s">
        <v>12689</v>
      </c>
      <c r="BQ559" s="6" t="s">
        <v>12690</v>
      </c>
      <c r="BR559" s="6" t="s">
        <v>105</v>
      </c>
    </row>
    <row r="560" spans="1:70" ht="45" customHeight="1" x14ac:dyDescent="0.25">
      <c r="A560" s="6">
        <v>560</v>
      </c>
      <c r="B560" s="7" t="s">
        <v>12691</v>
      </c>
      <c r="C560" s="8" t="s">
        <v>12692</v>
      </c>
      <c r="D560" s="6" t="s">
        <v>12693</v>
      </c>
      <c r="E560" s="8" t="s">
        <v>12694</v>
      </c>
      <c r="F560" s="8" t="s">
        <v>12694</v>
      </c>
      <c r="G560" s="6" t="s">
        <v>2781</v>
      </c>
      <c r="H560" s="6" t="s">
        <v>2782</v>
      </c>
      <c r="I560" s="6" t="s">
        <v>12695</v>
      </c>
      <c r="J560" s="6" t="s">
        <v>12696</v>
      </c>
      <c r="K560" s="9">
        <v>400604</v>
      </c>
      <c r="L560" s="8" t="s">
        <v>12697</v>
      </c>
      <c r="M560" s="9">
        <v>20</v>
      </c>
      <c r="N560" s="6">
        <v>19.1967046</v>
      </c>
      <c r="O560" s="6">
        <v>72.952973599999993</v>
      </c>
      <c r="P560" s="6" t="s">
        <v>12698</v>
      </c>
      <c r="Q560" s="6">
        <v>2</v>
      </c>
      <c r="R560" s="6" t="s">
        <v>79</v>
      </c>
      <c r="T560" s="6"/>
      <c r="X560" s="6" t="s">
        <v>12699</v>
      </c>
      <c r="Y560" s="6" t="s">
        <v>12700</v>
      </c>
      <c r="Z560" s="6" t="s">
        <v>12701</v>
      </c>
      <c r="AC560" s="6">
        <v>238220</v>
      </c>
      <c r="AD560" s="10" t="str">
        <f>_xlfn.XLOOKUP(AC560,[1]Mapping!B:B,[1]Mapping!C:C,"")</f>
        <v xml:space="preserve">Plumbing, Heating, and Air-Conditioning Contractors </v>
      </c>
      <c r="AG560" s="6" t="s">
        <v>1867</v>
      </c>
      <c r="AH560" s="6" t="s">
        <v>291</v>
      </c>
      <c r="AI560" s="6" t="s">
        <v>292</v>
      </c>
      <c r="AQ560" s="6" t="s">
        <v>299</v>
      </c>
      <c r="AR560" s="6" t="s">
        <v>300</v>
      </c>
      <c r="AT560" s="6" t="s">
        <v>301</v>
      </c>
      <c r="AU560" s="6" t="s">
        <v>302</v>
      </c>
      <c r="AV560" s="6" t="s">
        <v>303</v>
      </c>
      <c r="AW560" s="6" t="s">
        <v>304</v>
      </c>
      <c r="AY560" s="6" t="s">
        <v>12702</v>
      </c>
      <c r="AZ560" s="6" t="s">
        <v>12703</v>
      </c>
      <c r="BD560" s="6" t="s">
        <v>12704</v>
      </c>
      <c r="BE560" s="6" t="str">
        <f t="shared" si="16"/>
        <v>vertiv.com</v>
      </c>
      <c r="BF560" s="6" t="str">
        <f t="shared" si="17"/>
        <v>com</v>
      </c>
      <c r="BG560" s="6" t="s">
        <v>101</v>
      </c>
      <c r="BK560" s="6" t="s">
        <v>12705</v>
      </c>
      <c r="BQ560" s="6" t="s">
        <v>12706</v>
      </c>
      <c r="BR560" s="6" t="s">
        <v>105</v>
      </c>
    </row>
    <row r="561" spans="1:70" ht="45" customHeight="1" x14ac:dyDescent="0.25">
      <c r="A561" s="6">
        <v>561</v>
      </c>
      <c r="B561" s="7" t="s">
        <v>12707</v>
      </c>
      <c r="C561" s="8" t="s">
        <v>12708</v>
      </c>
      <c r="D561" s="6" t="s">
        <v>12709</v>
      </c>
      <c r="E561" s="6" t="s">
        <v>12710</v>
      </c>
      <c r="F561" s="8" t="s">
        <v>12711</v>
      </c>
      <c r="G561" s="6" t="s">
        <v>315</v>
      </c>
      <c r="H561" s="6" t="s">
        <v>316</v>
      </c>
      <c r="I561" s="6"/>
      <c r="J561" s="6" t="s">
        <v>316</v>
      </c>
      <c r="K561" s="9">
        <v>556741</v>
      </c>
      <c r="L561" s="8" t="s">
        <v>12712</v>
      </c>
      <c r="M561" s="9">
        <v>151</v>
      </c>
      <c r="N561" s="6">
        <v>1.3526598000000001</v>
      </c>
      <c r="O561" s="6">
        <v>103.85986080000001</v>
      </c>
      <c r="P561" s="6" t="s">
        <v>12713</v>
      </c>
      <c r="Q561" s="6">
        <v>4</v>
      </c>
      <c r="R561" s="6" t="s">
        <v>79</v>
      </c>
      <c r="S561" s="6">
        <v>2011</v>
      </c>
      <c r="T561" s="6">
        <v>7000000</v>
      </c>
      <c r="U561" s="6" t="s">
        <v>167</v>
      </c>
      <c r="V561" s="6">
        <v>3000</v>
      </c>
      <c r="W561" s="6" t="s">
        <v>80</v>
      </c>
      <c r="X561" s="6" t="s">
        <v>12714</v>
      </c>
      <c r="Y561" s="6" t="s">
        <v>12715</v>
      </c>
      <c r="Z561" s="6" t="s">
        <v>12716</v>
      </c>
      <c r="AA561" s="6" t="s">
        <v>12717</v>
      </c>
      <c r="AB561" s="6" t="s">
        <v>12718</v>
      </c>
      <c r="AC561" s="6">
        <v>541512</v>
      </c>
      <c r="AD561" s="10" t="str">
        <f>_xlfn.XLOOKUP(AC561,[1]Mapping!B:B,[1]Mapping!C:C,"")</f>
        <v xml:space="preserve">Computer Systems Design Services </v>
      </c>
      <c r="AG561" s="6" t="s">
        <v>581</v>
      </c>
      <c r="AH561" s="6" t="s">
        <v>174</v>
      </c>
      <c r="AI561" s="6" t="s">
        <v>87</v>
      </c>
      <c r="AJ561" s="6" t="s">
        <v>174</v>
      </c>
      <c r="AK561" s="6" t="s">
        <v>175</v>
      </c>
      <c r="AL561" s="6" t="s">
        <v>176</v>
      </c>
      <c r="AM561" s="6" t="s">
        <v>177</v>
      </c>
      <c r="AN561" s="6" t="s">
        <v>91</v>
      </c>
      <c r="AO561" s="6" t="s">
        <v>92</v>
      </c>
      <c r="AQ561" s="6" t="s">
        <v>582</v>
      </c>
      <c r="AR561" s="6" t="s">
        <v>583</v>
      </c>
      <c r="AS561" s="6" t="s">
        <v>12719</v>
      </c>
      <c r="AT561" s="6">
        <v>6202</v>
      </c>
      <c r="AU561" s="6" t="s">
        <v>584</v>
      </c>
      <c r="AV561" s="6" t="s">
        <v>585</v>
      </c>
      <c r="AW561" s="6" t="s">
        <v>586</v>
      </c>
      <c r="AX561" s="6" t="s">
        <v>12720</v>
      </c>
      <c r="AY561" s="6" t="s">
        <v>12721</v>
      </c>
      <c r="AZ561" s="6" t="s">
        <v>12722</v>
      </c>
      <c r="BD561" s="6" t="s">
        <v>12667</v>
      </c>
      <c r="BE561" s="6" t="str">
        <f t="shared" si="16"/>
        <v>vertiv.com</v>
      </c>
      <c r="BF561" s="6" t="str">
        <f t="shared" si="17"/>
        <v>com</v>
      </c>
      <c r="BG561" s="6" t="s">
        <v>101</v>
      </c>
      <c r="BI561" s="6" t="s">
        <v>12723</v>
      </c>
      <c r="BK561" s="6" t="s">
        <v>12724</v>
      </c>
      <c r="BP561" s="6" t="s">
        <v>12725</v>
      </c>
      <c r="BQ561" s="6" t="s">
        <v>12726</v>
      </c>
      <c r="BR561" s="6" t="s">
        <v>105</v>
      </c>
    </row>
    <row r="562" spans="1:70" ht="45" customHeight="1" x14ac:dyDescent="0.25">
      <c r="A562" s="6">
        <v>562</v>
      </c>
      <c r="B562" s="7" t="s">
        <v>12727</v>
      </c>
      <c r="C562" s="8" t="s">
        <v>12728</v>
      </c>
      <c r="D562" s="6" t="s">
        <v>12729</v>
      </c>
      <c r="E562" s="6" t="s">
        <v>12730</v>
      </c>
      <c r="F562" s="8" t="s">
        <v>12731</v>
      </c>
      <c r="G562" s="6" t="s">
        <v>160</v>
      </c>
      <c r="H562" s="6" t="s">
        <v>161</v>
      </c>
      <c r="I562" s="6" t="s">
        <v>281</v>
      </c>
      <c r="J562" s="6" t="s">
        <v>282</v>
      </c>
      <c r="K562" s="9" t="s">
        <v>12732</v>
      </c>
      <c r="L562" s="8" t="s">
        <v>12733</v>
      </c>
      <c r="M562" s="9">
        <v>52</v>
      </c>
      <c r="N562" s="6">
        <v>59.310019999999987</v>
      </c>
      <c r="O562" s="6">
        <v>18.059232999999999</v>
      </c>
      <c r="P562" s="6" t="s">
        <v>2124</v>
      </c>
      <c r="Q562" s="6">
        <v>1</v>
      </c>
      <c r="R562" s="6" t="s">
        <v>79</v>
      </c>
      <c r="S562" s="6">
        <v>2018</v>
      </c>
      <c r="T562" s="6">
        <v>1151110000000</v>
      </c>
      <c r="U562" s="6" t="s">
        <v>167</v>
      </c>
      <c r="V562" s="6">
        <v>1708</v>
      </c>
      <c r="W562" s="6" t="s">
        <v>167</v>
      </c>
      <c r="X562" s="6" t="s">
        <v>12734</v>
      </c>
      <c r="Y562" s="6" t="s">
        <v>12735</v>
      </c>
      <c r="Z562" s="6" t="s">
        <v>12736</v>
      </c>
      <c r="AA562" s="6" t="s">
        <v>12737</v>
      </c>
      <c r="AB562" s="6" t="s">
        <v>12738</v>
      </c>
      <c r="AC562" s="6">
        <v>516210</v>
      </c>
      <c r="AD562" s="10" t="str">
        <f>_xlfn.XLOOKUP(AC562,[1]Mapping!B:B,[1]Mapping!C:C,"")</f>
        <v>Media Streaming Distribution Services, Social Networks, and Other Media Networks and Content Providers</v>
      </c>
      <c r="AE562" s="6">
        <v>512191</v>
      </c>
      <c r="AF562" s="6" t="s">
        <v>12739</v>
      </c>
      <c r="AG562" s="6" t="s">
        <v>1411</v>
      </c>
      <c r="AH562" s="6" t="s">
        <v>1411</v>
      </c>
      <c r="AI562" s="6" t="s">
        <v>1412</v>
      </c>
      <c r="AQ562" s="6" t="s">
        <v>4964</v>
      </c>
      <c r="AR562" s="6" t="s">
        <v>4965</v>
      </c>
      <c r="AS562" s="6" t="s">
        <v>12740</v>
      </c>
      <c r="AT562" s="6" t="s">
        <v>4967</v>
      </c>
      <c r="AU562" s="6" t="s">
        <v>4968</v>
      </c>
      <c r="AV562" s="6" t="s">
        <v>4969</v>
      </c>
      <c r="AW562" s="6" t="s">
        <v>4970</v>
      </c>
      <c r="AX562" s="6" t="s">
        <v>12741</v>
      </c>
      <c r="AY562" s="6" t="s">
        <v>12742</v>
      </c>
      <c r="AZ562" s="6" t="s">
        <v>12743</v>
      </c>
      <c r="BD562" s="6" t="s">
        <v>12744</v>
      </c>
      <c r="BE562" s="6" t="str">
        <f t="shared" si="16"/>
        <v>viaplaygroup.com</v>
      </c>
      <c r="BF562" s="6" t="str">
        <f t="shared" si="17"/>
        <v>com</v>
      </c>
      <c r="BG562" s="6" t="s">
        <v>101</v>
      </c>
      <c r="BH562" s="6" t="s">
        <v>12745</v>
      </c>
      <c r="BI562" s="6" t="s">
        <v>12746</v>
      </c>
      <c r="BJ562" s="6" t="s">
        <v>12747</v>
      </c>
      <c r="BK562" s="6" t="s">
        <v>12748</v>
      </c>
      <c r="BP562" s="6" t="s">
        <v>12749</v>
      </c>
      <c r="BQ562" s="6" t="s">
        <v>11886</v>
      </c>
      <c r="BR562" s="6" t="s">
        <v>105</v>
      </c>
    </row>
    <row r="563" spans="1:70" ht="45" customHeight="1" x14ac:dyDescent="0.25">
      <c r="A563" s="6">
        <v>563</v>
      </c>
      <c r="B563" s="7" t="s">
        <v>12750</v>
      </c>
      <c r="C563" s="8" t="s">
        <v>12751</v>
      </c>
      <c r="D563" s="6" t="s">
        <v>12752</v>
      </c>
      <c r="E563" s="6" t="s">
        <v>12753</v>
      </c>
      <c r="F563" s="8" t="s">
        <v>12754</v>
      </c>
      <c r="G563" s="6" t="s">
        <v>1400</v>
      </c>
      <c r="H563" s="6" t="s">
        <v>1401</v>
      </c>
      <c r="I563" s="6" t="s">
        <v>1402</v>
      </c>
      <c r="J563" s="6" t="s">
        <v>1403</v>
      </c>
      <c r="K563" s="9">
        <v>74700</v>
      </c>
      <c r="L563" s="8" t="s">
        <v>12755</v>
      </c>
      <c r="N563" s="6">
        <v>24.8644286</v>
      </c>
      <c r="O563" s="6">
        <v>67.022908999999999</v>
      </c>
      <c r="P563" s="6" t="s">
        <v>12756</v>
      </c>
      <c r="Q563" s="6">
        <v>3</v>
      </c>
      <c r="R563" s="6" t="s">
        <v>79</v>
      </c>
      <c r="S563" s="6">
        <v>2004</v>
      </c>
      <c r="T563" s="6">
        <v>2000000</v>
      </c>
      <c r="U563" s="6" t="s">
        <v>167</v>
      </c>
      <c r="V563" s="6">
        <v>180</v>
      </c>
      <c r="W563" s="6" t="s">
        <v>167</v>
      </c>
      <c r="X563" s="6" t="s">
        <v>12757</v>
      </c>
      <c r="Y563" s="6" t="s">
        <v>12758</v>
      </c>
      <c r="Z563" s="6" t="s">
        <v>12759</v>
      </c>
      <c r="AA563" s="6" t="s">
        <v>12760</v>
      </c>
      <c r="AB563" s="6" t="s">
        <v>12761</v>
      </c>
      <c r="AC563" s="6">
        <v>541512</v>
      </c>
      <c r="AD563" s="10" t="str">
        <f>_xlfn.XLOOKUP(AC563,[1]Mapping!B:B,[1]Mapping!C:C,"")</f>
        <v xml:space="preserve">Computer Systems Design Services </v>
      </c>
      <c r="AG563" s="6" t="s">
        <v>581</v>
      </c>
      <c r="AH563" s="6" t="s">
        <v>174</v>
      </c>
      <c r="AI563" s="6" t="s">
        <v>87</v>
      </c>
      <c r="AJ563" s="6" t="s">
        <v>12762</v>
      </c>
      <c r="AK563" s="6" t="s">
        <v>12763</v>
      </c>
      <c r="AL563" s="6" t="s">
        <v>12764</v>
      </c>
      <c r="AM563" s="6" t="s">
        <v>12765</v>
      </c>
      <c r="AN563" s="6" t="s">
        <v>2138</v>
      </c>
      <c r="AO563" s="6" t="s">
        <v>2139</v>
      </c>
      <c r="AQ563" s="6" t="s">
        <v>582</v>
      </c>
      <c r="AR563" s="6" t="s">
        <v>583</v>
      </c>
      <c r="AT563" s="6">
        <v>6202</v>
      </c>
      <c r="AU563" s="6" t="s">
        <v>584</v>
      </c>
      <c r="AV563" s="6" t="s">
        <v>585</v>
      </c>
      <c r="AW563" s="6" t="s">
        <v>586</v>
      </c>
      <c r="AY563" s="6" t="s">
        <v>12766</v>
      </c>
      <c r="AZ563" s="6" t="s">
        <v>12767</v>
      </c>
      <c r="BB563" s="6" t="s">
        <v>12768</v>
      </c>
      <c r="BD563" s="6" t="s">
        <v>12769</v>
      </c>
      <c r="BE563" s="6" t="str">
        <f t="shared" si="16"/>
        <v>virtualworldcommunications.com</v>
      </c>
      <c r="BF563" s="6" t="str">
        <f t="shared" si="17"/>
        <v>com</v>
      </c>
      <c r="BG563" s="6" t="s">
        <v>101</v>
      </c>
      <c r="BH563" s="6" t="s">
        <v>12770</v>
      </c>
      <c r="BI563" s="6" t="s">
        <v>12771</v>
      </c>
      <c r="BJ563" s="6" t="s">
        <v>12772</v>
      </c>
      <c r="BK563" s="6" t="s">
        <v>12773</v>
      </c>
      <c r="BL563" s="6" t="s">
        <v>12774</v>
      </c>
      <c r="BM563" s="6" t="s">
        <v>12775</v>
      </c>
      <c r="BN563" s="6" t="s">
        <v>12776</v>
      </c>
      <c r="BP563" s="6" t="s">
        <v>12777</v>
      </c>
      <c r="BQ563" s="6" t="s">
        <v>12778</v>
      </c>
      <c r="BR563" s="6" t="s">
        <v>105</v>
      </c>
    </row>
    <row r="564" spans="1:70" ht="45" customHeight="1" x14ac:dyDescent="0.25">
      <c r="A564" s="6">
        <v>564</v>
      </c>
      <c r="B564" s="7" t="s">
        <v>12779</v>
      </c>
      <c r="C564" s="8" t="s">
        <v>12780</v>
      </c>
      <c r="D564" s="6" t="s">
        <v>12781</v>
      </c>
      <c r="E564" s="8" t="s">
        <v>12779</v>
      </c>
      <c r="F564" s="8" t="s">
        <v>12782</v>
      </c>
      <c r="G564" s="6" t="s">
        <v>73</v>
      </c>
      <c r="H564" s="6" t="s">
        <v>74</v>
      </c>
      <c r="J564" s="6" t="s">
        <v>12783</v>
      </c>
      <c r="K564" s="9">
        <v>5700</v>
      </c>
      <c r="L564" s="8" t="s">
        <v>12784</v>
      </c>
      <c r="M564" s="9">
        <v>1</v>
      </c>
      <c r="N564" s="6">
        <v>55.088289099999997</v>
      </c>
      <c r="O564" s="6">
        <v>10.630436400000001</v>
      </c>
      <c r="P564" s="6" t="s">
        <v>12785</v>
      </c>
      <c r="Q564" s="6">
        <v>1</v>
      </c>
      <c r="R564" s="6" t="s">
        <v>79</v>
      </c>
      <c r="T564" s="6"/>
      <c r="X564" s="6" t="s">
        <v>12786</v>
      </c>
      <c r="Y564" s="6" t="s">
        <v>12787</v>
      </c>
      <c r="Z564" s="6" t="s">
        <v>12788</v>
      </c>
      <c r="AA564" s="6" t="s">
        <v>12789</v>
      </c>
      <c r="AB564" s="6" t="s">
        <v>12790</v>
      </c>
      <c r="AC564" s="6">
        <v>238350</v>
      </c>
      <c r="AD564" s="10" t="str">
        <f>_xlfn.XLOOKUP(AC564,[1]Mapping!B:B,[1]Mapping!C:C,"")</f>
        <v>Finish Carpentry Contractors</v>
      </c>
      <c r="AG564" s="6" t="s">
        <v>12791</v>
      </c>
      <c r="AH564" s="6" t="s">
        <v>291</v>
      </c>
      <c r="AI564" s="6" t="s">
        <v>292</v>
      </c>
      <c r="AJ564" s="6" t="s">
        <v>653</v>
      </c>
      <c r="AK564" s="6" t="s">
        <v>654</v>
      </c>
      <c r="AL564" s="6" t="s">
        <v>655</v>
      </c>
      <c r="AM564" s="6" t="s">
        <v>656</v>
      </c>
      <c r="AN564" s="6" t="s">
        <v>655</v>
      </c>
      <c r="AO564" s="6" t="s">
        <v>657</v>
      </c>
      <c r="AQ564" s="6" t="s">
        <v>12792</v>
      </c>
      <c r="AR564" s="6" t="s">
        <v>12793</v>
      </c>
      <c r="AT564" s="6">
        <v>4330</v>
      </c>
      <c r="AU564" s="6" t="s">
        <v>5438</v>
      </c>
      <c r="AV564" s="6" t="s">
        <v>5439</v>
      </c>
      <c r="AW564" s="6" t="s">
        <v>5440</v>
      </c>
      <c r="AY564" s="6" t="s">
        <v>12794</v>
      </c>
      <c r="AZ564" s="6">
        <v>4524908860</v>
      </c>
      <c r="BA564" s="6" t="s">
        <v>12795</v>
      </c>
      <c r="BB564" s="6" t="s">
        <v>12796</v>
      </c>
      <c r="BD564" s="6" t="s">
        <v>12797</v>
      </c>
      <c r="BE564" s="6" t="str">
        <f t="shared" si="16"/>
        <v>nmsdiving.dk</v>
      </c>
      <c r="BF564" s="6" t="str">
        <f t="shared" si="17"/>
        <v>dk</v>
      </c>
      <c r="BG564" s="6" t="s">
        <v>123</v>
      </c>
      <c r="BH564" s="6" t="s">
        <v>12798</v>
      </c>
      <c r="BJ564" s="6" t="s">
        <v>12799</v>
      </c>
      <c r="BK564" s="6" t="s">
        <v>12800</v>
      </c>
      <c r="BQ564" s="6" t="s">
        <v>12801</v>
      </c>
      <c r="BR564" s="6" t="s">
        <v>105</v>
      </c>
    </row>
    <row r="565" spans="1:70" ht="45" customHeight="1" x14ac:dyDescent="0.25">
      <c r="A565" s="6">
        <v>565</v>
      </c>
      <c r="B565" s="7" t="s">
        <v>12802</v>
      </c>
      <c r="C565" s="8" t="s">
        <v>12803</v>
      </c>
      <c r="D565" s="6" t="s">
        <v>12804</v>
      </c>
      <c r="E565" s="6" t="s">
        <v>12805</v>
      </c>
      <c r="F565" s="8" t="s">
        <v>12806</v>
      </c>
      <c r="G565" s="6" t="s">
        <v>73</v>
      </c>
      <c r="H565" s="6" t="s">
        <v>74</v>
      </c>
      <c r="I565" s="6"/>
      <c r="J565" s="6" t="s">
        <v>486</v>
      </c>
      <c r="K565" s="9">
        <v>1306</v>
      </c>
      <c r="L565" s="8" t="s">
        <v>12807</v>
      </c>
      <c r="M565" s="9">
        <v>36</v>
      </c>
      <c r="N565" s="6">
        <v>55.684619899999987</v>
      </c>
      <c r="O565" s="6">
        <v>12.5826709</v>
      </c>
      <c r="P565" s="6" t="s">
        <v>12808</v>
      </c>
      <c r="Q565" s="6">
        <v>1</v>
      </c>
      <c r="R565" s="6" t="s">
        <v>79</v>
      </c>
      <c r="T565" s="6">
        <v>18474564</v>
      </c>
      <c r="U565" s="6" t="s">
        <v>80</v>
      </c>
      <c r="V565" s="6">
        <v>75</v>
      </c>
      <c r="W565" s="6" t="s">
        <v>80</v>
      </c>
      <c r="X565" s="6" t="s">
        <v>12809</v>
      </c>
      <c r="Y565" s="6" t="s">
        <v>12810</v>
      </c>
      <c r="Z565" s="6" t="s">
        <v>12809</v>
      </c>
      <c r="AA565" s="6" t="s">
        <v>12811</v>
      </c>
      <c r="AB565" s="6" t="s">
        <v>12812</v>
      </c>
      <c r="AC565" s="6">
        <v>518210</v>
      </c>
      <c r="AD565" s="10" t="str">
        <f>_xlfn.XLOOKUP(AC565,[1]Mapping!B:B,[1]Mapping!C:C,"")</f>
        <v>Computing Infrastructure Providers, Data Processing, Web Hosting, and Related Services</v>
      </c>
      <c r="AG565" s="6" t="s">
        <v>173</v>
      </c>
      <c r="AH565" s="6" t="s">
        <v>86</v>
      </c>
      <c r="AI565" s="6" t="s">
        <v>87</v>
      </c>
      <c r="AJ565" s="6" t="s">
        <v>86</v>
      </c>
      <c r="AK565" s="6" t="s">
        <v>88</v>
      </c>
      <c r="AL565" s="6" t="s">
        <v>89</v>
      </c>
      <c r="AM565" s="6" t="s">
        <v>90</v>
      </c>
      <c r="AN565" s="6" t="s">
        <v>91</v>
      </c>
      <c r="AO565" s="6" t="s">
        <v>92</v>
      </c>
      <c r="AQ565" s="6" t="s">
        <v>178</v>
      </c>
      <c r="AR565" s="6" t="s">
        <v>179</v>
      </c>
      <c r="AT565" s="6" t="s">
        <v>181</v>
      </c>
      <c r="AU565" s="6" t="s">
        <v>182</v>
      </c>
      <c r="AV565" s="6" t="s">
        <v>183</v>
      </c>
      <c r="AW565" s="6" t="s">
        <v>184</v>
      </c>
      <c r="AY565" s="6" t="s">
        <v>12813</v>
      </c>
      <c r="AZ565" s="6">
        <v>4578787778</v>
      </c>
      <c r="BA565" s="6" t="s">
        <v>12814</v>
      </c>
      <c r="BB565" s="6" t="s">
        <v>12815</v>
      </c>
      <c r="BD565" s="6" t="s">
        <v>12816</v>
      </c>
      <c r="BE565" s="6" t="str">
        <f t="shared" si="16"/>
        <v>voxogo.com</v>
      </c>
      <c r="BF565" s="6" t="str">
        <f t="shared" si="17"/>
        <v>com</v>
      </c>
      <c r="BG565" s="6" t="s">
        <v>123</v>
      </c>
      <c r="BJ565" s="6" t="s">
        <v>12817</v>
      </c>
      <c r="BK565" s="6" t="s">
        <v>12818</v>
      </c>
      <c r="BP565" s="6" t="s">
        <v>12819</v>
      </c>
      <c r="BQ565" s="6" t="s">
        <v>12820</v>
      </c>
      <c r="BR565" s="6" t="s">
        <v>105</v>
      </c>
    </row>
    <row r="566" spans="1:70" ht="45" customHeight="1" x14ac:dyDescent="0.25">
      <c r="A566" s="6">
        <v>566</v>
      </c>
      <c r="B566" s="7" t="s">
        <v>12821</v>
      </c>
      <c r="C566" s="8" t="s">
        <v>12822</v>
      </c>
      <c r="D566" s="6" t="s">
        <v>12823</v>
      </c>
      <c r="E566" s="6" t="s">
        <v>12824</v>
      </c>
      <c r="F566" s="8" t="s">
        <v>12825</v>
      </c>
      <c r="G566" s="6" t="s">
        <v>315</v>
      </c>
      <c r="H566" s="6" t="s">
        <v>316</v>
      </c>
      <c r="I566" s="6"/>
      <c r="J566" s="6" t="s">
        <v>316</v>
      </c>
      <c r="K566" s="9">
        <v>49317</v>
      </c>
      <c r="L566" s="8" t="s">
        <v>12826</v>
      </c>
      <c r="M566" s="9">
        <v>11</v>
      </c>
      <c r="N566" s="6">
        <v>1.2835681000000001</v>
      </c>
      <c r="O566" s="6">
        <v>103.85203629999999</v>
      </c>
      <c r="P566" s="6" t="s">
        <v>12827</v>
      </c>
      <c r="Q566" s="6">
        <v>4</v>
      </c>
      <c r="R566" s="6" t="s">
        <v>79</v>
      </c>
      <c r="S566" s="6">
        <v>1994</v>
      </c>
      <c r="T566" s="6">
        <v>27000000</v>
      </c>
      <c r="U566" s="6" t="s">
        <v>167</v>
      </c>
      <c r="V566" s="6">
        <v>200</v>
      </c>
      <c r="W566" s="6" t="s">
        <v>167</v>
      </c>
      <c r="X566" s="6" t="s">
        <v>12828</v>
      </c>
      <c r="Y566" s="6" t="s">
        <v>12829</v>
      </c>
      <c r="Z566" s="6" t="s">
        <v>12830</v>
      </c>
      <c r="AA566" s="6" t="s">
        <v>12831</v>
      </c>
      <c r="AB566" s="6" t="s">
        <v>12832</v>
      </c>
      <c r="AC566" s="6">
        <v>517122</v>
      </c>
      <c r="AD566" s="10" t="str">
        <f>_xlfn.XLOOKUP(AC566,[1]Mapping!B:B,[1]Mapping!C:C,"")</f>
        <v>Agents for Wireless Telecommunications Services</v>
      </c>
      <c r="AG566" s="6" t="s">
        <v>89</v>
      </c>
      <c r="AH566" s="6" t="s">
        <v>86</v>
      </c>
      <c r="AI566" s="6" t="s">
        <v>87</v>
      </c>
      <c r="AJ566" s="6" t="s">
        <v>174</v>
      </c>
      <c r="AK566" s="6" t="s">
        <v>175</v>
      </c>
      <c r="AL566" s="6" t="s">
        <v>176</v>
      </c>
      <c r="AM566" s="6" t="s">
        <v>177</v>
      </c>
      <c r="AN566" s="6" t="s">
        <v>91</v>
      </c>
      <c r="AO566" s="6" t="s">
        <v>92</v>
      </c>
      <c r="AQ566" s="6" t="s">
        <v>11864</v>
      </c>
      <c r="AR566" s="6" t="s">
        <v>11865</v>
      </c>
      <c r="AT566" s="6" t="s">
        <v>11867</v>
      </c>
      <c r="AU566" s="6" t="s">
        <v>11868</v>
      </c>
      <c r="AV566" s="6" t="s">
        <v>11869</v>
      </c>
      <c r="AW566" s="6" t="s">
        <v>11870</v>
      </c>
      <c r="AY566" s="6" t="s">
        <v>12833</v>
      </c>
      <c r="AZ566" s="6" t="s">
        <v>12834</v>
      </c>
      <c r="BA566" s="6" t="s">
        <v>12835</v>
      </c>
      <c r="BD566" s="6" t="s">
        <v>12836</v>
      </c>
      <c r="BE566" s="6" t="str">
        <f t="shared" si="16"/>
        <v>watchdata.com</v>
      </c>
      <c r="BF566" s="6" t="str">
        <f t="shared" si="17"/>
        <v>com</v>
      </c>
      <c r="BG566" s="6" t="s">
        <v>101</v>
      </c>
      <c r="BH566" s="6" t="s">
        <v>12837</v>
      </c>
      <c r="BI566" s="6" t="s">
        <v>12838</v>
      </c>
      <c r="BK566" s="6" t="s">
        <v>12839</v>
      </c>
      <c r="BP566" s="6" t="s">
        <v>12840</v>
      </c>
      <c r="BQ566" s="6" t="s">
        <v>12841</v>
      </c>
      <c r="BR566" s="6" t="s">
        <v>105</v>
      </c>
    </row>
    <row r="567" spans="1:70" ht="45" customHeight="1" x14ac:dyDescent="0.25">
      <c r="A567" s="6">
        <v>567</v>
      </c>
      <c r="B567" s="7" t="s">
        <v>12842</v>
      </c>
      <c r="C567" s="8" t="s">
        <v>12843</v>
      </c>
      <c r="D567" s="6" t="s">
        <v>12844</v>
      </c>
      <c r="E567" s="6" t="s">
        <v>12845</v>
      </c>
      <c r="F567" s="8" t="s">
        <v>12846</v>
      </c>
      <c r="G567" s="6" t="s">
        <v>1400</v>
      </c>
      <c r="H567" s="6" t="s">
        <v>1401</v>
      </c>
      <c r="I567" s="6" t="s">
        <v>7676</v>
      </c>
      <c r="J567" s="6" t="s">
        <v>2991</v>
      </c>
      <c r="K567" s="9">
        <v>54000</v>
      </c>
      <c r="L567" s="8" t="s">
        <v>12847</v>
      </c>
      <c r="M567" s="9" t="s">
        <v>12848</v>
      </c>
      <c r="N567" s="6">
        <v>31.479808500000001</v>
      </c>
      <c r="O567" s="6">
        <v>74.360490900000002</v>
      </c>
      <c r="P567" s="6" t="s">
        <v>12849</v>
      </c>
      <c r="Q567" s="6">
        <v>2</v>
      </c>
      <c r="R567" s="6" t="s">
        <v>79</v>
      </c>
      <c r="S567" s="6">
        <v>2019</v>
      </c>
      <c r="T567" s="6">
        <v>26671</v>
      </c>
      <c r="U567" s="6" t="s">
        <v>80</v>
      </c>
      <c r="V567" s="6">
        <v>6</v>
      </c>
      <c r="W567" s="6" t="s">
        <v>167</v>
      </c>
      <c r="X567" s="6" t="s">
        <v>12850</v>
      </c>
      <c r="Y567" s="6" t="s">
        <v>12851</v>
      </c>
      <c r="Z567" s="6" t="s">
        <v>12852</v>
      </c>
      <c r="AA567" s="6" t="s">
        <v>12853</v>
      </c>
      <c r="AB567" s="6" t="s">
        <v>12854</v>
      </c>
      <c r="AC567" s="6">
        <v>541511</v>
      </c>
      <c r="AD567" s="10" t="str">
        <f>_xlfn.XLOOKUP(AC567,[1]Mapping!B:B,[1]Mapping!C:C,"")</f>
        <v xml:space="preserve">Custom Computer Programming Services </v>
      </c>
      <c r="AG567" s="6" t="s">
        <v>990</v>
      </c>
      <c r="AH567" s="6" t="s">
        <v>174</v>
      </c>
      <c r="AI567" s="6" t="s">
        <v>87</v>
      </c>
      <c r="AJ567" s="6" t="s">
        <v>174</v>
      </c>
      <c r="AK567" s="6" t="s">
        <v>175</v>
      </c>
      <c r="AL567" s="6" t="s">
        <v>176</v>
      </c>
      <c r="AM567" s="6" t="s">
        <v>177</v>
      </c>
      <c r="AN567" s="6" t="s">
        <v>91</v>
      </c>
      <c r="AO567" s="6" t="s">
        <v>92</v>
      </c>
      <c r="AQ567" s="6">
        <v>7371</v>
      </c>
      <c r="AR567" s="6" t="s">
        <v>504</v>
      </c>
      <c r="AS567" s="6" t="s">
        <v>1973</v>
      </c>
      <c r="AT567" s="6">
        <v>6201</v>
      </c>
      <c r="AU567" s="6" t="s">
        <v>505</v>
      </c>
      <c r="AV567" s="6">
        <v>62.01</v>
      </c>
      <c r="AW567" s="6" t="s">
        <v>505</v>
      </c>
      <c r="AX567" s="6" t="s">
        <v>1974</v>
      </c>
      <c r="AY567" s="6" t="s">
        <v>12855</v>
      </c>
      <c r="AZ567" s="6">
        <v>923135000000</v>
      </c>
      <c r="BA567" s="6" t="s">
        <v>12856</v>
      </c>
      <c r="BB567" s="6" t="s">
        <v>12856</v>
      </c>
      <c r="BD567" s="6" t="s">
        <v>12857</v>
      </c>
      <c r="BE567" s="6" t="str">
        <f t="shared" si="16"/>
        <v>wateen.com</v>
      </c>
      <c r="BF567" s="6" t="str">
        <f t="shared" si="17"/>
        <v>com</v>
      </c>
      <c r="BG567" s="6" t="s">
        <v>101</v>
      </c>
      <c r="BH567" s="6" t="s">
        <v>12858</v>
      </c>
      <c r="BI567" s="6" t="s">
        <v>12859</v>
      </c>
      <c r="BJ567" s="6" t="s">
        <v>12860</v>
      </c>
      <c r="BK567" s="6" t="s">
        <v>12861</v>
      </c>
      <c r="BN567" s="6" t="s">
        <v>12862</v>
      </c>
      <c r="BP567" s="6" t="s">
        <v>12863</v>
      </c>
      <c r="BQ567" s="6" t="s">
        <v>12864</v>
      </c>
      <c r="BR567" s="6" t="s">
        <v>105</v>
      </c>
    </row>
    <row r="568" spans="1:70" ht="45" customHeight="1" x14ac:dyDescent="0.25">
      <c r="A568" s="6">
        <v>568</v>
      </c>
      <c r="B568" s="7" t="s">
        <v>12865</v>
      </c>
      <c r="C568" s="8" t="s">
        <v>12866</v>
      </c>
      <c r="D568" s="6" t="s">
        <v>12865</v>
      </c>
      <c r="E568" s="6" t="s">
        <v>12867</v>
      </c>
      <c r="F568" s="8" t="s">
        <v>12868</v>
      </c>
      <c r="G568" s="6" t="s">
        <v>160</v>
      </c>
      <c r="H568" s="6" t="s">
        <v>161</v>
      </c>
      <c r="I568" s="6" t="s">
        <v>281</v>
      </c>
      <c r="J568" s="6" t="s">
        <v>1543</v>
      </c>
      <c r="K568" s="9" t="s">
        <v>12869</v>
      </c>
      <c r="L568" s="8" t="s">
        <v>12870</v>
      </c>
      <c r="M568" s="9">
        <v>33</v>
      </c>
      <c r="N568" s="6">
        <v>59.401685500000013</v>
      </c>
      <c r="O568" s="6">
        <v>17.946460600000002</v>
      </c>
      <c r="P568" s="6" t="s">
        <v>12871</v>
      </c>
      <c r="Q568" s="6">
        <v>5</v>
      </c>
      <c r="R568" s="6" t="s">
        <v>79</v>
      </c>
      <c r="S568" s="6">
        <v>2001</v>
      </c>
      <c r="T568" s="6">
        <v>7125512</v>
      </c>
      <c r="U568" s="6" t="s">
        <v>80</v>
      </c>
      <c r="V568" s="6">
        <v>20</v>
      </c>
      <c r="W568" s="6" t="s">
        <v>167</v>
      </c>
      <c r="X568" s="6" t="s">
        <v>12872</v>
      </c>
      <c r="Y568" s="6" t="s">
        <v>12873</v>
      </c>
      <c r="Z568" s="6" t="s">
        <v>12874</v>
      </c>
      <c r="AA568" s="6" t="s">
        <v>12875</v>
      </c>
      <c r="AB568" s="6" t="s">
        <v>12876</v>
      </c>
      <c r="AC568" s="6">
        <v>517111</v>
      </c>
      <c r="AD568" s="10" t="str">
        <f>_xlfn.XLOOKUP(AC568,[1]Mapping!B:B,[1]Mapping!C:C,"")</f>
        <v xml:space="preserve">Wired Telecommunications Carriers </v>
      </c>
      <c r="AG568" s="6" t="s">
        <v>89</v>
      </c>
      <c r="AH568" s="6" t="s">
        <v>86</v>
      </c>
      <c r="AI568" s="6" t="s">
        <v>87</v>
      </c>
      <c r="AJ568" s="6" t="s">
        <v>86</v>
      </c>
      <c r="AK568" s="6" t="s">
        <v>88</v>
      </c>
      <c r="AL568" s="6" t="s">
        <v>89</v>
      </c>
      <c r="AM568" s="6" t="s">
        <v>90</v>
      </c>
      <c r="AN568" s="6" t="s">
        <v>91</v>
      </c>
      <c r="AO568" s="6" t="s">
        <v>92</v>
      </c>
      <c r="AQ568" s="6" t="s">
        <v>1747</v>
      </c>
      <c r="AR568" s="6" t="s">
        <v>1748</v>
      </c>
      <c r="AT568" s="6" t="s">
        <v>1749</v>
      </c>
      <c r="AU568" s="6" t="s">
        <v>1750</v>
      </c>
      <c r="AV568" s="6" t="s">
        <v>1751</v>
      </c>
      <c r="AW568" s="6" t="s">
        <v>1750</v>
      </c>
      <c r="AY568" s="6" t="s">
        <v>12877</v>
      </c>
      <c r="AZ568" s="6" t="s">
        <v>12878</v>
      </c>
      <c r="BA568" s="6" t="s">
        <v>12879</v>
      </c>
      <c r="BB568" s="6" t="s">
        <v>12879</v>
      </c>
      <c r="BC568" s="6" t="s">
        <v>12880</v>
      </c>
      <c r="BD568" s="6" t="s">
        <v>12881</v>
      </c>
      <c r="BE568" s="6" t="str">
        <f t="shared" si="16"/>
        <v>waystream.com</v>
      </c>
      <c r="BF568" s="6" t="str">
        <f t="shared" si="17"/>
        <v>com</v>
      </c>
      <c r="BG568" s="6" t="s">
        <v>337</v>
      </c>
      <c r="BH568" s="6" t="s">
        <v>12882</v>
      </c>
      <c r="BI568" s="6" t="s">
        <v>12883</v>
      </c>
      <c r="BK568" s="6" t="s">
        <v>12884</v>
      </c>
      <c r="BP568" s="6" t="s">
        <v>12885</v>
      </c>
      <c r="BQ568" s="6" t="s">
        <v>12886</v>
      </c>
      <c r="BR568" s="6" t="s">
        <v>105</v>
      </c>
    </row>
    <row r="569" spans="1:70" ht="45" customHeight="1" x14ac:dyDescent="0.25">
      <c r="A569" s="6">
        <v>569</v>
      </c>
      <c r="B569" s="7" t="s">
        <v>12887</v>
      </c>
      <c r="C569" s="8" t="s">
        <v>12888</v>
      </c>
      <c r="D569" s="6" t="s">
        <v>12889</v>
      </c>
      <c r="E569" s="8" t="s">
        <v>12887</v>
      </c>
      <c r="F569" s="8" t="s">
        <v>12890</v>
      </c>
      <c r="G569" s="6" t="s">
        <v>130</v>
      </c>
      <c r="H569" s="6" t="s">
        <v>131</v>
      </c>
      <c r="I569" s="8" t="s">
        <v>12891</v>
      </c>
      <c r="J569" s="6" t="s">
        <v>12892</v>
      </c>
      <c r="K569" s="9">
        <v>8003</v>
      </c>
      <c r="L569" s="8" t="s">
        <v>12893</v>
      </c>
      <c r="M569" s="9">
        <v>6</v>
      </c>
      <c r="N569" s="6">
        <v>67.269930000000002</v>
      </c>
      <c r="O569" s="6">
        <v>14.341819599999999</v>
      </c>
      <c r="P569" s="6" t="s">
        <v>12894</v>
      </c>
      <c r="Q569" s="6">
        <v>2</v>
      </c>
      <c r="R569" s="6" t="s">
        <v>79</v>
      </c>
      <c r="S569" s="6">
        <v>1934</v>
      </c>
      <c r="T569" s="6"/>
      <c r="V569" s="6">
        <v>110</v>
      </c>
      <c r="W569" s="6" t="s">
        <v>167</v>
      </c>
      <c r="X569" s="6" t="s">
        <v>12895</v>
      </c>
      <c r="Y569" s="6" t="s">
        <v>12896</v>
      </c>
      <c r="Z569" s="6" t="s">
        <v>12897</v>
      </c>
      <c r="AA569" s="6" t="s">
        <v>12898</v>
      </c>
      <c r="AB569" s="6" t="s">
        <v>12899</v>
      </c>
      <c r="AC569" s="10">
        <f>_xlfn.XLOOKUP(AH569,[1]Mapping!C:C,[1]Mapping!B:B,"",1)</f>
        <v>3364</v>
      </c>
      <c r="AD569" s="10" t="str">
        <f>_xlfn.XLOOKUP(AC569,[1]Mapping!B:B,[1]Mapping!C:C,"")</f>
        <v xml:space="preserve">Aerospace Product and Parts ManufacturingT </v>
      </c>
      <c r="AG569" s="6" t="s">
        <v>603</v>
      </c>
      <c r="AH569" s="6" t="s">
        <v>604</v>
      </c>
      <c r="AI569" s="6" t="s">
        <v>466</v>
      </c>
      <c r="AS569" s="6" t="s">
        <v>12900</v>
      </c>
      <c r="AX569" s="6" t="s">
        <v>12901</v>
      </c>
      <c r="AY569" s="6" t="s">
        <v>12902</v>
      </c>
      <c r="AZ569" s="6" t="s">
        <v>12903</v>
      </c>
      <c r="BA569" s="6" t="s">
        <v>12904</v>
      </c>
      <c r="BB569" s="6" t="s">
        <v>12904</v>
      </c>
      <c r="BD569" s="6" t="s">
        <v>12905</v>
      </c>
      <c r="BE569" s="6" t="str">
        <f t="shared" si="16"/>
        <v>wideroe.no</v>
      </c>
      <c r="BF569" s="6" t="str">
        <f t="shared" si="17"/>
        <v>no</v>
      </c>
      <c r="BG569" s="6" t="s">
        <v>150</v>
      </c>
      <c r="BJ569" s="6" t="s">
        <v>12906</v>
      </c>
      <c r="BK569" s="6" t="s">
        <v>12907</v>
      </c>
      <c r="BP569" s="6" t="s">
        <v>12908</v>
      </c>
      <c r="BQ569" s="6" t="s">
        <v>12909</v>
      </c>
      <c r="BR569" s="6" t="s">
        <v>105</v>
      </c>
    </row>
    <row r="570" spans="1:70" ht="45" customHeight="1" x14ac:dyDescent="0.25">
      <c r="A570" s="6">
        <v>570</v>
      </c>
      <c r="B570" s="7" t="s">
        <v>12910</v>
      </c>
      <c r="C570" s="8" t="s">
        <v>12911</v>
      </c>
      <c r="D570" s="6" t="s">
        <v>12912</v>
      </c>
      <c r="E570" s="6" t="s">
        <v>12913</v>
      </c>
      <c r="F570" s="8" t="s">
        <v>12914</v>
      </c>
      <c r="G570" s="6" t="s">
        <v>73</v>
      </c>
      <c r="H570" s="6" t="s">
        <v>74</v>
      </c>
      <c r="I570" s="6"/>
      <c r="J570" s="6" t="s">
        <v>388</v>
      </c>
      <c r="K570" s="9">
        <v>5000</v>
      </c>
      <c r="L570" s="8" t="s">
        <v>12915</v>
      </c>
      <c r="M570" s="9">
        <v>9</v>
      </c>
      <c r="N570" s="6">
        <v>55.395916300000003</v>
      </c>
      <c r="O570" s="6">
        <v>10.3842164</v>
      </c>
      <c r="P570" s="6" t="s">
        <v>12916</v>
      </c>
      <c r="Q570" s="6">
        <v>3</v>
      </c>
      <c r="R570" s="6" t="s">
        <v>79</v>
      </c>
      <c r="S570" s="6">
        <v>1999</v>
      </c>
      <c r="T570" s="6">
        <v>54200000</v>
      </c>
      <c r="U570" s="6" t="s">
        <v>167</v>
      </c>
      <c r="V570" s="6">
        <v>130</v>
      </c>
      <c r="W570" s="6" t="s">
        <v>167</v>
      </c>
      <c r="X570" s="6" t="s">
        <v>12917</v>
      </c>
      <c r="Y570" s="6" t="s">
        <v>12918</v>
      </c>
      <c r="Z570" s="6" t="s">
        <v>12919</v>
      </c>
      <c r="AA570" s="6" t="s">
        <v>12920</v>
      </c>
      <c r="AC570" s="6">
        <v>541910</v>
      </c>
      <c r="AD570" s="10" t="str">
        <f>_xlfn.XLOOKUP(AC570,[1]Mapping!B:B,[1]Mapping!C:C,"")</f>
        <v>Marketing Research and Public Opinion Polling</v>
      </c>
      <c r="AG570" s="6" t="s">
        <v>6507</v>
      </c>
      <c r="AH570" s="6" t="s">
        <v>1143</v>
      </c>
      <c r="AI570" s="6" t="s">
        <v>500</v>
      </c>
      <c r="AJ570" s="6" t="s">
        <v>500</v>
      </c>
      <c r="AK570" s="6" t="s">
        <v>501</v>
      </c>
      <c r="AL570" s="6" t="s">
        <v>502</v>
      </c>
      <c r="AM570" s="6" t="s">
        <v>503</v>
      </c>
      <c r="AN570" s="6" t="s">
        <v>297</v>
      </c>
      <c r="AO570" s="6" t="s">
        <v>298</v>
      </c>
      <c r="AQ570" s="6">
        <v>8732</v>
      </c>
      <c r="AR570" s="6" t="s">
        <v>12921</v>
      </c>
      <c r="AS570" s="6" t="s">
        <v>1067</v>
      </c>
      <c r="AT570" s="6">
        <v>7320</v>
      </c>
      <c r="AU570" s="6" t="s">
        <v>6407</v>
      </c>
      <c r="AV570" s="6">
        <v>73.2</v>
      </c>
      <c r="AW570" s="6" t="s">
        <v>6407</v>
      </c>
      <c r="AX570" s="6" t="s">
        <v>1068</v>
      </c>
      <c r="AY570" s="6" t="s">
        <v>12922</v>
      </c>
      <c r="AZ570" s="6" t="s">
        <v>12923</v>
      </c>
      <c r="BA570" s="6" t="s">
        <v>12924</v>
      </c>
      <c r="BB570" s="6" t="s">
        <v>12924</v>
      </c>
      <c r="BC570" s="6" t="s">
        <v>12925</v>
      </c>
      <c r="BD570" s="6" t="s">
        <v>12926</v>
      </c>
      <c r="BE570" s="6" t="str">
        <f t="shared" si="16"/>
        <v>wilke.dk</v>
      </c>
      <c r="BF570" s="6" t="str">
        <f t="shared" si="17"/>
        <v>dk</v>
      </c>
      <c r="BG570" s="6" t="s">
        <v>123</v>
      </c>
      <c r="BK570" s="6" t="s">
        <v>12927</v>
      </c>
      <c r="BP570" s="6" t="s">
        <v>12928</v>
      </c>
      <c r="BQ570" s="6" t="s">
        <v>12929</v>
      </c>
      <c r="BR570" s="6" t="s">
        <v>105</v>
      </c>
    </row>
    <row r="571" spans="1:70" ht="45" customHeight="1" x14ac:dyDescent="0.25">
      <c r="A571" s="6">
        <v>571</v>
      </c>
      <c r="B571" s="7" t="s">
        <v>12930</v>
      </c>
      <c r="C571" s="8" t="s">
        <v>12931</v>
      </c>
      <c r="D571" s="6" t="s">
        <v>12932</v>
      </c>
      <c r="E571" s="6" t="s">
        <v>12933</v>
      </c>
      <c r="F571" s="8" t="s">
        <v>12934</v>
      </c>
      <c r="G571" s="6" t="s">
        <v>2781</v>
      </c>
      <c r="H571" s="6" t="s">
        <v>2782</v>
      </c>
      <c r="I571" s="6" t="s">
        <v>6267</v>
      </c>
      <c r="J571" s="6" t="s">
        <v>6268</v>
      </c>
      <c r="K571" s="9">
        <v>560035</v>
      </c>
      <c r="L571" s="8" t="s">
        <v>12935</v>
      </c>
      <c r="N571" s="6">
        <v>12.9133979</v>
      </c>
      <c r="O571" s="6">
        <v>77.684382599999992</v>
      </c>
      <c r="P571" s="6" t="s">
        <v>12936</v>
      </c>
      <c r="Q571" s="6">
        <v>174</v>
      </c>
      <c r="R571" s="6" t="s">
        <v>906</v>
      </c>
      <c r="S571" s="6">
        <v>1945</v>
      </c>
      <c r="T571" s="6">
        <v>10847121408</v>
      </c>
      <c r="U571" s="6" t="s">
        <v>167</v>
      </c>
      <c r="V571" s="6">
        <v>234054</v>
      </c>
      <c r="W571" s="6" t="s">
        <v>167</v>
      </c>
      <c r="X571" s="6" t="s">
        <v>12937</v>
      </c>
      <c r="Y571" s="6" t="s">
        <v>12938</v>
      </c>
      <c r="Z571" s="6" t="s">
        <v>12939</v>
      </c>
      <c r="AA571" s="6" t="s">
        <v>12940</v>
      </c>
      <c r="AB571" s="6" t="s">
        <v>12941</v>
      </c>
      <c r="AC571" s="6">
        <v>541512</v>
      </c>
      <c r="AD571" s="10" t="str">
        <f>_xlfn.XLOOKUP(AC571,[1]Mapping!B:B,[1]Mapping!C:C,"")</f>
        <v xml:space="preserve">Computer Systems Design Services </v>
      </c>
      <c r="AE571" s="6">
        <v>541511</v>
      </c>
      <c r="AF571" s="6" t="s">
        <v>1971</v>
      </c>
      <c r="AG571" s="6" t="s">
        <v>581</v>
      </c>
      <c r="AH571" s="6" t="s">
        <v>174</v>
      </c>
      <c r="AI571" s="6" t="s">
        <v>87</v>
      </c>
      <c r="AJ571" s="6" t="s">
        <v>174</v>
      </c>
      <c r="AK571" s="6" t="s">
        <v>175</v>
      </c>
      <c r="AL571" s="6" t="s">
        <v>176</v>
      </c>
      <c r="AM571" s="6" t="s">
        <v>177</v>
      </c>
      <c r="AN571" s="6" t="s">
        <v>91</v>
      </c>
      <c r="AO571" s="6" t="s">
        <v>92</v>
      </c>
      <c r="AQ571" s="6" t="s">
        <v>582</v>
      </c>
      <c r="AR571" s="6" t="s">
        <v>583</v>
      </c>
      <c r="AS571" s="6" t="s">
        <v>12942</v>
      </c>
      <c r="AT571" s="6">
        <v>6202</v>
      </c>
      <c r="AU571" s="6" t="s">
        <v>584</v>
      </c>
      <c r="AV571" s="6" t="s">
        <v>585</v>
      </c>
      <c r="AW571" s="6" t="s">
        <v>586</v>
      </c>
      <c r="AX571" s="6" t="s">
        <v>12943</v>
      </c>
      <c r="AY571" s="6" t="s">
        <v>12944</v>
      </c>
      <c r="AZ571" s="6" t="s">
        <v>12945</v>
      </c>
      <c r="BA571" s="6" t="s">
        <v>12946</v>
      </c>
      <c r="BB571" s="6" t="s">
        <v>12947</v>
      </c>
      <c r="BC571" s="6" t="s">
        <v>12948</v>
      </c>
      <c r="BD571" s="6" t="s">
        <v>12949</v>
      </c>
      <c r="BE571" s="6" t="str">
        <f t="shared" si="16"/>
        <v>wipro.com</v>
      </c>
      <c r="BF571" s="6" t="str">
        <f t="shared" si="17"/>
        <v>com</v>
      </c>
      <c r="BG571" s="6" t="s">
        <v>101</v>
      </c>
      <c r="BH571" s="6" t="s">
        <v>12950</v>
      </c>
      <c r="BI571" s="6" t="s">
        <v>12951</v>
      </c>
      <c r="BJ571" s="6" t="s">
        <v>12952</v>
      </c>
      <c r="BK571" s="6" t="s">
        <v>12953</v>
      </c>
      <c r="BN571" s="6" t="s">
        <v>12954</v>
      </c>
      <c r="BP571" s="6" t="s">
        <v>12955</v>
      </c>
      <c r="BQ571" s="6" t="s">
        <v>12956</v>
      </c>
      <c r="BR571" s="6" t="s">
        <v>105</v>
      </c>
    </row>
    <row r="572" spans="1:70" ht="45" customHeight="1" x14ac:dyDescent="0.25">
      <c r="A572" s="6">
        <v>572</v>
      </c>
      <c r="B572" s="7" t="s">
        <v>12957</v>
      </c>
      <c r="C572" s="8" t="s">
        <v>12958</v>
      </c>
      <c r="D572" s="6" t="s">
        <v>12959</v>
      </c>
      <c r="E572" s="6" t="s">
        <v>12960</v>
      </c>
      <c r="F572" s="8" t="s">
        <v>12961</v>
      </c>
      <c r="G572" s="6" t="s">
        <v>315</v>
      </c>
      <c r="H572" s="6" t="s">
        <v>316</v>
      </c>
      <c r="I572" s="6"/>
      <c r="J572" s="6" t="s">
        <v>316</v>
      </c>
      <c r="K572" s="9">
        <v>49145</v>
      </c>
      <c r="L572" s="8" t="s">
        <v>12962</v>
      </c>
      <c r="M572" s="9" t="s">
        <v>846</v>
      </c>
      <c r="N572" s="6">
        <v>1.2859607</v>
      </c>
      <c r="O572" s="6">
        <v>103.84785119999999</v>
      </c>
      <c r="P572" s="6" t="s">
        <v>12963</v>
      </c>
      <c r="Q572" s="6">
        <v>1</v>
      </c>
      <c r="R572" s="6" t="s">
        <v>79</v>
      </c>
      <c r="T572" s="6">
        <v>15045350</v>
      </c>
      <c r="U572" s="6" t="s">
        <v>80</v>
      </c>
      <c r="V572" s="6">
        <v>75</v>
      </c>
      <c r="W572" s="6" t="s">
        <v>80</v>
      </c>
      <c r="X572" s="6" t="s">
        <v>12940</v>
      </c>
      <c r="Y572" s="6" t="s">
        <v>12964</v>
      </c>
      <c r="Z572" s="6" t="s">
        <v>12965</v>
      </c>
      <c r="AC572" s="6">
        <v>611310</v>
      </c>
      <c r="AD572" s="10" t="str">
        <f>_xlfn.XLOOKUP(AC572,[1]Mapping!B:B,[1]Mapping!C:C,"")</f>
        <v xml:space="preserve">Colleges, Universities, and Professional Schools </v>
      </c>
      <c r="AG572" s="6" t="s">
        <v>941</v>
      </c>
      <c r="AH572" s="6" t="s">
        <v>942</v>
      </c>
      <c r="AI572" s="6" t="s">
        <v>942</v>
      </c>
      <c r="AJ572" s="6" t="s">
        <v>942</v>
      </c>
      <c r="AK572" s="6" t="s">
        <v>2921</v>
      </c>
      <c r="AL572" s="6" t="s">
        <v>295</v>
      </c>
      <c r="AM572" s="6" t="s">
        <v>296</v>
      </c>
      <c r="AN572" s="6" t="s">
        <v>297</v>
      </c>
      <c r="AO572" s="6" t="s">
        <v>298</v>
      </c>
      <c r="AQ572" s="6">
        <v>8221</v>
      </c>
      <c r="AR572" s="6" t="s">
        <v>943</v>
      </c>
      <c r="AT572" s="6">
        <v>8530</v>
      </c>
      <c r="AU572" s="6" t="s">
        <v>945</v>
      </c>
      <c r="AV572" s="6" t="s">
        <v>946</v>
      </c>
      <c r="AW572" s="6" t="s">
        <v>947</v>
      </c>
      <c r="AY572" s="6">
        <v>6598711738</v>
      </c>
      <c r="AZ572" s="6">
        <v>6598711738</v>
      </c>
      <c r="BA572" s="6" t="s">
        <v>12966</v>
      </c>
      <c r="BB572" s="6" t="s">
        <v>12966</v>
      </c>
      <c r="BD572" s="6" t="s">
        <v>12967</v>
      </c>
      <c r="BE572" s="6" t="str">
        <f t="shared" si="16"/>
        <v>wipro.com</v>
      </c>
      <c r="BF572" s="6" t="str">
        <f t="shared" si="17"/>
        <v>com</v>
      </c>
      <c r="BG572" s="6" t="s">
        <v>744</v>
      </c>
      <c r="BH572" s="6" t="s">
        <v>12950</v>
      </c>
      <c r="BI572" s="6" t="s">
        <v>12968</v>
      </c>
      <c r="BJ572" s="6" t="s">
        <v>12952</v>
      </c>
      <c r="BK572" s="6" t="s">
        <v>12953</v>
      </c>
      <c r="BN572" s="6" t="s">
        <v>12954</v>
      </c>
      <c r="BP572" s="6" t="s">
        <v>12969</v>
      </c>
      <c r="BQ572" s="6" t="s">
        <v>12970</v>
      </c>
      <c r="BR572" s="6" t="s">
        <v>105</v>
      </c>
    </row>
    <row r="573" spans="1:70" ht="45" customHeight="1" x14ac:dyDescent="0.25">
      <c r="A573" s="6">
        <v>573</v>
      </c>
      <c r="B573" s="7" t="s">
        <v>12971</v>
      </c>
      <c r="C573" s="8" t="s">
        <v>12972</v>
      </c>
      <c r="D573" s="6" t="s">
        <v>12973</v>
      </c>
      <c r="E573" s="6" t="s">
        <v>12974</v>
      </c>
      <c r="F573" s="8" t="s">
        <v>12975</v>
      </c>
      <c r="G573" s="6" t="s">
        <v>1324</v>
      </c>
      <c r="H573" s="6" t="s">
        <v>1325</v>
      </c>
      <c r="I573" s="6" t="s">
        <v>12976</v>
      </c>
      <c r="J573" s="6" t="s">
        <v>12977</v>
      </c>
      <c r="K573" s="9">
        <v>73000</v>
      </c>
      <c r="L573" s="8" t="s">
        <v>12978</v>
      </c>
      <c r="M573" s="9" t="s">
        <v>12979</v>
      </c>
      <c r="N573" s="6">
        <v>13.810764799999999</v>
      </c>
      <c r="O573" s="6">
        <v>100.0710375</v>
      </c>
      <c r="P573" s="6" t="s">
        <v>12980</v>
      </c>
      <c r="Q573" s="6">
        <v>2</v>
      </c>
      <c r="R573" s="6" t="s">
        <v>79</v>
      </c>
      <c r="S573" s="6">
        <v>1995</v>
      </c>
      <c r="T573" s="6"/>
      <c r="X573" s="6" t="s">
        <v>12981</v>
      </c>
      <c r="Y573" s="6" t="s">
        <v>12982</v>
      </c>
      <c r="Z573" s="6" t="s">
        <v>12983</v>
      </c>
      <c r="AA573" s="6" t="s">
        <v>12984</v>
      </c>
      <c r="AB573" s="6" t="s">
        <v>12985</v>
      </c>
      <c r="AC573" s="10">
        <f>_xlfn.XLOOKUP(AH573,[1]Mapping!C:C,[1]Mapping!B:B,"",1)</f>
        <v>92216</v>
      </c>
      <c r="AD573" s="10" t="str">
        <f>_xlfn.XLOOKUP(AC573,[1]Mapping!B:B,[1]Mapping!C:C,"")</f>
        <v xml:space="preserve">Fire Protection </v>
      </c>
      <c r="AG573" s="6" t="s">
        <v>12986</v>
      </c>
      <c r="AH573" s="6" t="s">
        <v>291</v>
      </c>
      <c r="AI573" s="6" t="s">
        <v>292</v>
      </c>
      <c r="AJ573" s="6" t="s">
        <v>432</v>
      </c>
      <c r="AK573" s="6" t="s">
        <v>433</v>
      </c>
      <c r="AL573" s="6" t="s">
        <v>434</v>
      </c>
      <c r="AM573" s="6" t="s">
        <v>435</v>
      </c>
      <c r="AN573" s="6" t="s">
        <v>436</v>
      </c>
      <c r="AO573" s="6" t="s">
        <v>437</v>
      </c>
      <c r="AS573" s="6" t="s">
        <v>12987</v>
      </c>
      <c r="AX573" s="6" t="s">
        <v>12988</v>
      </c>
      <c r="AY573" s="6">
        <v>6620344500</v>
      </c>
      <c r="AZ573" s="6">
        <v>6620344500</v>
      </c>
      <c r="BA573" s="6" t="s">
        <v>12989</v>
      </c>
      <c r="BB573" s="6" t="s">
        <v>12989</v>
      </c>
      <c r="BD573" s="6" t="s">
        <v>12990</v>
      </c>
      <c r="BE573" s="6" t="str">
        <f t="shared" si="16"/>
        <v>ww.co.th</v>
      </c>
      <c r="BF573" s="6" t="str">
        <f t="shared" si="17"/>
        <v>th</v>
      </c>
      <c r="BG573" s="6" t="s">
        <v>101</v>
      </c>
      <c r="BK573" s="6" t="s">
        <v>12991</v>
      </c>
      <c r="BP573" s="6" t="s">
        <v>12992</v>
      </c>
      <c r="BQ573" s="6" t="s">
        <v>12993</v>
      </c>
      <c r="BR573" s="6" t="s">
        <v>105</v>
      </c>
    </row>
    <row r="574" spans="1:70" ht="45" customHeight="1" x14ac:dyDescent="0.25">
      <c r="A574" s="6">
        <v>574</v>
      </c>
      <c r="B574" s="7" t="s">
        <v>12994</v>
      </c>
      <c r="C574" s="8" t="s">
        <v>12995</v>
      </c>
      <c r="D574" s="6" t="s">
        <v>12996</v>
      </c>
      <c r="E574" s="6" t="s">
        <v>12997</v>
      </c>
      <c r="F574" s="8" t="s">
        <v>12998</v>
      </c>
      <c r="G574" s="6" t="s">
        <v>315</v>
      </c>
      <c r="H574" s="6" t="s">
        <v>316</v>
      </c>
      <c r="I574" s="6"/>
      <c r="J574" s="6" t="s">
        <v>316</v>
      </c>
      <c r="K574" s="9">
        <v>629564</v>
      </c>
      <c r="L574" s="8" t="s">
        <v>12999</v>
      </c>
      <c r="M574" s="9">
        <v>8</v>
      </c>
      <c r="N574" s="6">
        <v>1.31362</v>
      </c>
      <c r="O574" s="6">
        <v>103.673106</v>
      </c>
      <c r="P574" s="6" t="s">
        <v>13000</v>
      </c>
      <c r="Q574" s="6">
        <v>1</v>
      </c>
      <c r="R574" s="6" t="s">
        <v>79</v>
      </c>
      <c r="S574" s="6">
        <v>1974</v>
      </c>
      <c r="T574" s="6"/>
      <c r="X574" s="6" t="s">
        <v>13001</v>
      </c>
      <c r="Y574" s="6" t="s">
        <v>13002</v>
      </c>
      <c r="Z574" s="6" t="s">
        <v>13003</v>
      </c>
      <c r="AA574" s="6" t="s">
        <v>13004</v>
      </c>
      <c r="AC574" s="6">
        <v>485510</v>
      </c>
      <c r="AD574" s="10" t="str">
        <f>_xlfn.XLOOKUP(AC574,[1]Mapping!B:B,[1]Mapping!C:C,"")</f>
        <v>Charter Bus Industry</v>
      </c>
      <c r="AG574" s="6" t="s">
        <v>13005</v>
      </c>
      <c r="AH574" s="6" t="s">
        <v>7017</v>
      </c>
      <c r="AI574" s="6" t="s">
        <v>4567</v>
      </c>
      <c r="AJ574" s="6" t="s">
        <v>8611</v>
      </c>
      <c r="AK574" s="6" t="s">
        <v>8612</v>
      </c>
      <c r="AL574" s="6" t="s">
        <v>4570</v>
      </c>
      <c r="AM574" s="6" t="s">
        <v>4571</v>
      </c>
      <c r="AN574" s="6" t="s">
        <v>2138</v>
      </c>
      <c r="AO574" s="6" t="s">
        <v>2139</v>
      </c>
      <c r="AQ574" s="6" t="s">
        <v>13006</v>
      </c>
      <c r="AR574" s="6" t="s">
        <v>13007</v>
      </c>
      <c r="AS574" s="6" t="s">
        <v>13008</v>
      </c>
      <c r="AT574" s="6">
        <v>4922</v>
      </c>
      <c r="AU574" s="6" t="s">
        <v>13009</v>
      </c>
      <c r="AV574" s="6" t="s">
        <v>13010</v>
      </c>
      <c r="AW574" s="6" t="s">
        <v>13011</v>
      </c>
      <c r="AX574" s="6" t="s">
        <v>13012</v>
      </c>
      <c r="AY574" s="6" t="s">
        <v>13013</v>
      </c>
      <c r="AZ574" s="6" t="s">
        <v>13014</v>
      </c>
      <c r="BA574" s="6" t="s">
        <v>13015</v>
      </c>
      <c r="BB574" s="6" t="s">
        <v>13015</v>
      </c>
      <c r="BD574" s="6" t="s">
        <v>13016</v>
      </c>
      <c r="BE574" s="6" t="str">
        <f t="shared" si="16"/>
        <v>woodlandstransport.com.sg</v>
      </c>
      <c r="BF574" s="6" t="str">
        <f t="shared" si="17"/>
        <v>sg</v>
      </c>
      <c r="BG574" s="6" t="s">
        <v>101</v>
      </c>
      <c r="BH574" s="6" t="s">
        <v>13017</v>
      </c>
      <c r="BK574" s="6" t="s">
        <v>13018</v>
      </c>
      <c r="BP574" s="6" t="s">
        <v>13019</v>
      </c>
      <c r="BQ574" s="6" t="s">
        <v>13020</v>
      </c>
      <c r="BR574" s="6" t="s">
        <v>105</v>
      </c>
    </row>
    <row r="575" spans="1:70" ht="45" customHeight="1" x14ac:dyDescent="0.25">
      <c r="A575" s="6">
        <v>575</v>
      </c>
      <c r="B575" s="7" t="s">
        <v>13021</v>
      </c>
      <c r="C575" s="8" t="s">
        <v>13022</v>
      </c>
      <c r="D575" s="6" t="s">
        <v>13023</v>
      </c>
      <c r="E575" s="8" t="s">
        <v>13021</v>
      </c>
      <c r="F575" s="8" t="s">
        <v>13024</v>
      </c>
      <c r="G575" s="6" t="s">
        <v>570</v>
      </c>
      <c r="H575" s="6" t="s">
        <v>571</v>
      </c>
      <c r="I575" s="8" t="s">
        <v>572</v>
      </c>
      <c r="J575" s="6" t="s">
        <v>13025</v>
      </c>
      <c r="K575" s="9" t="s">
        <v>13026</v>
      </c>
      <c r="L575" s="8" t="s">
        <v>13027</v>
      </c>
      <c r="N575" s="6">
        <v>53.347787199999999</v>
      </c>
      <c r="O575" s="6">
        <v>-6.2750162999999999</v>
      </c>
      <c r="P575" s="6" t="s">
        <v>13028</v>
      </c>
      <c r="Q575" s="6">
        <v>1</v>
      </c>
      <c r="R575" s="6" t="s">
        <v>79</v>
      </c>
      <c r="S575" s="6">
        <v>2011</v>
      </c>
      <c r="T575" s="6"/>
      <c r="X575" s="6" t="s">
        <v>13029</v>
      </c>
      <c r="Y575" s="6" t="s">
        <v>13030</v>
      </c>
      <c r="Z575" s="6" t="s">
        <v>13031</v>
      </c>
      <c r="AA575" s="6" t="s">
        <v>13032</v>
      </c>
      <c r="AB575" s="6" t="s">
        <v>13033</v>
      </c>
      <c r="AC575" s="6">
        <v>541511</v>
      </c>
      <c r="AD575" s="10" t="str">
        <f>_xlfn.XLOOKUP(AC575,[1]Mapping!B:B,[1]Mapping!C:C,"")</f>
        <v xml:space="preserve">Custom Computer Programming Services </v>
      </c>
      <c r="AG575" s="6" t="s">
        <v>990</v>
      </c>
      <c r="AH575" s="6" t="s">
        <v>174</v>
      </c>
      <c r="AI575" s="6" t="s">
        <v>87</v>
      </c>
      <c r="AJ575" s="6" t="s">
        <v>174</v>
      </c>
      <c r="AK575" s="6" t="s">
        <v>175</v>
      </c>
      <c r="AL575" s="6" t="s">
        <v>176</v>
      </c>
      <c r="AM575" s="6" t="s">
        <v>177</v>
      </c>
      <c r="AN575" s="6" t="s">
        <v>91</v>
      </c>
      <c r="AO575" s="6" t="s">
        <v>92</v>
      </c>
      <c r="AQ575" s="6">
        <v>7371</v>
      </c>
      <c r="AR575" s="6" t="s">
        <v>504</v>
      </c>
      <c r="AS575" s="6" t="s">
        <v>13034</v>
      </c>
      <c r="AT575" s="6">
        <v>6201</v>
      </c>
      <c r="AU575" s="6" t="s">
        <v>505</v>
      </c>
      <c r="AV575" s="6">
        <v>62.01</v>
      </c>
      <c r="AW575" s="6" t="s">
        <v>505</v>
      </c>
      <c r="AX575" s="6" t="s">
        <v>13035</v>
      </c>
      <c r="AY575" s="6" t="s">
        <v>13036</v>
      </c>
      <c r="BD575" s="6" t="s">
        <v>13037</v>
      </c>
      <c r="BE575" s="6" t="str">
        <f t="shared" si="16"/>
        <v>workday.com</v>
      </c>
      <c r="BF575" s="6" t="str">
        <f t="shared" si="17"/>
        <v>com</v>
      </c>
      <c r="BG575" s="6" t="s">
        <v>101</v>
      </c>
      <c r="BH575" s="6" t="s">
        <v>13038</v>
      </c>
      <c r="BI575" s="6" t="s">
        <v>13039</v>
      </c>
      <c r="BJ575" s="6" t="s">
        <v>13040</v>
      </c>
      <c r="BK575" s="6" t="s">
        <v>13041</v>
      </c>
      <c r="BN575" s="6" t="s">
        <v>13042</v>
      </c>
      <c r="BP575" s="6" t="s">
        <v>13043</v>
      </c>
      <c r="BQ575" s="6" t="s">
        <v>13044</v>
      </c>
      <c r="BR575" s="6" t="s">
        <v>105</v>
      </c>
    </row>
    <row r="576" spans="1:70" ht="45" customHeight="1" x14ac:dyDescent="0.25">
      <c r="A576" s="6">
        <v>576</v>
      </c>
      <c r="B576" s="7" t="s">
        <v>13045</v>
      </c>
      <c r="C576" s="8" t="s">
        <v>13046</v>
      </c>
      <c r="D576" s="6" t="s">
        <v>13047</v>
      </c>
      <c r="E576" s="8" t="s">
        <v>13048</v>
      </c>
      <c r="F576" s="8" t="s">
        <v>13048</v>
      </c>
      <c r="G576" s="6" t="s">
        <v>612</v>
      </c>
      <c r="H576" s="6" t="s">
        <v>613</v>
      </c>
      <c r="I576" s="6" t="s">
        <v>751</v>
      </c>
      <c r="J576" s="6" t="s">
        <v>752</v>
      </c>
      <c r="K576" s="9">
        <v>50100</v>
      </c>
      <c r="L576" s="8" t="s">
        <v>13049</v>
      </c>
      <c r="M576" s="9">
        <v>8</v>
      </c>
      <c r="N576" s="6">
        <v>3.155157</v>
      </c>
      <c r="O576" s="6">
        <v>101.6993128</v>
      </c>
      <c r="P576" s="6" t="s">
        <v>13050</v>
      </c>
      <c r="Q576" s="6">
        <v>1</v>
      </c>
      <c r="R576" s="6" t="s">
        <v>79</v>
      </c>
      <c r="T576" s="6"/>
      <c r="X576" s="6" t="s">
        <v>13051</v>
      </c>
      <c r="Y576" s="6" t="s">
        <v>3065</v>
      </c>
      <c r="Z576" s="6" t="s">
        <v>13052</v>
      </c>
      <c r="AC576" s="6">
        <v>531210</v>
      </c>
      <c r="AD576" s="10" t="str">
        <f>_xlfn.XLOOKUP(AC576,[1]Mapping!B:B,[1]Mapping!C:C,"")</f>
        <v>Offices of Real Estate Agents and Brokers</v>
      </c>
      <c r="AG576" s="6" t="s">
        <v>6705</v>
      </c>
      <c r="AH576" s="6" t="s">
        <v>6705</v>
      </c>
      <c r="AI576" s="6" t="s">
        <v>2321</v>
      </c>
      <c r="AQ576" s="6">
        <v>6531</v>
      </c>
      <c r="AR576" s="6" t="s">
        <v>6801</v>
      </c>
      <c r="AT576" s="6">
        <v>6820</v>
      </c>
      <c r="AU576" s="6" t="s">
        <v>6708</v>
      </c>
      <c r="AV576" s="6" t="s">
        <v>6709</v>
      </c>
      <c r="AW576" s="6" t="s">
        <v>6710</v>
      </c>
      <c r="AY576" s="6" t="s">
        <v>13053</v>
      </c>
      <c r="AZ576" s="6">
        <v>6072243388</v>
      </c>
      <c r="BD576" s="6" t="s">
        <v>13054</v>
      </c>
      <c r="BE576" s="6" t="str">
        <f t="shared" si="16"/>
        <v>cbre-wtw.com.my</v>
      </c>
      <c r="BF576" s="6" t="str">
        <f t="shared" si="17"/>
        <v>my</v>
      </c>
      <c r="BG576" s="6" t="s">
        <v>101</v>
      </c>
      <c r="BH576" s="6" t="s">
        <v>13055</v>
      </c>
      <c r="BK576" s="6" t="s">
        <v>13056</v>
      </c>
      <c r="BQ576" s="6" t="s">
        <v>13057</v>
      </c>
      <c r="BR576" s="6" t="s">
        <v>105</v>
      </c>
    </row>
    <row r="577" spans="1:70" ht="45" customHeight="1" x14ac:dyDescent="0.25">
      <c r="A577" s="6">
        <v>577</v>
      </c>
      <c r="B577" s="7" t="s">
        <v>13058</v>
      </c>
      <c r="C577" s="8" t="s">
        <v>13059</v>
      </c>
      <c r="D577" s="6" t="s">
        <v>13060</v>
      </c>
      <c r="E577" s="6" t="s">
        <v>13061</v>
      </c>
      <c r="F577" s="8" t="s">
        <v>13062</v>
      </c>
      <c r="G577" s="6" t="s">
        <v>73</v>
      </c>
      <c r="H577" s="6" t="s">
        <v>74</v>
      </c>
      <c r="I577" s="6"/>
      <c r="J577" s="6" t="s">
        <v>1802</v>
      </c>
      <c r="K577" s="9">
        <v>2900</v>
      </c>
      <c r="L577" s="8" t="s">
        <v>13063</v>
      </c>
      <c r="M577" s="9">
        <v>8</v>
      </c>
      <c r="N577" s="6">
        <v>55.732420400000002</v>
      </c>
      <c r="O577" s="6">
        <v>12.5771756</v>
      </c>
      <c r="P577" s="6" t="s">
        <v>13064</v>
      </c>
      <c r="Q577" s="6">
        <v>1</v>
      </c>
      <c r="R577" s="6" t="s">
        <v>79</v>
      </c>
      <c r="S577" s="6">
        <v>2003</v>
      </c>
      <c r="T577" s="6"/>
      <c r="X577" s="6" t="s">
        <v>13065</v>
      </c>
      <c r="Y577" s="6" t="s">
        <v>13066</v>
      </c>
      <c r="Z577" s="6" t="s">
        <v>13067</v>
      </c>
      <c r="AA577" s="6" t="s">
        <v>13068</v>
      </c>
      <c r="AB577" s="6" t="s">
        <v>13069</v>
      </c>
      <c r="AC577" s="6">
        <v>541511</v>
      </c>
      <c r="AD577" s="10" t="str">
        <f>_xlfn.XLOOKUP(AC577,[1]Mapping!B:B,[1]Mapping!C:C,"")</f>
        <v xml:space="preserve">Custom Computer Programming Services </v>
      </c>
      <c r="AG577" s="6" t="s">
        <v>990</v>
      </c>
      <c r="AH577" s="6" t="s">
        <v>174</v>
      </c>
      <c r="AI577" s="6" t="s">
        <v>87</v>
      </c>
      <c r="AJ577" s="6" t="s">
        <v>174</v>
      </c>
      <c r="AK577" s="6" t="s">
        <v>175</v>
      </c>
      <c r="AL577" s="6" t="s">
        <v>176</v>
      </c>
      <c r="AM577" s="6" t="s">
        <v>177</v>
      </c>
      <c r="AN577" s="6" t="s">
        <v>91</v>
      </c>
      <c r="AO577" s="6" t="s">
        <v>92</v>
      </c>
      <c r="AQ577" s="6">
        <v>7371</v>
      </c>
      <c r="AR577" s="6" t="s">
        <v>504</v>
      </c>
      <c r="AS577" s="6" t="s">
        <v>10748</v>
      </c>
      <c r="AT577" s="6">
        <v>6201</v>
      </c>
      <c r="AU577" s="6" t="s">
        <v>505</v>
      </c>
      <c r="AV577" s="6">
        <v>62.01</v>
      </c>
      <c r="AW577" s="6" t="s">
        <v>505</v>
      </c>
      <c r="AX577" s="6" t="s">
        <v>10749</v>
      </c>
      <c r="AY577" s="6" t="s">
        <v>13070</v>
      </c>
      <c r="AZ577" s="6">
        <v>4525662500</v>
      </c>
      <c r="BA577" s="6" t="s">
        <v>13071</v>
      </c>
      <c r="BB577" s="6" t="s">
        <v>13072</v>
      </c>
      <c r="BD577" s="6" t="s">
        <v>13073</v>
      </c>
      <c r="BE577" s="6" t="str">
        <f t="shared" si="16"/>
        <v>copenhagensoftware.com</v>
      </c>
      <c r="BF577" s="6" t="str">
        <f t="shared" si="17"/>
        <v>com</v>
      </c>
      <c r="BG577" s="6" t="s">
        <v>123</v>
      </c>
      <c r="BH577" s="6" t="s">
        <v>13074</v>
      </c>
      <c r="BJ577" s="6" t="s">
        <v>13075</v>
      </c>
      <c r="BK577" s="6" t="s">
        <v>13076</v>
      </c>
      <c r="BP577" s="6" t="s">
        <v>13077</v>
      </c>
      <c r="BQ577" s="6" t="s">
        <v>13078</v>
      </c>
      <c r="BR577" s="6" t="s">
        <v>105</v>
      </c>
    </row>
    <row r="578" spans="1:70" ht="45" customHeight="1" x14ac:dyDescent="0.25">
      <c r="A578" s="6">
        <v>578</v>
      </c>
      <c r="B578" s="7" t="s">
        <v>13079</v>
      </c>
      <c r="C578" s="8" t="s">
        <v>13080</v>
      </c>
      <c r="D578" s="6" t="s">
        <v>13081</v>
      </c>
      <c r="E578" s="6" t="s">
        <v>13082</v>
      </c>
      <c r="F578" s="8" t="s">
        <v>13083</v>
      </c>
      <c r="G578" s="6" t="s">
        <v>452</v>
      </c>
      <c r="H578" s="6" t="s">
        <v>453</v>
      </c>
      <c r="I578" s="6" t="s">
        <v>13084</v>
      </c>
      <c r="J578" s="6" t="s">
        <v>13085</v>
      </c>
      <c r="K578" s="9">
        <v>610072</v>
      </c>
      <c r="L578" s="8" t="s">
        <v>13086</v>
      </c>
      <c r="M578" s="9">
        <v>1</v>
      </c>
      <c r="N578" s="6">
        <v>30.666023799999991</v>
      </c>
      <c r="O578" s="6">
        <v>104.0400142</v>
      </c>
      <c r="P578" s="6" t="s">
        <v>13087</v>
      </c>
      <c r="Q578" s="6">
        <v>1</v>
      </c>
      <c r="R578" s="6" t="s">
        <v>79</v>
      </c>
      <c r="S578" s="6">
        <v>1988</v>
      </c>
      <c r="T578" s="6"/>
      <c r="X578" s="6" t="s">
        <v>13088</v>
      </c>
      <c r="Y578" s="6" t="s">
        <v>13089</v>
      </c>
      <c r="Z578" s="6" t="s">
        <v>13090</v>
      </c>
      <c r="AA578" s="6" t="s">
        <v>13091</v>
      </c>
      <c r="AB578" s="6" t="s">
        <v>13092</v>
      </c>
      <c r="AC578" s="6">
        <v>456130</v>
      </c>
      <c r="AD578" s="10" t="str">
        <f>_xlfn.XLOOKUP(AC578,[1]Mapping!B:B,[1]Mapping!C:C,"")</f>
        <v xml:space="preserve">Optical Goods Retailers </v>
      </c>
      <c r="AG578" s="6" t="s">
        <v>13093</v>
      </c>
      <c r="AH578" s="6" t="s">
        <v>13093</v>
      </c>
      <c r="AI578" s="6" t="s">
        <v>882</v>
      </c>
      <c r="AQ578" s="6" t="s">
        <v>13094</v>
      </c>
      <c r="AR578" s="6" t="s">
        <v>13095</v>
      </c>
      <c r="AT578" s="6" t="s">
        <v>5107</v>
      </c>
      <c r="AU578" s="6" t="s">
        <v>5108</v>
      </c>
      <c r="AV578" s="6" t="s">
        <v>13096</v>
      </c>
      <c r="AW578" s="6" t="s">
        <v>13097</v>
      </c>
      <c r="BD578" s="6" t="s">
        <v>13098</v>
      </c>
      <c r="BE578" s="6" t="str">
        <f t="shared" si="16"/>
        <v>yofc.com.cn</v>
      </c>
      <c r="BF578" s="6" t="str">
        <f t="shared" si="17"/>
        <v>cn</v>
      </c>
      <c r="BG578" s="6" t="s">
        <v>744</v>
      </c>
      <c r="BQ578" s="6" t="s">
        <v>13099</v>
      </c>
      <c r="BR578" s="6" t="s">
        <v>105</v>
      </c>
    </row>
    <row r="579" spans="1:70" ht="45" customHeight="1" x14ac:dyDescent="0.25">
      <c r="A579" s="6">
        <v>579</v>
      </c>
      <c r="B579" s="7" t="s">
        <v>13100</v>
      </c>
      <c r="C579" s="8" t="s">
        <v>13101</v>
      </c>
      <c r="D579" s="6" t="s">
        <v>13102</v>
      </c>
      <c r="E579" s="6" t="s">
        <v>13103</v>
      </c>
      <c r="F579" s="8" t="s">
        <v>13104</v>
      </c>
      <c r="G579" s="6" t="s">
        <v>1324</v>
      </c>
      <c r="H579" s="6" t="s">
        <v>1325</v>
      </c>
      <c r="I579" s="6" t="s">
        <v>13105</v>
      </c>
      <c r="J579" s="6" t="s">
        <v>13106</v>
      </c>
      <c r="K579" s="9">
        <v>20270</v>
      </c>
      <c r="L579" s="8" t="s">
        <v>13107</v>
      </c>
      <c r="M579" s="9">
        <v>1550</v>
      </c>
      <c r="N579" s="6">
        <v>13.312476999999999</v>
      </c>
      <c r="O579" s="6">
        <v>101.3629442</v>
      </c>
      <c r="P579" s="6" t="s">
        <v>13108</v>
      </c>
      <c r="Q579" s="6">
        <v>1</v>
      </c>
      <c r="R579" s="6" t="s">
        <v>79</v>
      </c>
      <c r="S579" s="6">
        <v>2003</v>
      </c>
      <c r="T579" s="6">
        <v>5899469</v>
      </c>
      <c r="U579" s="6" t="s">
        <v>80</v>
      </c>
      <c r="V579" s="6">
        <v>150</v>
      </c>
      <c r="W579" s="6" t="s">
        <v>80</v>
      </c>
      <c r="X579" s="6" t="s">
        <v>13109</v>
      </c>
      <c r="Y579" s="6" t="s">
        <v>13110</v>
      </c>
      <c r="Z579" s="6" t="s">
        <v>13111</v>
      </c>
      <c r="AA579" s="6" t="s">
        <v>13112</v>
      </c>
      <c r="AB579" s="6" t="s">
        <v>13113</v>
      </c>
      <c r="AC579" s="6">
        <v>517121</v>
      </c>
      <c r="AD579" s="10" t="str">
        <f>_xlfn.XLOOKUP(AC579,[1]Mapping!B:B,[1]Mapping!C:C,"")</f>
        <v>Telecommunications Resellers</v>
      </c>
      <c r="AG579" s="6" t="s">
        <v>85</v>
      </c>
      <c r="AH579" s="6" t="s">
        <v>86</v>
      </c>
      <c r="AI579" s="6" t="s">
        <v>87</v>
      </c>
      <c r="AJ579" s="6" t="s">
        <v>86</v>
      </c>
      <c r="AK579" s="6" t="s">
        <v>88</v>
      </c>
      <c r="AL579" s="6" t="s">
        <v>89</v>
      </c>
      <c r="AM579" s="6" t="s">
        <v>90</v>
      </c>
      <c r="AN579" s="6" t="s">
        <v>91</v>
      </c>
      <c r="AO579" s="6" t="s">
        <v>92</v>
      </c>
      <c r="AQ579" s="6" t="s">
        <v>93</v>
      </c>
      <c r="AR579" s="6" t="s">
        <v>94</v>
      </c>
      <c r="AT579" s="6">
        <v>6190</v>
      </c>
      <c r="AU579" s="6" t="s">
        <v>96</v>
      </c>
      <c r="AV579" s="6">
        <v>61.9</v>
      </c>
      <c r="AW579" s="6" t="s">
        <v>96</v>
      </c>
      <c r="AY579" s="6" t="s">
        <v>13114</v>
      </c>
      <c r="BD579" s="6" t="s">
        <v>13115</v>
      </c>
      <c r="BE579" s="6" t="str">
        <f t="shared" ref="BE579:BE591" si="18">LEFT(
  SUBSTITUTE(SUBSTITUTE(SUBSTITUTE(BD579,"https://",""),"http://",""),"www.",""),
  IFERROR(
    FIND("/",SUBSTITUTE(SUBSTITUTE(SUBSTITUTE(BD579,"https://",""),"http://",""),"www.","")&amp;"/")-1,
    LEN(SUBSTITUTE(SUBSTITUTE(SUBSTITUTE(BD579,"https://",""),"http://",""),"www.",""))
  )
)</f>
        <v>yinda.co.th</v>
      </c>
      <c r="BF579" s="6" t="str">
        <f t="shared" ref="BF579:BF591" si="19">_xlfn.TEXTAFTER(BE579,".",-1)</f>
        <v>th</v>
      </c>
      <c r="BG579" s="6" t="s">
        <v>101</v>
      </c>
      <c r="BH579" s="6" t="s">
        <v>13116</v>
      </c>
      <c r="BI579" s="6" t="s">
        <v>13117</v>
      </c>
      <c r="BP579" s="6" t="s">
        <v>13118</v>
      </c>
      <c r="BQ579" s="6" t="s">
        <v>13119</v>
      </c>
      <c r="BR579" s="6" t="s">
        <v>105</v>
      </c>
    </row>
    <row r="580" spans="1:70" ht="45" customHeight="1" x14ac:dyDescent="0.25">
      <c r="A580" s="6">
        <v>580</v>
      </c>
      <c r="B580" s="7" t="s">
        <v>13120</v>
      </c>
      <c r="C580" s="8" t="s">
        <v>13121</v>
      </c>
      <c r="D580" s="6" t="s">
        <v>13122</v>
      </c>
      <c r="E580" s="8" t="s">
        <v>13123</v>
      </c>
      <c r="F580" s="8" t="s">
        <v>13123</v>
      </c>
      <c r="G580" s="6" t="s">
        <v>73</v>
      </c>
      <c r="H580" s="6" t="s">
        <v>74</v>
      </c>
      <c r="I580" s="6"/>
      <c r="J580" s="6" t="s">
        <v>5013</v>
      </c>
      <c r="K580" s="9">
        <v>2630</v>
      </c>
      <c r="L580" s="8" t="s">
        <v>13124</v>
      </c>
      <c r="M580" s="9">
        <v>33</v>
      </c>
      <c r="N580" s="6">
        <v>55.648038399999997</v>
      </c>
      <c r="O580" s="6">
        <v>12.270258699999999</v>
      </c>
      <c r="P580" s="6" t="s">
        <v>13125</v>
      </c>
      <c r="Q580" s="6">
        <v>1</v>
      </c>
      <c r="R580" s="6" t="s">
        <v>79</v>
      </c>
      <c r="T580" s="6"/>
      <c r="X580" s="6" t="s">
        <v>13126</v>
      </c>
      <c r="Y580" s="6" t="s">
        <v>9094</v>
      </c>
      <c r="Z580" s="6" t="s">
        <v>13127</v>
      </c>
      <c r="AC580" s="6">
        <v>561311</v>
      </c>
      <c r="AD580" s="10" t="str">
        <f>_xlfn.XLOOKUP(AC580,[1]Mapping!B:B,[1]Mapping!C:C,"")</f>
        <v xml:space="preserve">Employment Placement Agencies </v>
      </c>
      <c r="AG580" s="6" t="s">
        <v>396</v>
      </c>
      <c r="AH580" s="6" t="s">
        <v>397</v>
      </c>
      <c r="AI580" s="6" t="s">
        <v>141</v>
      </c>
      <c r="AQ580" s="6" t="s">
        <v>398</v>
      </c>
      <c r="AR580" s="6" t="s">
        <v>399</v>
      </c>
      <c r="AT580" s="6">
        <v>7810</v>
      </c>
      <c r="AU580" s="6" t="s">
        <v>401</v>
      </c>
      <c r="AV580" s="6">
        <v>78.099999999999994</v>
      </c>
      <c r="AW580" s="6" t="s">
        <v>401</v>
      </c>
      <c r="AY580" s="6" t="s">
        <v>13128</v>
      </c>
      <c r="BD580" s="6" t="s">
        <v>13129</v>
      </c>
      <c r="BE580" s="6" t="str">
        <f t="shared" si="18"/>
        <v>zalaris.dk</v>
      </c>
      <c r="BF580" s="6" t="str">
        <f t="shared" si="19"/>
        <v>dk</v>
      </c>
      <c r="BG580" s="6" t="s">
        <v>123</v>
      </c>
      <c r="BH580" s="6" t="s">
        <v>13130</v>
      </c>
      <c r="BJ580" s="6" t="s">
        <v>13131</v>
      </c>
      <c r="BK580" s="6" t="s">
        <v>13132</v>
      </c>
      <c r="BN580" s="6" t="s">
        <v>13133</v>
      </c>
      <c r="BQ580" s="6" t="s">
        <v>13134</v>
      </c>
      <c r="BR580" s="6" t="s">
        <v>105</v>
      </c>
    </row>
    <row r="581" spans="1:70" ht="45" customHeight="1" x14ac:dyDescent="0.25">
      <c r="A581" s="6">
        <v>581</v>
      </c>
      <c r="B581" s="7" t="s">
        <v>13135</v>
      </c>
      <c r="C581" s="8" t="s">
        <v>13136</v>
      </c>
      <c r="D581" s="6" t="s">
        <v>13135</v>
      </c>
      <c r="E581" s="8" t="s">
        <v>13137</v>
      </c>
      <c r="F581" s="8" t="s">
        <v>13137</v>
      </c>
      <c r="G581" s="6" t="s">
        <v>243</v>
      </c>
      <c r="H581" s="6" t="s">
        <v>244</v>
      </c>
      <c r="I581" s="6" t="s">
        <v>245</v>
      </c>
      <c r="J581" s="6" t="s">
        <v>246</v>
      </c>
      <c r="K581" s="9">
        <v>240</v>
      </c>
      <c r="L581" s="8" t="s">
        <v>13138</v>
      </c>
      <c r="M581" s="9" t="s">
        <v>13139</v>
      </c>
      <c r="N581" s="6">
        <v>60.197204300000003</v>
      </c>
      <c r="O581" s="6">
        <v>24.9281972</v>
      </c>
      <c r="P581" s="6" t="s">
        <v>13140</v>
      </c>
      <c r="Q581" s="6">
        <v>2</v>
      </c>
      <c r="R581" s="6" t="s">
        <v>79</v>
      </c>
      <c r="S581" s="6">
        <v>2018</v>
      </c>
      <c r="T581" s="6">
        <v>1344638</v>
      </c>
      <c r="U581" s="6" t="s">
        <v>80</v>
      </c>
      <c r="V581" s="6">
        <v>3</v>
      </c>
      <c r="W581" s="6" t="s">
        <v>167</v>
      </c>
      <c r="X581" s="6" t="s">
        <v>13126</v>
      </c>
      <c r="Y581" s="6" t="s">
        <v>13141</v>
      </c>
      <c r="Z581" s="6" t="s">
        <v>13142</v>
      </c>
      <c r="AA581" s="6" t="s">
        <v>13143</v>
      </c>
      <c r="AB581" s="6" t="s">
        <v>13144</v>
      </c>
      <c r="AC581" s="6">
        <v>512230</v>
      </c>
      <c r="AD581" s="10" t="str">
        <f>_xlfn.XLOOKUP(AC581,[1]Mapping!B:B,[1]Mapping!C:C,"")</f>
        <v>Music Publishers</v>
      </c>
      <c r="AG581" s="6" t="s">
        <v>1922</v>
      </c>
      <c r="AH581" s="6" t="s">
        <v>1922</v>
      </c>
      <c r="AI581" s="6" t="s">
        <v>1412</v>
      </c>
      <c r="AJ581" s="6" t="s">
        <v>1413</v>
      </c>
      <c r="AK581" s="6" t="s">
        <v>1414</v>
      </c>
      <c r="AL581" s="6" t="s">
        <v>502</v>
      </c>
      <c r="AM581" s="6" t="s">
        <v>503</v>
      </c>
      <c r="AN581" s="6" t="s">
        <v>297</v>
      </c>
      <c r="AO581" s="6" t="s">
        <v>298</v>
      </c>
      <c r="AQ581" s="6" t="s">
        <v>7081</v>
      </c>
      <c r="AR581" s="6" t="s">
        <v>7082</v>
      </c>
      <c r="AS581" s="6" t="s">
        <v>13145</v>
      </c>
      <c r="AT581" s="6">
        <v>5920</v>
      </c>
      <c r="AU581" s="6" t="s">
        <v>1924</v>
      </c>
      <c r="AV581" s="6">
        <v>59.2</v>
      </c>
      <c r="AW581" s="6" t="s">
        <v>1924</v>
      </c>
      <c r="AX581" s="6" t="s">
        <v>13146</v>
      </c>
      <c r="AY581" s="6" t="s">
        <v>13147</v>
      </c>
      <c r="BD581" s="6" t="s">
        <v>13148</v>
      </c>
      <c r="BE581" s="6" t="str">
        <f t="shared" si="18"/>
        <v>zalaris.fi</v>
      </c>
      <c r="BF581" s="6" t="str">
        <f t="shared" si="19"/>
        <v>fi</v>
      </c>
      <c r="BG581" s="6" t="s">
        <v>101</v>
      </c>
      <c r="BH581" s="6" t="s">
        <v>13130</v>
      </c>
      <c r="BJ581" s="6" t="s">
        <v>13131</v>
      </c>
      <c r="BK581" s="6" t="s">
        <v>13132</v>
      </c>
      <c r="BN581" s="6" t="s">
        <v>13133</v>
      </c>
      <c r="BP581" s="6" t="s">
        <v>13149</v>
      </c>
      <c r="BQ581" s="6" t="s">
        <v>13150</v>
      </c>
      <c r="BR581" s="6" t="s">
        <v>105</v>
      </c>
    </row>
    <row r="582" spans="1:70" ht="45" customHeight="1" x14ac:dyDescent="0.25">
      <c r="A582" s="6">
        <v>582</v>
      </c>
      <c r="B582" s="7" t="s">
        <v>13151</v>
      </c>
      <c r="C582" s="8" t="s">
        <v>13152</v>
      </c>
      <c r="D582" s="6" t="s">
        <v>13153</v>
      </c>
      <c r="E582" s="8" t="s">
        <v>13151</v>
      </c>
      <c r="F582" s="8" t="s">
        <v>13154</v>
      </c>
      <c r="G582" s="6" t="s">
        <v>130</v>
      </c>
      <c r="H582" s="6" t="s">
        <v>131</v>
      </c>
      <c r="I582" s="8" t="s">
        <v>12891</v>
      </c>
      <c r="J582" s="6" t="s">
        <v>13155</v>
      </c>
      <c r="K582" s="9">
        <v>8410</v>
      </c>
      <c r="L582" s="8" t="s">
        <v>13156</v>
      </c>
      <c r="M582" s="9">
        <v>1</v>
      </c>
      <c r="N582" s="6">
        <v>68.410316499999993</v>
      </c>
      <c r="O582" s="6">
        <v>15.988970800000001</v>
      </c>
      <c r="P582" s="6" t="s">
        <v>13157</v>
      </c>
      <c r="Q582" s="6">
        <v>1</v>
      </c>
      <c r="R582" s="6" t="s">
        <v>79</v>
      </c>
      <c r="T582" s="6"/>
      <c r="X582" s="6" t="s">
        <v>13126</v>
      </c>
      <c r="Y582" s="6" t="s">
        <v>13158</v>
      </c>
      <c r="Z582" s="6" t="s">
        <v>13159</v>
      </c>
      <c r="AA582" s="6" t="s">
        <v>13160</v>
      </c>
      <c r="AC582" s="6">
        <v>112511</v>
      </c>
      <c r="AD582" s="10" t="str">
        <f>_xlfn.XLOOKUP(AC582,[1]Mapping!B:B,[1]Mapping!C:C,"")</f>
        <v xml:space="preserve">Finfish Farming and Fish Hatcheries </v>
      </c>
      <c r="AG582" s="6" t="s">
        <v>13161</v>
      </c>
      <c r="AH582" s="6" t="s">
        <v>13162</v>
      </c>
      <c r="AI582" s="6" t="s">
        <v>10716</v>
      </c>
      <c r="AJ582" s="6" t="s">
        <v>1023</v>
      </c>
      <c r="AK582" s="6" t="s">
        <v>1024</v>
      </c>
      <c r="AL582" s="6" t="s">
        <v>1025</v>
      </c>
      <c r="AM582" s="6" t="s">
        <v>1026</v>
      </c>
      <c r="AN582" s="6" t="s">
        <v>1027</v>
      </c>
      <c r="AO582" s="6" t="s">
        <v>1028</v>
      </c>
      <c r="AQ582" s="6" t="s">
        <v>13163</v>
      </c>
      <c r="AR582" s="6" t="s">
        <v>13164</v>
      </c>
      <c r="AT582" s="6" t="s">
        <v>13165</v>
      </c>
      <c r="AU582" s="6" t="s">
        <v>13166</v>
      </c>
      <c r="AV582" s="6" t="s">
        <v>13167</v>
      </c>
      <c r="AW582" s="6" t="s">
        <v>13168</v>
      </c>
      <c r="AY582" s="6" t="s">
        <v>13169</v>
      </c>
      <c r="AZ582" s="6" t="s">
        <v>13170</v>
      </c>
      <c r="BA582" s="6" t="s">
        <v>13171</v>
      </c>
      <c r="BD582" s="6" t="s">
        <v>13172</v>
      </c>
      <c r="BE582" s="6" t="str">
        <f t="shared" si="18"/>
        <v>zalaris.com</v>
      </c>
      <c r="BF582" s="6" t="str">
        <f t="shared" si="19"/>
        <v>com</v>
      </c>
      <c r="BG582" s="6" t="s">
        <v>150</v>
      </c>
      <c r="BH582" s="6" t="s">
        <v>13130</v>
      </c>
      <c r="BJ582" s="6" t="s">
        <v>13131</v>
      </c>
      <c r="BK582" s="6" t="s">
        <v>13132</v>
      </c>
      <c r="BN582" s="6" t="s">
        <v>13133</v>
      </c>
      <c r="BQ582" s="6" t="s">
        <v>13173</v>
      </c>
      <c r="BR582" s="6" t="s">
        <v>105</v>
      </c>
    </row>
    <row r="583" spans="1:70" ht="45" customHeight="1" x14ac:dyDescent="0.25">
      <c r="A583" s="6">
        <v>583</v>
      </c>
      <c r="B583" s="7" t="s">
        <v>1059</v>
      </c>
      <c r="C583" s="8" t="s">
        <v>13174</v>
      </c>
      <c r="D583" s="6" t="s">
        <v>1059</v>
      </c>
      <c r="E583" s="8" t="s">
        <v>1059</v>
      </c>
      <c r="F583" s="8" t="s">
        <v>1059</v>
      </c>
      <c r="G583" s="6" t="s">
        <v>160</v>
      </c>
      <c r="H583" s="6" t="s">
        <v>161</v>
      </c>
      <c r="I583" s="6" t="s">
        <v>281</v>
      </c>
      <c r="J583" s="6" t="s">
        <v>1350</v>
      </c>
      <c r="K583" s="9" t="s">
        <v>13175</v>
      </c>
      <c r="L583" s="8" t="s">
        <v>13176</v>
      </c>
      <c r="M583" s="9">
        <v>3</v>
      </c>
      <c r="N583" s="6">
        <v>59.355838899999988</v>
      </c>
      <c r="O583" s="6">
        <v>17.971673299999999</v>
      </c>
      <c r="P583" s="6" t="s">
        <v>13177</v>
      </c>
      <c r="Q583" s="6">
        <v>3</v>
      </c>
      <c r="R583" s="6" t="s">
        <v>79</v>
      </c>
      <c r="S583" s="6">
        <v>2000</v>
      </c>
      <c r="T583" s="12">
        <v>1300000000</v>
      </c>
      <c r="V583" s="6">
        <v>1100</v>
      </c>
      <c r="X583" s="6" t="s">
        <v>13126</v>
      </c>
      <c r="Y583" s="6" t="s">
        <v>13178</v>
      </c>
      <c r="AC583" s="10">
        <f>_xlfn.XLOOKUP(AH583,[1]Mapping!C:C,[1]Mapping!B:B,"",1)</f>
        <v>541612</v>
      </c>
      <c r="AD583" s="10" t="s">
        <v>9094</v>
      </c>
      <c r="AE583" s="6">
        <v>541611</v>
      </c>
      <c r="AF583" s="6" t="s">
        <v>6277</v>
      </c>
      <c r="AG583" s="6" t="s">
        <v>7287</v>
      </c>
      <c r="AH583" s="6" t="s">
        <v>13179</v>
      </c>
      <c r="AI583" s="6" t="s">
        <v>297</v>
      </c>
      <c r="AJ583" s="6" t="s">
        <v>8590</v>
      </c>
      <c r="AK583" s="6">
        <v>8742</v>
      </c>
      <c r="AL583" s="6" t="s">
        <v>9099</v>
      </c>
      <c r="AM583" s="6">
        <v>8700</v>
      </c>
      <c r="AN583" s="6" t="s">
        <v>297</v>
      </c>
      <c r="AO583" s="6">
        <v>7000</v>
      </c>
      <c r="AQ583" s="6">
        <v>7361</v>
      </c>
      <c r="AR583" s="6" t="s">
        <v>3042</v>
      </c>
      <c r="AT583" s="6">
        <v>7020</v>
      </c>
      <c r="AU583" s="6" t="s">
        <v>378</v>
      </c>
      <c r="AV583" s="6">
        <v>70.22</v>
      </c>
      <c r="AW583" s="6" t="s">
        <v>13180</v>
      </c>
      <c r="AX583" s="6">
        <v>7000</v>
      </c>
      <c r="AY583" s="6" t="s">
        <v>13181</v>
      </c>
      <c r="AZ583" s="6" t="s">
        <v>13182</v>
      </c>
      <c r="BD583" s="6" t="s">
        <v>13172</v>
      </c>
      <c r="BE583" s="6" t="str">
        <f t="shared" si="18"/>
        <v>zalaris.com</v>
      </c>
      <c r="BF583" s="6" t="str">
        <f t="shared" si="19"/>
        <v>com</v>
      </c>
      <c r="BG583" s="6" t="s">
        <v>101</v>
      </c>
      <c r="BH583" s="6" t="s">
        <v>13130</v>
      </c>
      <c r="BJ583" s="6" t="s">
        <v>13131</v>
      </c>
      <c r="BK583" s="6" t="s">
        <v>13132</v>
      </c>
      <c r="BN583" s="6" t="s">
        <v>13133</v>
      </c>
      <c r="BQ583" s="6" t="s">
        <v>13183</v>
      </c>
      <c r="BR583" s="6" t="s">
        <v>105</v>
      </c>
    </row>
    <row r="584" spans="1:70" ht="45" customHeight="1" x14ac:dyDescent="0.25">
      <c r="A584" s="6">
        <v>584</v>
      </c>
      <c r="B584" s="7" t="s">
        <v>13184</v>
      </c>
      <c r="C584" s="8" t="s">
        <v>13185</v>
      </c>
      <c r="D584" s="6" t="s">
        <v>13186</v>
      </c>
      <c r="E584" s="6" t="s">
        <v>13187</v>
      </c>
      <c r="F584" s="8" t="s">
        <v>13188</v>
      </c>
      <c r="G584" s="6" t="s">
        <v>73</v>
      </c>
      <c r="H584" s="6" t="s">
        <v>74</v>
      </c>
      <c r="I584" s="6"/>
      <c r="J584" s="6" t="s">
        <v>13189</v>
      </c>
      <c r="K584" s="9">
        <v>3650</v>
      </c>
      <c r="L584" s="8" t="s">
        <v>13190</v>
      </c>
      <c r="M584" s="9">
        <v>30</v>
      </c>
      <c r="N584" s="6">
        <v>55.769915300000008</v>
      </c>
      <c r="O584" s="6">
        <v>12.1358947</v>
      </c>
      <c r="P584" s="6" t="s">
        <v>13191</v>
      </c>
      <c r="Q584" s="6">
        <v>2</v>
      </c>
      <c r="R584" s="6" t="s">
        <v>79</v>
      </c>
      <c r="S584" s="6">
        <v>2010</v>
      </c>
      <c r="T584" s="6">
        <v>1188129</v>
      </c>
      <c r="U584" s="6" t="s">
        <v>80</v>
      </c>
      <c r="V584" s="6">
        <v>5</v>
      </c>
      <c r="W584" s="6" t="s">
        <v>167</v>
      </c>
      <c r="X584" s="6" t="s">
        <v>13192</v>
      </c>
      <c r="Y584" s="6" t="s">
        <v>13193</v>
      </c>
      <c r="Z584" s="6" t="s">
        <v>13194</v>
      </c>
      <c r="AA584" s="6" t="s">
        <v>13195</v>
      </c>
      <c r="AB584" s="6" t="s">
        <v>13196</v>
      </c>
      <c r="AC584" s="6">
        <v>518210</v>
      </c>
      <c r="AD584" s="10" t="str">
        <f>_xlfn.XLOOKUP(AC584,[1]Mapping!B:B,[1]Mapping!C:C,"")</f>
        <v>Computing Infrastructure Providers, Data Processing, Web Hosting, and Related Services</v>
      </c>
      <c r="AG584" s="6" t="s">
        <v>173</v>
      </c>
      <c r="AH584" s="6" t="s">
        <v>86</v>
      </c>
      <c r="AI584" s="6" t="s">
        <v>87</v>
      </c>
      <c r="AJ584" s="6" t="s">
        <v>174</v>
      </c>
      <c r="AK584" s="6" t="s">
        <v>175</v>
      </c>
      <c r="AL584" s="6" t="s">
        <v>176</v>
      </c>
      <c r="AM584" s="6" t="s">
        <v>177</v>
      </c>
      <c r="AN584" s="6" t="s">
        <v>91</v>
      </c>
      <c r="AO584" s="6" t="s">
        <v>92</v>
      </c>
      <c r="AQ584" s="6" t="s">
        <v>178</v>
      </c>
      <c r="AR584" s="6" t="s">
        <v>179</v>
      </c>
      <c r="AT584" s="6" t="s">
        <v>181</v>
      </c>
      <c r="AU584" s="6" t="s">
        <v>182</v>
      </c>
      <c r="AV584" s="6" t="s">
        <v>183</v>
      </c>
      <c r="AW584" s="6" t="s">
        <v>184</v>
      </c>
      <c r="AY584" s="6" t="s">
        <v>13197</v>
      </c>
      <c r="AZ584" s="6" t="s">
        <v>13198</v>
      </c>
      <c r="BA584" s="6" t="s">
        <v>13199</v>
      </c>
      <c r="BB584" s="6" t="s">
        <v>13200</v>
      </c>
      <c r="BC584" s="6" t="s">
        <v>13199</v>
      </c>
      <c r="BD584" s="6" t="s">
        <v>13201</v>
      </c>
      <c r="BE584" s="6" t="str">
        <f t="shared" si="18"/>
        <v>zendata.dk</v>
      </c>
      <c r="BF584" s="6" t="str">
        <f t="shared" si="19"/>
        <v>dk</v>
      </c>
      <c r="BG584" s="6" t="s">
        <v>123</v>
      </c>
      <c r="BK584" s="6" t="s">
        <v>13202</v>
      </c>
      <c r="BP584" s="6" t="s">
        <v>13203</v>
      </c>
      <c r="BQ584" s="6" t="s">
        <v>13204</v>
      </c>
      <c r="BR584" s="6" t="s">
        <v>105</v>
      </c>
    </row>
    <row r="585" spans="1:70" ht="45" customHeight="1" x14ac:dyDescent="0.25">
      <c r="A585" s="6">
        <v>585</v>
      </c>
      <c r="B585" s="7" t="s">
        <v>13205</v>
      </c>
      <c r="C585" s="8" t="s">
        <v>13206</v>
      </c>
      <c r="D585" s="6" t="s">
        <v>13207</v>
      </c>
      <c r="E585" s="6" t="s">
        <v>13208</v>
      </c>
      <c r="F585" s="8" t="s">
        <v>13209</v>
      </c>
      <c r="G585" s="6" t="s">
        <v>1400</v>
      </c>
      <c r="H585" s="6" t="s">
        <v>1401</v>
      </c>
      <c r="I585" s="6" t="s">
        <v>3964</v>
      </c>
      <c r="J585" s="6" t="s">
        <v>3965</v>
      </c>
      <c r="L585" s="8" t="s">
        <v>13210</v>
      </c>
      <c r="M585" s="9">
        <v>12</v>
      </c>
      <c r="N585" s="6">
        <v>33.6852254</v>
      </c>
      <c r="O585" s="6">
        <v>72.987378499999991</v>
      </c>
      <c r="P585" s="6" t="s">
        <v>13211</v>
      </c>
      <c r="Q585" s="6">
        <v>1</v>
      </c>
      <c r="R585" s="6" t="s">
        <v>79</v>
      </c>
      <c r="S585" s="6">
        <v>2007</v>
      </c>
      <c r="T585" s="6"/>
      <c r="X585" s="6" t="s">
        <v>13212</v>
      </c>
      <c r="Y585" s="6" t="s">
        <v>13213</v>
      </c>
      <c r="Z585" s="6" t="s">
        <v>13214</v>
      </c>
      <c r="AA585" s="6" t="s">
        <v>13215</v>
      </c>
      <c r="AC585" s="6">
        <v>493110</v>
      </c>
      <c r="AD585" s="10" t="str">
        <f>_xlfn.XLOOKUP(AC585,[1]Mapping!B:B,[1]Mapping!C:C,"")</f>
        <v xml:space="preserve">General Warehousing and Storage </v>
      </c>
      <c r="AG585" s="6" t="s">
        <v>13216</v>
      </c>
      <c r="AH585" s="6" t="s">
        <v>9329</v>
      </c>
      <c r="AI585" s="6" t="s">
        <v>4567</v>
      </c>
      <c r="AJ585" s="6" t="s">
        <v>6933</v>
      </c>
      <c r="AK585" s="6" t="s">
        <v>6934</v>
      </c>
      <c r="AL585" s="6" t="s">
        <v>2136</v>
      </c>
      <c r="AM585" s="6" t="s">
        <v>2137</v>
      </c>
      <c r="AN585" s="6" t="s">
        <v>2138</v>
      </c>
      <c r="AO585" s="6" t="s">
        <v>2139</v>
      </c>
      <c r="AQ585" s="6" t="s">
        <v>13217</v>
      </c>
      <c r="AR585" s="6" t="s">
        <v>13218</v>
      </c>
      <c r="AS585" s="6" t="s">
        <v>13219</v>
      </c>
      <c r="AT585" s="6">
        <v>5210</v>
      </c>
      <c r="AU585" s="6" t="s">
        <v>13220</v>
      </c>
      <c r="AV585" s="6">
        <v>52.1</v>
      </c>
      <c r="AW585" s="6" t="s">
        <v>13220</v>
      </c>
      <c r="AX585" s="6" t="s">
        <v>13221</v>
      </c>
      <c r="AY585" s="6" t="s">
        <v>13222</v>
      </c>
      <c r="BD585" s="6" t="s">
        <v>13223</v>
      </c>
      <c r="BE585" s="6" t="str">
        <f t="shared" si="18"/>
        <v>zte.com.cn</v>
      </c>
      <c r="BF585" s="6" t="str">
        <f t="shared" si="19"/>
        <v>cn</v>
      </c>
      <c r="BG585" s="6" t="s">
        <v>101</v>
      </c>
      <c r="BQ585" s="6" t="s">
        <v>13224</v>
      </c>
      <c r="BR585" s="6" t="s">
        <v>105</v>
      </c>
    </row>
    <row r="586" spans="1:70" ht="45" customHeight="1" x14ac:dyDescent="0.25">
      <c r="A586" s="6">
        <v>586</v>
      </c>
      <c r="B586" s="7" t="s">
        <v>13225</v>
      </c>
      <c r="C586" s="8" t="s">
        <v>13226</v>
      </c>
      <c r="D586" s="6" t="s">
        <v>13227</v>
      </c>
      <c r="E586" s="6" t="s">
        <v>13227</v>
      </c>
      <c r="F586" s="8" t="s">
        <v>13228</v>
      </c>
      <c r="G586" s="6" t="e">
        <f>#REF!</f>
        <v>#REF!</v>
      </c>
      <c r="H586" s="6" t="e">
        <f>#REF!</f>
        <v>#REF!</v>
      </c>
      <c r="I586" s="6" t="e">
        <f>#REF!</f>
        <v>#REF!</v>
      </c>
      <c r="J586" s="6" t="e">
        <f>#REF!</f>
        <v>#REF!</v>
      </c>
      <c r="K586" s="9" t="e">
        <f>#REF!</f>
        <v>#REF!</v>
      </c>
      <c r="L586" s="8" t="s">
        <v>7727</v>
      </c>
      <c r="P586" s="6" t="s">
        <v>13229</v>
      </c>
      <c r="Q586" s="6">
        <v>17</v>
      </c>
      <c r="R586" s="6" t="s">
        <v>906</v>
      </c>
      <c r="S586" s="6">
        <v>1927</v>
      </c>
      <c r="T586" s="6">
        <v>1400000000</v>
      </c>
      <c r="U586" s="6" t="s">
        <v>167</v>
      </c>
      <c r="V586" s="6">
        <v>3800</v>
      </c>
      <c r="W586" s="6" t="s">
        <v>167</v>
      </c>
      <c r="X586" s="6" t="s">
        <v>13230</v>
      </c>
      <c r="Y586" s="6" t="s">
        <v>13231</v>
      </c>
      <c r="Z586" s="6" t="s">
        <v>13232</v>
      </c>
      <c r="AA586" s="6" t="s">
        <v>13233</v>
      </c>
      <c r="AB586" s="6" t="s">
        <v>13234</v>
      </c>
      <c r="AC586" s="6">
        <v>541810</v>
      </c>
      <c r="AD586" s="10" t="str">
        <f>_xlfn.XLOOKUP(AC586,[1]Mapping!B:B,[1]Mapping!C:C,"")</f>
        <v>Advertising Agencies</v>
      </c>
      <c r="AE586" s="6">
        <v>541613</v>
      </c>
      <c r="AF586" s="6" t="s">
        <v>496</v>
      </c>
      <c r="AG586" s="6" t="s">
        <v>85</v>
      </c>
      <c r="AH586" s="6" t="s">
        <v>86</v>
      </c>
      <c r="AI586" s="6" t="s">
        <v>87</v>
      </c>
      <c r="AJ586" s="6" t="s">
        <v>174</v>
      </c>
      <c r="AK586" s="6" t="s">
        <v>175</v>
      </c>
      <c r="AL586" s="6" t="s">
        <v>176</v>
      </c>
      <c r="AM586" s="6" t="s">
        <v>177</v>
      </c>
      <c r="AN586" s="6" t="s">
        <v>91</v>
      </c>
      <c r="AO586" s="6" t="s">
        <v>92</v>
      </c>
      <c r="AQ586" s="6">
        <v>7311</v>
      </c>
      <c r="AR586" s="6" t="s">
        <v>1121</v>
      </c>
      <c r="AS586" s="6" t="s">
        <v>13235</v>
      </c>
      <c r="AT586" s="6">
        <v>7310</v>
      </c>
      <c r="AU586" s="6" t="s">
        <v>1123</v>
      </c>
      <c r="AV586" s="6" t="s">
        <v>1144</v>
      </c>
      <c r="AW586" s="6" t="s">
        <v>1145</v>
      </c>
      <c r="AX586" s="6" t="s">
        <v>13236</v>
      </c>
      <c r="AY586" s="6">
        <v>12125033500</v>
      </c>
      <c r="AZ586" s="6">
        <v>12125033500</v>
      </c>
      <c r="BA586" s="6" t="s">
        <v>13237</v>
      </c>
      <c r="BD586" s="6" t="s">
        <v>13238</v>
      </c>
      <c r="BE586" s="6" t="str">
        <f t="shared" si="18"/>
        <v>ziffdavis.com</v>
      </c>
      <c r="BF586" s="6" t="str">
        <f t="shared" si="19"/>
        <v>com</v>
      </c>
      <c r="BG586" s="6" t="s">
        <v>101</v>
      </c>
      <c r="BH586" s="6" t="s">
        <v>13239</v>
      </c>
      <c r="BI586" s="6" t="s">
        <v>13240</v>
      </c>
      <c r="BK586" s="6" t="s">
        <v>13241</v>
      </c>
      <c r="BP586" s="6" t="s">
        <v>13242</v>
      </c>
      <c r="BQ586" s="6" t="s">
        <v>13243</v>
      </c>
      <c r="BR586" s="6" t="s">
        <v>105</v>
      </c>
    </row>
    <row r="587" spans="1:70" ht="45" customHeight="1" x14ac:dyDescent="0.25">
      <c r="A587" s="6">
        <v>587</v>
      </c>
      <c r="B587" s="7" t="s">
        <v>13244</v>
      </c>
      <c r="C587" s="8" t="s">
        <v>13245</v>
      </c>
      <c r="D587" s="6" t="s">
        <v>13246</v>
      </c>
      <c r="E587" s="6" t="s">
        <v>13247</v>
      </c>
      <c r="F587" s="8" t="s">
        <v>13248</v>
      </c>
      <c r="G587" s="6" t="s">
        <v>612</v>
      </c>
      <c r="H587" s="6" t="s">
        <v>613</v>
      </c>
      <c r="I587" s="6" t="s">
        <v>1305</v>
      </c>
      <c r="J587" s="6" t="s">
        <v>752</v>
      </c>
      <c r="K587" s="9">
        <v>50400</v>
      </c>
      <c r="L587" s="8" t="s">
        <v>5831</v>
      </c>
      <c r="M587" s="9">
        <v>199</v>
      </c>
      <c r="N587" s="6">
        <v>3.1591152999999998</v>
      </c>
      <c r="O587" s="6">
        <v>101.719729</v>
      </c>
      <c r="P587" s="6" t="s">
        <v>13249</v>
      </c>
      <c r="Q587" s="6">
        <v>3</v>
      </c>
      <c r="R587" s="6" t="s">
        <v>79</v>
      </c>
      <c r="S587" s="6">
        <v>2004</v>
      </c>
      <c r="T587" s="6">
        <v>10222672</v>
      </c>
      <c r="U587" s="6" t="s">
        <v>80</v>
      </c>
      <c r="V587" s="6">
        <v>150</v>
      </c>
      <c r="W587" s="6" t="s">
        <v>80</v>
      </c>
      <c r="X587" s="6" t="s">
        <v>13250</v>
      </c>
      <c r="Y587" s="6" t="s">
        <v>13251</v>
      </c>
      <c r="Z587" s="6" t="s">
        <v>13252</v>
      </c>
      <c r="AA587" s="6" t="s">
        <v>13253</v>
      </c>
      <c r="AB587" s="6" t="s">
        <v>13254</v>
      </c>
      <c r="AC587" s="6">
        <v>517112</v>
      </c>
      <c r="AD587" s="10" t="str">
        <f>_xlfn.XLOOKUP(AC587,[1]Mapping!B:B,[1]Mapping!C:C,"")</f>
        <v>Wireless Telecommunications Carriers (except Satellite)</v>
      </c>
      <c r="AG587" s="6" t="s">
        <v>89</v>
      </c>
      <c r="AH587" s="6" t="s">
        <v>86</v>
      </c>
      <c r="AI587" s="6" t="s">
        <v>87</v>
      </c>
      <c r="AJ587" s="6" t="s">
        <v>86</v>
      </c>
      <c r="AK587" s="6" t="s">
        <v>88</v>
      </c>
      <c r="AL587" s="6" t="s">
        <v>89</v>
      </c>
      <c r="AM587" s="6" t="s">
        <v>90</v>
      </c>
      <c r="AN587" s="6" t="s">
        <v>91</v>
      </c>
      <c r="AO587" s="6" t="s">
        <v>92</v>
      </c>
      <c r="AQ587" s="6" t="s">
        <v>1697</v>
      </c>
      <c r="AR587" s="6" t="s">
        <v>1698</v>
      </c>
      <c r="AT587" s="6">
        <v>6120</v>
      </c>
      <c r="AU587" s="6" t="s">
        <v>1699</v>
      </c>
      <c r="AV587" s="6">
        <v>61.2</v>
      </c>
      <c r="AW587" s="6" t="s">
        <v>1699</v>
      </c>
      <c r="AY587" s="6" t="s">
        <v>13255</v>
      </c>
      <c r="AZ587" s="6" t="s">
        <v>13256</v>
      </c>
      <c r="BA587" s="6" t="s">
        <v>13257</v>
      </c>
      <c r="BD587" s="6" t="s">
        <v>13258</v>
      </c>
      <c r="BE587" s="6" t="str">
        <f t="shared" si="18"/>
        <v>ztedevices.com.my</v>
      </c>
      <c r="BF587" s="6" t="str">
        <f t="shared" si="19"/>
        <v>my</v>
      </c>
      <c r="BG587" s="6" t="s">
        <v>101</v>
      </c>
      <c r="BH587" s="6" t="s">
        <v>13259</v>
      </c>
      <c r="BJ587" s="6" t="s">
        <v>13260</v>
      </c>
      <c r="BN587" s="6" t="s">
        <v>13261</v>
      </c>
      <c r="BP587" s="6" t="s">
        <v>13262</v>
      </c>
      <c r="BQ587" s="6" t="s">
        <v>13263</v>
      </c>
      <c r="BR587" s="6" t="s">
        <v>105</v>
      </c>
    </row>
    <row r="588" spans="1:70" ht="45" customHeight="1" x14ac:dyDescent="0.25">
      <c r="A588" s="6">
        <v>588</v>
      </c>
      <c r="B588" s="7" t="s">
        <v>13264</v>
      </c>
      <c r="C588" s="8" t="s">
        <v>13265</v>
      </c>
      <c r="D588" s="6" t="s">
        <v>13266</v>
      </c>
      <c r="E588" s="8" t="s">
        <v>13267</v>
      </c>
      <c r="F588" s="8" t="s">
        <v>13267</v>
      </c>
      <c r="G588" s="6" t="s">
        <v>1324</v>
      </c>
      <c r="H588" s="6" t="s">
        <v>1325</v>
      </c>
      <c r="I588" s="6" t="s">
        <v>1326</v>
      </c>
      <c r="J588" s="6" t="s">
        <v>1327</v>
      </c>
      <c r="K588" s="9">
        <v>10120</v>
      </c>
      <c r="L588" s="8" t="s">
        <v>3333</v>
      </c>
      <c r="N588" s="6">
        <v>13.7205344</v>
      </c>
      <c r="O588" s="6">
        <v>100.5302284</v>
      </c>
      <c r="P588" s="6" t="s">
        <v>13268</v>
      </c>
      <c r="Q588" s="6">
        <v>2</v>
      </c>
      <c r="R588" s="6" t="s">
        <v>79</v>
      </c>
      <c r="T588" s="6"/>
      <c r="X588" s="6" t="s">
        <v>13269</v>
      </c>
      <c r="Y588" s="6" t="s">
        <v>13270</v>
      </c>
      <c r="Z588" s="6" t="s">
        <v>13271</v>
      </c>
      <c r="AC588" s="6">
        <v>517810</v>
      </c>
      <c r="AD588" s="10" t="str">
        <f>_xlfn.XLOOKUP(AC588,[1]Mapping!B:B,[1]Mapping!C:C,"")</f>
        <v xml:space="preserve">All Other Telecommunications </v>
      </c>
      <c r="AG588" s="6" t="s">
        <v>89</v>
      </c>
      <c r="AH588" s="6" t="s">
        <v>86</v>
      </c>
      <c r="AI588" s="6" t="s">
        <v>87</v>
      </c>
      <c r="AQ588" s="6" t="s">
        <v>1384</v>
      </c>
      <c r="AR588" s="6" t="s">
        <v>1385</v>
      </c>
      <c r="AT588" s="6">
        <v>6190</v>
      </c>
      <c r="AU588" s="6" t="s">
        <v>96</v>
      </c>
      <c r="AV588" s="6">
        <v>61.9</v>
      </c>
      <c r="AW588" s="6" t="s">
        <v>96</v>
      </c>
      <c r="AY588" s="6" t="s">
        <v>13272</v>
      </c>
      <c r="AZ588" s="6">
        <v>6626704071</v>
      </c>
      <c r="BD588" s="6" t="s">
        <v>13273</v>
      </c>
      <c r="BE588" s="6" t="str">
        <f t="shared" si="18"/>
        <v>zte.com.cn</v>
      </c>
      <c r="BF588" s="6" t="str">
        <f t="shared" si="19"/>
        <v>cn</v>
      </c>
      <c r="BG588" s="6" t="s">
        <v>744</v>
      </c>
      <c r="BQ588" s="6" t="s">
        <v>13274</v>
      </c>
      <c r="BR588" s="6" t="s">
        <v>105</v>
      </c>
    </row>
    <row r="589" spans="1:70" ht="45" customHeight="1" x14ac:dyDescent="0.25">
      <c r="A589" s="6">
        <v>589</v>
      </c>
      <c r="B589" s="7" t="s">
        <v>13275</v>
      </c>
      <c r="C589" s="8" t="s">
        <v>13276</v>
      </c>
      <c r="D589" s="6" t="s">
        <v>13277</v>
      </c>
      <c r="E589" s="6" t="s">
        <v>13278</v>
      </c>
      <c r="F589" s="8" t="s">
        <v>13279</v>
      </c>
      <c r="G589" s="6" t="s">
        <v>452</v>
      </c>
      <c r="H589" s="6" t="s">
        <v>453</v>
      </c>
      <c r="I589" s="6" t="s">
        <v>10315</v>
      </c>
      <c r="J589" s="6" t="s">
        <v>10316</v>
      </c>
      <c r="K589" s="9">
        <v>518057</v>
      </c>
      <c r="L589" s="8" t="s">
        <v>13280</v>
      </c>
      <c r="M589" s="9">
        <v>28</v>
      </c>
      <c r="N589" s="6">
        <v>22.536867000000001</v>
      </c>
      <c r="O589" s="6">
        <v>113.948204</v>
      </c>
      <c r="P589" s="6" t="s">
        <v>13281</v>
      </c>
      <c r="Q589" s="6">
        <v>108</v>
      </c>
      <c r="R589" s="6" t="s">
        <v>906</v>
      </c>
      <c r="S589" s="6">
        <v>1985</v>
      </c>
      <c r="T589" s="6">
        <v>17824249856</v>
      </c>
      <c r="U589" s="6" t="s">
        <v>167</v>
      </c>
      <c r="V589" s="6">
        <v>74811</v>
      </c>
      <c r="W589" s="6" t="s">
        <v>167</v>
      </c>
      <c r="X589" s="6" t="s">
        <v>13282</v>
      </c>
      <c r="Y589" s="6" t="s">
        <v>13283</v>
      </c>
      <c r="Z589" s="6" t="s">
        <v>13284</v>
      </c>
      <c r="AA589" s="6" t="s">
        <v>13285</v>
      </c>
      <c r="AB589" s="6" t="s">
        <v>13286</v>
      </c>
      <c r="AC589" s="6">
        <v>334210</v>
      </c>
      <c r="AD589" s="10" t="str">
        <f>_xlfn.XLOOKUP(AC589,[1]Mapping!B:B,[1]Mapping!C:C,"")</f>
        <v>Telephone Apparatus Manufacturing</v>
      </c>
      <c r="AG589" s="6" t="s">
        <v>89</v>
      </c>
      <c r="AH589" s="6" t="s">
        <v>86</v>
      </c>
      <c r="AI589" s="6" t="s">
        <v>87</v>
      </c>
      <c r="AJ589" s="6" t="s">
        <v>86</v>
      </c>
      <c r="AK589" s="6" t="s">
        <v>88</v>
      </c>
      <c r="AL589" s="6" t="s">
        <v>89</v>
      </c>
      <c r="AM589" s="6" t="s">
        <v>90</v>
      </c>
      <c r="AN589" s="6" t="s">
        <v>91</v>
      </c>
      <c r="AO589" s="6" t="s">
        <v>92</v>
      </c>
      <c r="AQ589" s="6">
        <v>3661</v>
      </c>
      <c r="AR589" s="6" t="s">
        <v>3832</v>
      </c>
      <c r="AS589" s="6" t="s">
        <v>13287</v>
      </c>
      <c r="AT589" s="6">
        <v>2630</v>
      </c>
      <c r="AU589" s="6" t="s">
        <v>2684</v>
      </c>
      <c r="AV589" s="6">
        <v>26.3</v>
      </c>
      <c r="AW589" s="6" t="s">
        <v>2684</v>
      </c>
      <c r="AX589" s="6" t="s">
        <v>13288</v>
      </c>
      <c r="AY589" s="6">
        <v>923425000000</v>
      </c>
      <c r="AZ589" s="6" t="s">
        <v>13289</v>
      </c>
      <c r="BA589" s="6" t="s">
        <v>13290</v>
      </c>
      <c r="BB589" s="6" t="s">
        <v>13291</v>
      </c>
      <c r="BC589" s="6" t="s">
        <v>13292</v>
      </c>
      <c r="BD589" s="6" t="s">
        <v>13293</v>
      </c>
      <c r="BE589" s="6" t="str">
        <f t="shared" si="18"/>
        <v>zte.com.cn</v>
      </c>
      <c r="BF589" s="6" t="str">
        <f t="shared" si="19"/>
        <v>cn</v>
      </c>
      <c r="BG589" s="6" t="s">
        <v>101</v>
      </c>
      <c r="BH589" s="6" t="s">
        <v>13294</v>
      </c>
      <c r="BI589" s="6" t="s">
        <v>13295</v>
      </c>
      <c r="BK589" s="6" t="s">
        <v>13296</v>
      </c>
      <c r="BN589" s="6" t="s">
        <v>13297</v>
      </c>
      <c r="BP589" s="6" t="s">
        <v>13298</v>
      </c>
      <c r="BQ589" s="6" t="s">
        <v>13299</v>
      </c>
      <c r="BR589" s="6" t="s">
        <v>105</v>
      </c>
    </row>
    <row r="590" spans="1:70" ht="45" customHeight="1" x14ac:dyDescent="0.25">
      <c r="A590" s="6">
        <v>590</v>
      </c>
      <c r="B590" s="7" t="s">
        <v>13300</v>
      </c>
      <c r="C590" s="8" t="s">
        <v>13301</v>
      </c>
      <c r="D590" s="6" t="s">
        <v>13302</v>
      </c>
      <c r="E590" s="8" t="s">
        <v>13303</v>
      </c>
      <c r="F590" s="8" t="s">
        <v>13303</v>
      </c>
      <c r="G590" s="6" t="s">
        <v>1659</v>
      </c>
      <c r="H590" s="6" t="s">
        <v>1660</v>
      </c>
      <c r="I590" s="6" t="s">
        <v>3845</v>
      </c>
      <c r="J590" s="6" t="s">
        <v>3846</v>
      </c>
      <c r="K590" s="9">
        <v>1212</v>
      </c>
      <c r="L590" s="8" t="s">
        <v>13304</v>
      </c>
      <c r="M590" s="9" t="s">
        <v>13305</v>
      </c>
      <c r="N590" s="6">
        <v>23.795908300000001</v>
      </c>
      <c r="O590" s="6">
        <v>90.414231299999997</v>
      </c>
      <c r="P590" s="6" t="s">
        <v>13306</v>
      </c>
      <c r="Q590" s="6">
        <v>1</v>
      </c>
      <c r="R590" s="6" t="s">
        <v>79</v>
      </c>
      <c r="T590" s="6"/>
      <c r="X590" s="6" t="s">
        <v>13307</v>
      </c>
      <c r="Y590" s="6" t="s">
        <v>13308</v>
      </c>
      <c r="Z590" s="6" t="s">
        <v>13309</v>
      </c>
      <c r="AC590" s="6">
        <v>517810</v>
      </c>
      <c r="AD590" s="10" t="str">
        <f>_xlfn.XLOOKUP(AC590,[1]Mapping!B:B,[1]Mapping!C:C,"")</f>
        <v xml:space="preserve">All Other Telecommunications </v>
      </c>
      <c r="AG590" s="6" t="s">
        <v>89</v>
      </c>
      <c r="AH590" s="6" t="s">
        <v>86</v>
      </c>
      <c r="AI590" s="6" t="s">
        <v>87</v>
      </c>
      <c r="AQ590" s="6" t="s">
        <v>1384</v>
      </c>
      <c r="AR590" s="6" t="s">
        <v>1385</v>
      </c>
      <c r="AT590" s="6">
        <v>6190</v>
      </c>
      <c r="AU590" s="6" t="s">
        <v>96</v>
      </c>
      <c r="AV590" s="6">
        <v>61.9</v>
      </c>
      <c r="AW590" s="6" t="s">
        <v>96</v>
      </c>
      <c r="AY590" s="6" t="s">
        <v>13310</v>
      </c>
      <c r="AZ590" s="6">
        <v>88028828513</v>
      </c>
      <c r="BD590" s="6" t="s">
        <v>13223</v>
      </c>
      <c r="BE590" s="6" t="str">
        <f t="shared" si="18"/>
        <v>zte.com.cn</v>
      </c>
      <c r="BF590" s="6" t="str">
        <f t="shared" si="19"/>
        <v>cn</v>
      </c>
      <c r="BG590" s="6" t="s">
        <v>744</v>
      </c>
      <c r="BH590" s="6" t="s">
        <v>13311</v>
      </c>
      <c r="BQ590" s="6" t="s">
        <v>13312</v>
      </c>
      <c r="BR590" s="6" t="s">
        <v>105</v>
      </c>
    </row>
    <row r="591" spans="1:70" ht="45" customHeight="1" x14ac:dyDescent="0.25">
      <c r="A591" s="6">
        <v>591</v>
      </c>
      <c r="B591" s="7" t="s">
        <v>13313</v>
      </c>
      <c r="C591" s="8" t="s">
        <v>8388</v>
      </c>
      <c r="D591" s="6" t="s">
        <v>13314</v>
      </c>
      <c r="E591" s="8" t="s">
        <v>13313</v>
      </c>
      <c r="F591" s="8" t="s">
        <v>8390</v>
      </c>
      <c r="G591" s="6" t="s">
        <v>130</v>
      </c>
      <c r="H591" s="6" t="s">
        <v>131</v>
      </c>
      <c r="I591" s="8" t="s">
        <v>132</v>
      </c>
      <c r="J591" s="6" t="s">
        <v>132</v>
      </c>
      <c r="K591" s="9">
        <v>164</v>
      </c>
      <c r="L591" s="8" t="s">
        <v>13315</v>
      </c>
      <c r="M591" s="9">
        <v>27</v>
      </c>
      <c r="N591" s="6">
        <v>59.917753599999998</v>
      </c>
      <c r="O591" s="6">
        <v>10.7381046</v>
      </c>
      <c r="P591" s="6" t="s">
        <v>8392</v>
      </c>
      <c r="Q591" s="6">
        <v>2</v>
      </c>
      <c r="R591" s="6" t="s">
        <v>79</v>
      </c>
      <c r="S591" s="6">
        <v>1999</v>
      </c>
      <c r="T591" s="6">
        <v>24046186</v>
      </c>
      <c r="U591" s="6" t="s">
        <v>80</v>
      </c>
      <c r="V591" s="6">
        <v>13</v>
      </c>
      <c r="W591" s="6" t="s">
        <v>167</v>
      </c>
      <c r="X591" s="6" t="s">
        <v>13316</v>
      </c>
      <c r="Y591" s="6" t="s">
        <v>8394</v>
      </c>
      <c r="Z591" s="6" t="s">
        <v>8395</v>
      </c>
      <c r="AA591" s="6" t="s">
        <v>8396</v>
      </c>
      <c r="AB591" s="6" t="s">
        <v>8397</v>
      </c>
      <c r="AC591" s="6">
        <v>325199</v>
      </c>
      <c r="AD591" s="10" t="str">
        <f>_xlfn.XLOOKUP(AC591,[1]Mapping!B:B,[1]Mapping!C:C,"")</f>
        <v xml:space="preserve">All Other Basic Organic Chemical Manufacturing </v>
      </c>
      <c r="AG591" s="6" t="s">
        <v>4319</v>
      </c>
      <c r="AH591" s="6" t="s">
        <v>8398</v>
      </c>
      <c r="AI591" s="6" t="s">
        <v>8399</v>
      </c>
      <c r="AJ591" s="6" t="s">
        <v>4319</v>
      </c>
      <c r="AK591" s="6" t="s">
        <v>4320</v>
      </c>
      <c r="AL591" s="6" t="s">
        <v>4319</v>
      </c>
      <c r="AM591" s="6" t="s">
        <v>4321</v>
      </c>
      <c r="AN591" s="6" t="s">
        <v>436</v>
      </c>
      <c r="AO591" s="6" t="s">
        <v>437</v>
      </c>
      <c r="AQ591" s="6" t="s">
        <v>8400</v>
      </c>
      <c r="AR591" s="6" t="s">
        <v>8401</v>
      </c>
      <c r="AS591" s="6" t="s">
        <v>8402</v>
      </c>
      <c r="AT591" s="6" t="s">
        <v>8403</v>
      </c>
      <c r="AU591" s="6" t="s">
        <v>8404</v>
      </c>
      <c r="AV591" s="6" t="s">
        <v>8405</v>
      </c>
      <c r="AW591" s="6" t="s">
        <v>8406</v>
      </c>
      <c r="AX591" s="6" t="s">
        <v>8407</v>
      </c>
      <c r="AY591" s="6" t="s">
        <v>13317</v>
      </c>
      <c r="AZ591" s="6">
        <v>4721080740</v>
      </c>
      <c r="BA591" s="6" t="s">
        <v>8409</v>
      </c>
      <c r="BD591" s="6" t="s">
        <v>13318</v>
      </c>
      <c r="BE591" s="6" t="str">
        <f t="shared" si="18"/>
        <v>zevent.no</v>
      </c>
      <c r="BF591" s="6" t="str">
        <f t="shared" si="19"/>
        <v>no</v>
      </c>
      <c r="BG591" s="6" t="s">
        <v>101</v>
      </c>
      <c r="BH591" s="6" t="s">
        <v>8411</v>
      </c>
      <c r="BK591" s="6" t="s">
        <v>8412</v>
      </c>
      <c r="BP591" s="6" t="s">
        <v>8413</v>
      </c>
      <c r="BQ591" s="6" t="s">
        <v>8414</v>
      </c>
      <c r="BR591" s="6" t="s">
        <v>105</v>
      </c>
    </row>
    <row r="593" spans="4:4" x14ac:dyDescent="0.25">
      <c r="D593" s="8"/>
    </row>
  </sheetData>
  <hyperlinks>
    <hyperlink ref="BD392" r:id="rId1" xr:uid="{B39984A3-B09D-49BD-A8B2-9C2C75CFF986}"/>
    <hyperlink ref="BD492" r:id="rId2" xr:uid="{07105E4F-3961-421B-B2B2-3C8685FBCD0D}"/>
    <hyperlink ref="BD532" r:id="rId3" xr:uid="{44E3B61A-0100-45F4-A218-BD6472362516}"/>
    <hyperlink ref="BD365" r:id="rId4" xr:uid="{ED430C10-45E2-4EFE-8571-E867010BC227}"/>
    <hyperlink ref="BD366" r:id="rId5" xr:uid="{E39BA46F-40F0-44EA-87DE-7CB3141A446A}"/>
    <hyperlink ref="BD427" r:id="rId6" xr:uid="{A50C647E-3252-4346-9AA9-60869E456932}"/>
    <hyperlink ref="BD485" r:id="rId7" xr:uid="{3466038C-986C-487E-AD41-8A1FBF10D57A}"/>
    <hyperlink ref="BD556" r:id="rId8" xr:uid="{709D8475-2683-4B50-BA29-1C3805DFD126}"/>
    <hyperlink ref="BA186" r:id="rId9" xr:uid="{60045CDD-C459-4B5E-B6F4-5B97CFB8851E}"/>
    <hyperlink ref="BD186" r:id="rId10" xr:uid="{C9FF4474-50B8-4001-AEF7-F947FA18EBB8}"/>
    <hyperlink ref="BD472" r:id="rId11" xr:uid="{4EE8E2FB-212E-4F46-AD37-C443490840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Ioan Amariei</dc:creator>
  <cp:lastModifiedBy>Ioan Amariei</cp:lastModifiedBy>
  <dcterms:created xsi:type="dcterms:W3CDTF">2025-11-24T17:27:39Z</dcterms:created>
  <dcterms:modified xsi:type="dcterms:W3CDTF">2025-11-24T17:28:22Z</dcterms:modified>
</cp:coreProperties>
</file>